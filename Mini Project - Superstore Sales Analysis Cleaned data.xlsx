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42131e1027c2f13/Documents/Goki Excel Works/"/>
    </mc:Choice>
  </mc:AlternateContent>
  <xr:revisionPtr revIDLastSave="54" documentId="8_{94C35814-B16D-4692-8513-B95B11699ECA}" xr6:coauthVersionLast="47" xr6:coauthVersionMax="47" xr10:uidLastSave="{8680C507-28C4-4678-A6CC-F83815DA64CF}"/>
  <bookViews>
    <workbookView xWindow="-108" yWindow="-108" windowWidth="23256" windowHeight="12456" activeTab="1" xr2:uid="{1D452572-B172-4BD6-94BD-12E89B0B3292}"/>
  </bookViews>
  <sheets>
    <sheet name="DataSet" sheetId="1" r:id="rId1"/>
    <sheet name="Cleaned Dataset" sheetId="4" r:id="rId2"/>
  </sheets>
  <definedNames>
    <definedName name="_xlnm._FilterDatabase" localSheetId="1" hidden="1">'Cleaned Dataset'!$A$2:$S$601</definedName>
    <definedName name="_xlnm._FilterDatabase" localSheetId="0" hidden="1">DataSet!$A$1:$AF$600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4" i="4" l="1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G301" i="4"/>
  <c r="G302" i="4"/>
  <c r="G303" i="4"/>
  <c r="G304" i="4"/>
  <c r="G305" i="4"/>
  <c r="G306" i="4"/>
  <c r="G307" i="4"/>
  <c r="G308" i="4"/>
  <c r="G309" i="4"/>
  <c r="G310" i="4"/>
  <c r="G311" i="4"/>
  <c r="G312" i="4"/>
  <c r="G313" i="4"/>
  <c r="G314" i="4"/>
  <c r="G315" i="4"/>
  <c r="G316" i="4"/>
  <c r="G317" i="4"/>
  <c r="G318" i="4"/>
  <c r="G319" i="4"/>
  <c r="G320" i="4"/>
  <c r="G321" i="4"/>
  <c r="G322" i="4"/>
  <c r="G323" i="4"/>
  <c r="G324" i="4"/>
  <c r="G325" i="4"/>
  <c r="G326" i="4"/>
  <c r="G327" i="4"/>
  <c r="G328" i="4"/>
  <c r="G329" i="4"/>
  <c r="G330" i="4"/>
  <c r="G331" i="4"/>
  <c r="G332" i="4"/>
  <c r="G333" i="4"/>
  <c r="G334" i="4"/>
  <c r="G335" i="4"/>
  <c r="G336" i="4"/>
  <c r="G337" i="4"/>
  <c r="G338" i="4"/>
  <c r="G339" i="4"/>
  <c r="G340" i="4"/>
  <c r="G341" i="4"/>
  <c r="G342" i="4"/>
  <c r="G343" i="4"/>
  <c r="G344" i="4"/>
  <c r="G345" i="4"/>
  <c r="G346" i="4"/>
  <c r="G347" i="4"/>
  <c r="G348" i="4"/>
  <c r="G349" i="4"/>
  <c r="G350" i="4"/>
  <c r="G351" i="4"/>
  <c r="G352" i="4"/>
  <c r="G353" i="4"/>
  <c r="G354" i="4"/>
  <c r="G355" i="4"/>
  <c r="G356" i="4"/>
  <c r="G357" i="4"/>
  <c r="G358" i="4"/>
  <c r="G359" i="4"/>
  <c r="G360" i="4"/>
  <c r="G361" i="4"/>
  <c r="G362" i="4"/>
  <c r="G363" i="4"/>
  <c r="G364" i="4"/>
  <c r="G365" i="4"/>
  <c r="G366" i="4"/>
  <c r="G367" i="4"/>
  <c r="G368" i="4"/>
  <c r="G369" i="4"/>
  <c r="G370" i="4"/>
  <c r="G371" i="4"/>
  <c r="G372" i="4"/>
  <c r="G373" i="4"/>
  <c r="G374" i="4"/>
  <c r="G375" i="4"/>
  <c r="G376" i="4"/>
  <c r="G377" i="4"/>
  <c r="G378" i="4"/>
  <c r="G379" i="4"/>
  <c r="G380" i="4"/>
  <c r="G381" i="4"/>
  <c r="G382" i="4"/>
  <c r="G383" i="4"/>
  <c r="G384" i="4"/>
  <c r="G385" i="4"/>
  <c r="G386" i="4"/>
  <c r="G387" i="4"/>
  <c r="G388" i="4"/>
  <c r="G389" i="4"/>
  <c r="G390" i="4"/>
  <c r="G391" i="4"/>
  <c r="G392" i="4"/>
  <c r="G393" i="4"/>
  <c r="G394" i="4"/>
  <c r="G395" i="4"/>
  <c r="G396" i="4"/>
  <c r="G397" i="4"/>
  <c r="G398" i="4"/>
  <c r="G399" i="4"/>
  <c r="G400" i="4"/>
  <c r="G401" i="4"/>
  <c r="G402" i="4"/>
  <c r="G403" i="4"/>
  <c r="G404" i="4"/>
  <c r="G405" i="4"/>
  <c r="G406" i="4"/>
  <c r="G407" i="4"/>
  <c r="G408" i="4"/>
  <c r="G409" i="4"/>
  <c r="G410" i="4"/>
  <c r="G411" i="4"/>
  <c r="G412" i="4"/>
  <c r="G413" i="4"/>
  <c r="G414" i="4"/>
  <c r="G415" i="4"/>
  <c r="G416" i="4"/>
  <c r="G417" i="4"/>
  <c r="G418" i="4"/>
  <c r="G419" i="4"/>
  <c r="G420" i="4"/>
  <c r="G421" i="4"/>
  <c r="G422" i="4"/>
  <c r="G423" i="4"/>
  <c r="G424" i="4"/>
  <c r="G425" i="4"/>
  <c r="G426" i="4"/>
  <c r="G427" i="4"/>
  <c r="G428" i="4"/>
  <c r="G429" i="4"/>
  <c r="G430" i="4"/>
  <c r="G431" i="4"/>
  <c r="G432" i="4"/>
  <c r="G433" i="4"/>
  <c r="G434" i="4"/>
  <c r="G435" i="4"/>
  <c r="G436" i="4"/>
  <c r="G437" i="4"/>
  <c r="G438" i="4"/>
  <c r="G439" i="4"/>
  <c r="G440" i="4"/>
  <c r="G441" i="4"/>
  <c r="G442" i="4"/>
  <c r="G443" i="4"/>
  <c r="G444" i="4"/>
  <c r="G445" i="4"/>
  <c r="G446" i="4"/>
  <c r="G447" i="4"/>
  <c r="G448" i="4"/>
  <c r="G449" i="4"/>
  <c r="G450" i="4"/>
  <c r="G451" i="4"/>
  <c r="G452" i="4"/>
  <c r="G453" i="4"/>
  <c r="G454" i="4"/>
  <c r="G455" i="4"/>
  <c r="G456" i="4"/>
  <c r="G457" i="4"/>
  <c r="G458" i="4"/>
  <c r="G459" i="4"/>
  <c r="G460" i="4"/>
  <c r="G461" i="4"/>
  <c r="G462" i="4"/>
  <c r="G463" i="4"/>
  <c r="G464" i="4"/>
  <c r="G465" i="4"/>
  <c r="G466" i="4"/>
  <c r="G467" i="4"/>
  <c r="G468" i="4"/>
  <c r="G469" i="4"/>
  <c r="G470" i="4"/>
  <c r="G471" i="4"/>
  <c r="G472" i="4"/>
  <c r="G473" i="4"/>
  <c r="G474" i="4"/>
  <c r="G475" i="4"/>
  <c r="G476" i="4"/>
  <c r="G477" i="4"/>
  <c r="G478" i="4"/>
  <c r="G479" i="4"/>
  <c r="G480" i="4"/>
  <c r="G481" i="4"/>
  <c r="G482" i="4"/>
  <c r="G483" i="4"/>
  <c r="G484" i="4"/>
  <c r="G485" i="4"/>
  <c r="G486" i="4"/>
  <c r="G487" i="4"/>
  <c r="G488" i="4"/>
  <c r="G489" i="4"/>
  <c r="G490" i="4"/>
  <c r="G491" i="4"/>
  <c r="G492" i="4"/>
  <c r="G493" i="4"/>
  <c r="G494" i="4"/>
  <c r="G495" i="4"/>
  <c r="G496" i="4"/>
  <c r="G497" i="4"/>
  <c r="G498" i="4"/>
  <c r="G499" i="4"/>
  <c r="G500" i="4"/>
  <c r="G501" i="4"/>
  <c r="G502" i="4"/>
  <c r="G503" i="4"/>
  <c r="G504" i="4"/>
  <c r="G505" i="4"/>
  <c r="G506" i="4"/>
  <c r="G507" i="4"/>
  <c r="G508" i="4"/>
  <c r="G509" i="4"/>
  <c r="G510" i="4"/>
  <c r="G511" i="4"/>
  <c r="G512" i="4"/>
  <c r="G513" i="4"/>
  <c r="G514" i="4"/>
  <c r="G515" i="4"/>
  <c r="G516" i="4"/>
  <c r="G517" i="4"/>
  <c r="G518" i="4"/>
  <c r="G519" i="4"/>
  <c r="G520" i="4"/>
  <c r="G521" i="4"/>
  <c r="G522" i="4"/>
  <c r="G523" i="4"/>
  <c r="G524" i="4"/>
  <c r="G525" i="4"/>
  <c r="G526" i="4"/>
  <c r="G527" i="4"/>
  <c r="G528" i="4"/>
  <c r="G529" i="4"/>
  <c r="G530" i="4"/>
  <c r="G531" i="4"/>
  <c r="G532" i="4"/>
  <c r="G533" i="4"/>
  <c r="G534" i="4"/>
  <c r="G535" i="4"/>
  <c r="G536" i="4"/>
  <c r="G537" i="4"/>
  <c r="G538" i="4"/>
  <c r="G539" i="4"/>
  <c r="G540" i="4"/>
  <c r="G541" i="4"/>
  <c r="G542" i="4"/>
  <c r="G543" i="4"/>
  <c r="G544" i="4"/>
  <c r="G545" i="4"/>
  <c r="G546" i="4"/>
  <c r="G547" i="4"/>
  <c r="G548" i="4"/>
  <c r="G549" i="4"/>
  <c r="G550" i="4"/>
  <c r="G551" i="4"/>
  <c r="G552" i="4"/>
  <c r="G553" i="4"/>
  <c r="G554" i="4"/>
  <c r="G555" i="4"/>
  <c r="G556" i="4"/>
  <c r="G557" i="4"/>
  <c r="G558" i="4"/>
  <c r="G559" i="4"/>
  <c r="G560" i="4"/>
  <c r="G561" i="4"/>
  <c r="G562" i="4"/>
  <c r="G563" i="4"/>
  <c r="G564" i="4"/>
  <c r="G565" i="4"/>
  <c r="G566" i="4"/>
  <c r="G567" i="4"/>
  <c r="G568" i="4"/>
  <c r="G569" i="4"/>
  <c r="G570" i="4"/>
  <c r="G571" i="4"/>
  <c r="G572" i="4"/>
  <c r="G573" i="4"/>
  <c r="G574" i="4"/>
  <c r="G575" i="4"/>
  <c r="G576" i="4"/>
  <c r="G577" i="4"/>
  <c r="G578" i="4"/>
  <c r="G579" i="4"/>
  <c r="G580" i="4"/>
  <c r="G581" i="4"/>
  <c r="G582" i="4"/>
  <c r="G583" i="4"/>
  <c r="G584" i="4"/>
  <c r="G585" i="4"/>
  <c r="G586" i="4"/>
  <c r="G587" i="4"/>
  <c r="G588" i="4"/>
  <c r="G589" i="4"/>
  <c r="G590" i="4"/>
  <c r="G591" i="4"/>
  <c r="G592" i="4"/>
  <c r="G593" i="4"/>
  <c r="G594" i="4"/>
  <c r="G595" i="4"/>
  <c r="G596" i="4"/>
  <c r="G597" i="4"/>
  <c r="G598" i="4"/>
  <c r="G599" i="4"/>
  <c r="G600" i="4"/>
  <c r="G601" i="4"/>
  <c r="G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C367" i="4"/>
  <c r="C368" i="4"/>
  <c r="C369" i="4"/>
  <c r="C370" i="4"/>
  <c r="C371" i="4"/>
  <c r="C372" i="4"/>
  <c r="C373" i="4"/>
  <c r="C374" i="4"/>
  <c r="C375" i="4"/>
  <c r="C376" i="4"/>
  <c r="C377" i="4"/>
  <c r="C378" i="4"/>
  <c r="C379" i="4"/>
  <c r="C380" i="4"/>
  <c r="C381" i="4"/>
  <c r="C382" i="4"/>
  <c r="C383" i="4"/>
  <c r="C384" i="4"/>
  <c r="C385" i="4"/>
  <c r="C386" i="4"/>
  <c r="C387" i="4"/>
  <c r="C388" i="4"/>
  <c r="C389" i="4"/>
  <c r="C390" i="4"/>
  <c r="C391" i="4"/>
  <c r="C392" i="4"/>
  <c r="C393" i="4"/>
  <c r="C394" i="4"/>
  <c r="C395" i="4"/>
  <c r="C396" i="4"/>
  <c r="C397" i="4"/>
  <c r="C398" i="4"/>
  <c r="C399" i="4"/>
  <c r="C400" i="4"/>
  <c r="C401" i="4"/>
  <c r="C402" i="4"/>
  <c r="C403" i="4"/>
  <c r="C404" i="4"/>
  <c r="C405" i="4"/>
  <c r="C406" i="4"/>
  <c r="C407" i="4"/>
  <c r="C408" i="4"/>
  <c r="C409" i="4"/>
  <c r="C410" i="4"/>
  <c r="C411" i="4"/>
  <c r="C412" i="4"/>
  <c r="C413" i="4"/>
  <c r="C414" i="4"/>
  <c r="C415" i="4"/>
  <c r="C416" i="4"/>
  <c r="C417" i="4"/>
  <c r="C418" i="4"/>
  <c r="C419" i="4"/>
  <c r="C420" i="4"/>
  <c r="C421" i="4"/>
  <c r="C422" i="4"/>
  <c r="C423" i="4"/>
  <c r="C424" i="4"/>
  <c r="C425" i="4"/>
  <c r="C426" i="4"/>
  <c r="C427" i="4"/>
  <c r="C428" i="4"/>
  <c r="C429" i="4"/>
  <c r="C430" i="4"/>
  <c r="C431" i="4"/>
  <c r="C432" i="4"/>
  <c r="C433" i="4"/>
  <c r="C434" i="4"/>
  <c r="C435" i="4"/>
  <c r="C436" i="4"/>
  <c r="C437" i="4"/>
  <c r="C438" i="4"/>
  <c r="C439" i="4"/>
  <c r="C440" i="4"/>
  <c r="C441" i="4"/>
  <c r="C442" i="4"/>
  <c r="C443" i="4"/>
  <c r="C444" i="4"/>
  <c r="C445" i="4"/>
  <c r="C446" i="4"/>
  <c r="C447" i="4"/>
  <c r="C448" i="4"/>
  <c r="C449" i="4"/>
  <c r="C450" i="4"/>
  <c r="C451" i="4"/>
  <c r="C452" i="4"/>
  <c r="C453" i="4"/>
  <c r="C454" i="4"/>
  <c r="C455" i="4"/>
  <c r="C456" i="4"/>
  <c r="C457" i="4"/>
  <c r="C458" i="4"/>
  <c r="C459" i="4"/>
  <c r="C460" i="4"/>
  <c r="C461" i="4"/>
  <c r="C462" i="4"/>
  <c r="C463" i="4"/>
  <c r="C464" i="4"/>
  <c r="C465" i="4"/>
  <c r="C466" i="4"/>
  <c r="C467" i="4"/>
  <c r="C468" i="4"/>
  <c r="C469" i="4"/>
  <c r="C470" i="4"/>
  <c r="C471" i="4"/>
  <c r="C472" i="4"/>
  <c r="C473" i="4"/>
  <c r="C474" i="4"/>
  <c r="C475" i="4"/>
  <c r="C476" i="4"/>
  <c r="C477" i="4"/>
  <c r="C478" i="4"/>
  <c r="C479" i="4"/>
  <c r="C480" i="4"/>
  <c r="C481" i="4"/>
  <c r="C482" i="4"/>
  <c r="C483" i="4"/>
  <c r="C484" i="4"/>
  <c r="C485" i="4"/>
  <c r="C486" i="4"/>
  <c r="C487" i="4"/>
  <c r="C488" i="4"/>
  <c r="C489" i="4"/>
  <c r="C490" i="4"/>
  <c r="C491" i="4"/>
  <c r="C492" i="4"/>
  <c r="C493" i="4"/>
  <c r="C494" i="4"/>
  <c r="C495" i="4"/>
  <c r="C496" i="4"/>
  <c r="C497" i="4"/>
  <c r="C498" i="4"/>
  <c r="C499" i="4"/>
  <c r="C500" i="4"/>
  <c r="C501" i="4"/>
  <c r="C502" i="4"/>
  <c r="C503" i="4"/>
  <c r="C504" i="4"/>
  <c r="C505" i="4"/>
  <c r="C506" i="4"/>
  <c r="C507" i="4"/>
  <c r="C508" i="4"/>
  <c r="C509" i="4"/>
  <c r="C510" i="4"/>
  <c r="C511" i="4"/>
  <c r="C512" i="4"/>
  <c r="C513" i="4"/>
  <c r="C514" i="4"/>
  <c r="C515" i="4"/>
  <c r="C516" i="4"/>
  <c r="C517" i="4"/>
  <c r="C518" i="4"/>
  <c r="C519" i="4"/>
  <c r="C520" i="4"/>
  <c r="C521" i="4"/>
  <c r="C522" i="4"/>
  <c r="C523" i="4"/>
  <c r="C524" i="4"/>
  <c r="C525" i="4"/>
  <c r="C526" i="4"/>
  <c r="C527" i="4"/>
  <c r="C528" i="4"/>
  <c r="C529" i="4"/>
  <c r="C530" i="4"/>
  <c r="C531" i="4"/>
  <c r="C532" i="4"/>
  <c r="C533" i="4"/>
  <c r="C534" i="4"/>
  <c r="C535" i="4"/>
  <c r="C536" i="4"/>
  <c r="C537" i="4"/>
  <c r="C538" i="4"/>
  <c r="C539" i="4"/>
  <c r="C540" i="4"/>
  <c r="C541" i="4"/>
  <c r="C542" i="4"/>
  <c r="C543" i="4"/>
  <c r="C544" i="4"/>
  <c r="C545" i="4"/>
  <c r="C546" i="4"/>
  <c r="C547" i="4"/>
  <c r="C548" i="4"/>
  <c r="C549" i="4"/>
  <c r="C550" i="4"/>
  <c r="C551" i="4"/>
  <c r="C552" i="4"/>
  <c r="C553" i="4"/>
  <c r="C554" i="4"/>
  <c r="C555" i="4"/>
  <c r="C556" i="4"/>
  <c r="C557" i="4"/>
  <c r="C558" i="4"/>
  <c r="C559" i="4"/>
  <c r="C560" i="4"/>
  <c r="C561" i="4"/>
  <c r="C562" i="4"/>
  <c r="C563" i="4"/>
  <c r="C564" i="4"/>
  <c r="C565" i="4"/>
  <c r="C566" i="4"/>
  <c r="C567" i="4"/>
  <c r="C568" i="4"/>
  <c r="C569" i="4"/>
  <c r="C570" i="4"/>
  <c r="C571" i="4"/>
  <c r="C572" i="4"/>
  <c r="C573" i="4"/>
  <c r="C574" i="4"/>
  <c r="C575" i="4"/>
  <c r="C576" i="4"/>
  <c r="C577" i="4"/>
  <c r="C578" i="4"/>
  <c r="C579" i="4"/>
  <c r="C580" i="4"/>
  <c r="C581" i="4"/>
  <c r="C582" i="4"/>
  <c r="C583" i="4"/>
  <c r="C584" i="4"/>
  <c r="C585" i="4"/>
  <c r="C586" i="4"/>
  <c r="C587" i="4"/>
  <c r="C588" i="4"/>
  <c r="C589" i="4"/>
  <c r="C590" i="4"/>
  <c r="C591" i="4"/>
  <c r="C592" i="4"/>
  <c r="C593" i="4"/>
  <c r="C594" i="4"/>
  <c r="C595" i="4"/>
  <c r="C596" i="4"/>
  <c r="C597" i="4"/>
  <c r="C598" i="4"/>
  <c r="C599" i="4"/>
  <c r="C600" i="4"/>
  <c r="C601" i="4"/>
  <c r="C3" i="4"/>
  <c r="AF3" i="1"/>
  <c r="AF4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110" i="1"/>
  <c r="AF111" i="1"/>
  <c r="AF112" i="1"/>
  <c r="AF113" i="1"/>
  <c r="AF114" i="1"/>
  <c r="AF115" i="1"/>
  <c r="AF116" i="1"/>
  <c r="AF117" i="1"/>
  <c r="AF118" i="1"/>
  <c r="AF119" i="1"/>
  <c r="AF120" i="1"/>
  <c r="AF121" i="1"/>
  <c r="AF122" i="1"/>
  <c r="AF123" i="1"/>
  <c r="AF124" i="1"/>
  <c r="AF125" i="1"/>
  <c r="AF126" i="1"/>
  <c r="AF127" i="1"/>
  <c r="AF128" i="1"/>
  <c r="AF129" i="1"/>
  <c r="AF130" i="1"/>
  <c r="AF131" i="1"/>
  <c r="AF132" i="1"/>
  <c r="AF133" i="1"/>
  <c r="AF134" i="1"/>
  <c r="AF135" i="1"/>
  <c r="AF136" i="1"/>
  <c r="AF137" i="1"/>
  <c r="AF138" i="1"/>
  <c r="AF139" i="1"/>
  <c r="AF140" i="1"/>
  <c r="AF141" i="1"/>
  <c r="AF142" i="1"/>
  <c r="AF143" i="1"/>
  <c r="AF144" i="1"/>
  <c r="AF145" i="1"/>
  <c r="AF146" i="1"/>
  <c r="AF147" i="1"/>
  <c r="AF148" i="1"/>
  <c r="AF149" i="1"/>
  <c r="AF150" i="1"/>
  <c r="AF151" i="1"/>
  <c r="AF152" i="1"/>
  <c r="AF153" i="1"/>
  <c r="AF154" i="1"/>
  <c r="AF155" i="1"/>
  <c r="AF156" i="1"/>
  <c r="AF157" i="1"/>
  <c r="AF158" i="1"/>
  <c r="AF159" i="1"/>
  <c r="AF160" i="1"/>
  <c r="AF161" i="1"/>
  <c r="AF162" i="1"/>
  <c r="AF163" i="1"/>
  <c r="AF164" i="1"/>
  <c r="AF165" i="1"/>
  <c r="AF166" i="1"/>
  <c r="AF167" i="1"/>
  <c r="AF168" i="1"/>
  <c r="AF169" i="1"/>
  <c r="AF170" i="1"/>
  <c r="AF171" i="1"/>
  <c r="AF172" i="1"/>
  <c r="AF173" i="1"/>
  <c r="AF174" i="1"/>
  <c r="AF175" i="1"/>
  <c r="AF176" i="1"/>
  <c r="AF177" i="1"/>
  <c r="AF178" i="1"/>
  <c r="AF179" i="1"/>
  <c r="AF180" i="1"/>
  <c r="AF181" i="1"/>
  <c r="AF182" i="1"/>
  <c r="AF183" i="1"/>
  <c r="AF184" i="1"/>
  <c r="AF185" i="1"/>
  <c r="AF186" i="1"/>
  <c r="AF187" i="1"/>
  <c r="AF188" i="1"/>
  <c r="AF189" i="1"/>
  <c r="AF190" i="1"/>
  <c r="AF191" i="1"/>
  <c r="AF192" i="1"/>
  <c r="AF193" i="1"/>
  <c r="AF194" i="1"/>
  <c r="AF195" i="1"/>
  <c r="AF196" i="1"/>
  <c r="AF197" i="1"/>
  <c r="AF198" i="1"/>
  <c r="AF199" i="1"/>
  <c r="AF200" i="1"/>
  <c r="AF201" i="1"/>
  <c r="AF202" i="1"/>
  <c r="AF203" i="1"/>
  <c r="AF204" i="1"/>
  <c r="AF205" i="1"/>
  <c r="AF206" i="1"/>
  <c r="AF207" i="1"/>
  <c r="AF208" i="1"/>
  <c r="AF209" i="1"/>
  <c r="AF210" i="1"/>
  <c r="AF211" i="1"/>
  <c r="AF212" i="1"/>
  <c r="AF213" i="1"/>
  <c r="AF214" i="1"/>
  <c r="AF215" i="1"/>
  <c r="AF216" i="1"/>
  <c r="AF217" i="1"/>
  <c r="AF218" i="1"/>
  <c r="AF219" i="1"/>
  <c r="AF220" i="1"/>
  <c r="AF221" i="1"/>
  <c r="AF222" i="1"/>
  <c r="AF223" i="1"/>
  <c r="AF224" i="1"/>
  <c r="AF225" i="1"/>
  <c r="AF226" i="1"/>
  <c r="AF227" i="1"/>
  <c r="AF228" i="1"/>
  <c r="AF229" i="1"/>
  <c r="AF230" i="1"/>
  <c r="AF231" i="1"/>
  <c r="AF232" i="1"/>
  <c r="AF233" i="1"/>
  <c r="AF234" i="1"/>
  <c r="AF235" i="1"/>
  <c r="AF236" i="1"/>
  <c r="AF237" i="1"/>
  <c r="AF238" i="1"/>
  <c r="AF239" i="1"/>
  <c r="AF240" i="1"/>
  <c r="AF241" i="1"/>
  <c r="AF242" i="1"/>
  <c r="AF243" i="1"/>
  <c r="AF244" i="1"/>
  <c r="AF245" i="1"/>
  <c r="AF246" i="1"/>
  <c r="AF247" i="1"/>
  <c r="AF248" i="1"/>
  <c r="AF249" i="1"/>
  <c r="AF250" i="1"/>
  <c r="AF251" i="1"/>
  <c r="AF252" i="1"/>
  <c r="AF253" i="1"/>
  <c r="AF254" i="1"/>
  <c r="AF255" i="1"/>
  <c r="AF256" i="1"/>
  <c r="AF257" i="1"/>
  <c r="AF258" i="1"/>
  <c r="AF259" i="1"/>
  <c r="AF260" i="1"/>
  <c r="AF261" i="1"/>
  <c r="AF262" i="1"/>
  <c r="AF263" i="1"/>
  <c r="AF264" i="1"/>
  <c r="AF265" i="1"/>
  <c r="AF266" i="1"/>
  <c r="AF267" i="1"/>
  <c r="AF268" i="1"/>
  <c r="AF269" i="1"/>
  <c r="AF270" i="1"/>
  <c r="AF271" i="1"/>
  <c r="AF272" i="1"/>
  <c r="AF273" i="1"/>
  <c r="AF274" i="1"/>
  <c r="AF275" i="1"/>
  <c r="AF276" i="1"/>
  <c r="AF277" i="1"/>
  <c r="AF278" i="1"/>
  <c r="AF279" i="1"/>
  <c r="AF280" i="1"/>
  <c r="AF281" i="1"/>
  <c r="AF282" i="1"/>
  <c r="AF283" i="1"/>
  <c r="AF284" i="1"/>
  <c r="AF285" i="1"/>
  <c r="AF286" i="1"/>
  <c r="AF287" i="1"/>
  <c r="AF288" i="1"/>
  <c r="AF289" i="1"/>
  <c r="AF290" i="1"/>
  <c r="AF291" i="1"/>
  <c r="AF292" i="1"/>
  <c r="AF293" i="1"/>
  <c r="AF294" i="1"/>
  <c r="AF295" i="1"/>
  <c r="AF296" i="1"/>
  <c r="AF297" i="1"/>
  <c r="AF298" i="1"/>
  <c r="AF299" i="1"/>
  <c r="AF300" i="1"/>
  <c r="AF301" i="1"/>
  <c r="AF302" i="1"/>
  <c r="AF303" i="1"/>
  <c r="AF304" i="1"/>
  <c r="AF305" i="1"/>
  <c r="AF306" i="1"/>
  <c r="AF307" i="1"/>
  <c r="AF308" i="1"/>
  <c r="AF309" i="1"/>
  <c r="AF310" i="1"/>
  <c r="AF311" i="1"/>
  <c r="AF312" i="1"/>
  <c r="AF313" i="1"/>
  <c r="AF314" i="1"/>
  <c r="AF315" i="1"/>
  <c r="AF316" i="1"/>
  <c r="AF317" i="1"/>
  <c r="AF318" i="1"/>
  <c r="AF319" i="1"/>
  <c r="AF320" i="1"/>
  <c r="AF321" i="1"/>
  <c r="AF322" i="1"/>
  <c r="AF323" i="1"/>
  <c r="AF324" i="1"/>
  <c r="AF325" i="1"/>
  <c r="AF326" i="1"/>
  <c r="AF327" i="1"/>
  <c r="AF328" i="1"/>
  <c r="AF329" i="1"/>
  <c r="AF330" i="1"/>
  <c r="AF331" i="1"/>
  <c r="AF332" i="1"/>
  <c r="AF333" i="1"/>
  <c r="AF334" i="1"/>
  <c r="AF335" i="1"/>
  <c r="AF336" i="1"/>
  <c r="AF337" i="1"/>
  <c r="AF338" i="1"/>
  <c r="AF339" i="1"/>
  <c r="AF340" i="1"/>
  <c r="AF341" i="1"/>
  <c r="AF342" i="1"/>
  <c r="AF343" i="1"/>
  <c r="AF344" i="1"/>
  <c r="AF345" i="1"/>
  <c r="AF346" i="1"/>
  <c r="AF347" i="1"/>
  <c r="AF348" i="1"/>
  <c r="AF349" i="1"/>
  <c r="AF350" i="1"/>
  <c r="AF351" i="1"/>
  <c r="AF352" i="1"/>
  <c r="AF353" i="1"/>
  <c r="AF354" i="1"/>
  <c r="AF355" i="1"/>
  <c r="AF356" i="1"/>
  <c r="AF357" i="1"/>
  <c r="AF358" i="1"/>
  <c r="AF359" i="1"/>
  <c r="AF360" i="1"/>
  <c r="AF361" i="1"/>
  <c r="AF362" i="1"/>
  <c r="AF363" i="1"/>
  <c r="AF364" i="1"/>
  <c r="AF365" i="1"/>
  <c r="AF366" i="1"/>
  <c r="AF367" i="1"/>
  <c r="AF368" i="1"/>
  <c r="AF369" i="1"/>
  <c r="AF370" i="1"/>
  <c r="AF371" i="1"/>
  <c r="AF372" i="1"/>
  <c r="AF373" i="1"/>
  <c r="AF374" i="1"/>
  <c r="AF375" i="1"/>
  <c r="AF376" i="1"/>
  <c r="AF377" i="1"/>
  <c r="AF378" i="1"/>
  <c r="AF379" i="1"/>
  <c r="AF380" i="1"/>
  <c r="AF381" i="1"/>
  <c r="AF382" i="1"/>
  <c r="AF383" i="1"/>
  <c r="AF384" i="1"/>
  <c r="AF385" i="1"/>
  <c r="AF386" i="1"/>
  <c r="AF387" i="1"/>
  <c r="AF388" i="1"/>
  <c r="AF389" i="1"/>
  <c r="AF390" i="1"/>
  <c r="AF391" i="1"/>
  <c r="AF392" i="1"/>
  <c r="AF393" i="1"/>
  <c r="AF394" i="1"/>
  <c r="AF395" i="1"/>
  <c r="AF396" i="1"/>
  <c r="AF397" i="1"/>
  <c r="AF398" i="1"/>
  <c r="AF399" i="1"/>
  <c r="AF400" i="1"/>
  <c r="AF401" i="1"/>
  <c r="AF402" i="1"/>
  <c r="AF403" i="1"/>
  <c r="AF404" i="1"/>
  <c r="AF405" i="1"/>
  <c r="AF406" i="1"/>
  <c r="AF407" i="1"/>
  <c r="AF408" i="1"/>
  <c r="AF409" i="1"/>
  <c r="AF410" i="1"/>
  <c r="AF411" i="1"/>
  <c r="AF412" i="1"/>
  <c r="AF413" i="1"/>
  <c r="AF414" i="1"/>
  <c r="AF415" i="1"/>
  <c r="AF416" i="1"/>
  <c r="AF417" i="1"/>
  <c r="AF418" i="1"/>
  <c r="AF419" i="1"/>
  <c r="AF420" i="1"/>
  <c r="AF421" i="1"/>
  <c r="AF422" i="1"/>
  <c r="AF423" i="1"/>
  <c r="AF424" i="1"/>
  <c r="AF425" i="1"/>
  <c r="AF426" i="1"/>
  <c r="AF427" i="1"/>
  <c r="AF428" i="1"/>
  <c r="AF429" i="1"/>
  <c r="AF430" i="1"/>
  <c r="AF431" i="1"/>
  <c r="AF432" i="1"/>
  <c r="AF433" i="1"/>
  <c r="AF434" i="1"/>
  <c r="AF435" i="1"/>
  <c r="AF436" i="1"/>
  <c r="AF437" i="1"/>
  <c r="AF438" i="1"/>
  <c r="AF439" i="1"/>
  <c r="AF440" i="1"/>
  <c r="AF441" i="1"/>
  <c r="AF442" i="1"/>
  <c r="AF443" i="1"/>
  <c r="AF444" i="1"/>
  <c r="AF445" i="1"/>
  <c r="AF446" i="1"/>
  <c r="AF447" i="1"/>
  <c r="AF448" i="1"/>
  <c r="AF449" i="1"/>
  <c r="AF450" i="1"/>
  <c r="AF451" i="1"/>
  <c r="AF452" i="1"/>
  <c r="AF453" i="1"/>
  <c r="AF454" i="1"/>
  <c r="AF455" i="1"/>
  <c r="AF456" i="1"/>
  <c r="AF457" i="1"/>
  <c r="AF458" i="1"/>
  <c r="AF459" i="1"/>
  <c r="AF460" i="1"/>
  <c r="AF461" i="1"/>
  <c r="AF462" i="1"/>
  <c r="AF463" i="1"/>
  <c r="AF464" i="1"/>
  <c r="AF465" i="1"/>
  <c r="AF466" i="1"/>
  <c r="AF467" i="1"/>
  <c r="AF468" i="1"/>
  <c r="AF469" i="1"/>
  <c r="AF470" i="1"/>
  <c r="AF471" i="1"/>
  <c r="AF472" i="1"/>
  <c r="AF473" i="1"/>
  <c r="AF474" i="1"/>
  <c r="AF475" i="1"/>
  <c r="AF476" i="1"/>
  <c r="AF477" i="1"/>
  <c r="AF478" i="1"/>
  <c r="AF479" i="1"/>
  <c r="AF480" i="1"/>
  <c r="AF481" i="1"/>
  <c r="AF482" i="1"/>
  <c r="AF483" i="1"/>
  <c r="AF484" i="1"/>
  <c r="AF485" i="1"/>
  <c r="AF486" i="1"/>
  <c r="AF487" i="1"/>
  <c r="AF488" i="1"/>
  <c r="AF489" i="1"/>
  <c r="AF490" i="1"/>
  <c r="AF491" i="1"/>
  <c r="AF492" i="1"/>
  <c r="AF493" i="1"/>
  <c r="AF494" i="1"/>
  <c r="AF495" i="1"/>
  <c r="AF496" i="1"/>
  <c r="AF497" i="1"/>
  <c r="AF498" i="1"/>
  <c r="AF499" i="1"/>
  <c r="AF500" i="1"/>
  <c r="AF501" i="1"/>
  <c r="AF502" i="1"/>
  <c r="AF503" i="1"/>
  <c r="AF504" i="1"/>
  <c r="AF505" i="1"/>
  <c r="AF506" i="1"/>
  <c r="AF507" i="1"/>
  <c r="AF508" i="1"/>
  <c r="AF509" i="1"/>
  <c r="AF510" i="1"/>
  <c r="AF511" i="1"/>
  <c r="AF512" i="1"/>
  <c r="AF513" i="1"/>
  <c r="AF514" i="1"/>
  <c r="AF515" i="1"/>
  <c r="AF516" i="1"/>
  <c r="AF517" i="1"/>
  <c r="AF518" i="1"/>
  <c r="AF519" i="1"/>
  <c r="AF520" i="1"/>
  <c r="AF521" i="1"/>
  <c r="AF522" i="1"/>
  <c r="AF523" i="1"/>
  <c r="AF524" i="1"/>
  <c r="AF525" i="1"/>
  <c r="AF526" i="1"/>
  <c r="AF527" i="1"/>
  <c r="AF528" i="1"/>
  <c r="AF529" i="1"/>
  <c r="AF530" i="1"/>
  <c r="AF531" i="1"/>
  <c r="AF532" i="1"/>
  <c r="AF533" i="1"/>
  <c r="AF534" i="1"/>
  <c r="AF535" i="1"/>
  <c r="AF536" i="1"/>
  <c r="AF537" i="1"/>
  <c r="AF538" i="1"/>
  <c r="AF539" i="1"/>
  <c r="AF540" i="1"/>
  <c r="AF541" i="1"/>
  <c r="AF542" i="1"/>
  <c r="AF543" i="1"/>
  <c r="AF544" i="1"/>
  <c r="AF545" i="1"/>
  <c r="AF546" i="1"/>
  <c r="AF547" i="1"/>
  <c r="AF548" i="1"/>
  <c r="AF549" i="1"/>
  <c r="AF550" i="1"/>
  <c r="AF551" i="1"/>
  <c r="AF552" i="1"/>
  <c r="AF553" i="1"/>
  <c r="AF554" i="1"/>
  <c r="AF555" i="1"/>
  <c r="AF556" i="1"/>
  <c r="AF557" i="1"/>
  <c r="AF558" i="1"/>
  <c r="AF559" i="1"/>
  <c r="AF560" i="1"/>
  <c r="AF561" i="1"/>
  <c r="AF562" i="1"/>
  <c r="AF563" i="1"/>
  <c r="AF564" i="1"/>
  <c r="AF565" i="1"/>
  <c r="AF566" i="1"/>
  <c r="AF567" i="1"/>
  <c r="AF568" i="1"/>
  <c r="AF569" i="1"/>
  <c r="AF570" i="1"/>
  <c r="AF571" i="1"/>
  <c r="AF572" i="1"/>
  <c r="AF573" i="1"/>
  <c r="AF574" i="1"/>
  <c r="AF575" i="1"/>
  <c r="AF576" i="1"/>
  <c r="AF577" i="1"/>
  <c r="AF578" i="1"/>
  <c r="AF579" i="1"/>
  <c r="AF580" i="1"/>
  <c r="AF581" i="1"/>
  <c r="AF582" i="1"/>
  <c r="AF583" i="1"/>
  <c r="AF584" i="1"/>
  <c r="AF585" i="1"/>
  <c r="AF586" i="1"/>
  <c r="AF587" i="1"/>
  <c r="AF588" i="1"/>
  <c r="AF589" i="1"/>
  <c r="AF590" i="1"/>
  <c r="AF591" i="1"/>
  <c r="AF592" i="1"/>
  <c r="AF593" i="1"/>
  <c r="AF594" i="1"/>
  <c r="AF595" i="1"/>
  <c r="AF596" i="1"/>
  <c r="AF597" i="1"/>
  <c r="AF598" i="1"/>
  <c r="AF599" i="1"/>
  <c r="AF600" i="1"/>
  <c r="AF2" i="1"/>
  <c r="AE3" i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110" i="1"/>
  <c r="AE111" i="1"/>
  <c r="AE112" i="1"/>
  <c r="AE113" i="1"/>
  <c r="AE114" i="1"/>
  <c r="AE115" i="1"/>
  <c r="AE116" i="1"/>
  <c r="AE117" i="1"/>
  <c r="AE118" i="1"/>
  <c r="AE119" i="1"/>
  <c r="AE120" i="1"/>
  <c r="AE121" i="1"/>
  <c r="AE122" i="1"/>
  <c r="AE123" i="1"/>
  <c r="AE124" i="1"/>
  <c r="AE125" i="1"/>
  <c r="AE126" i="1"/>
  <c r="AE127" i="1"/>
  <c r="AE128" i="1"/>
  <c r="AE129" i="1"/>
  <c r="AE130" i="1"/>
  <c r="AE131" i="1"/>
  <c r="AE132" i="1"/>
  <c r="AE133" i="1"/>
  <c r="AE134" i="1"/>
  <c r="AE135" i="1"/>
  <c r="AE136" i="1"/>
  <c r="AE137" i="1"/>
  <c r="AE138" i="1"/>
  <c r="AE139" i="1"/>
  <c r="AE140" i="1"/>
  <c r="AE141" i="1"/>
  <c r="AE142" i="1"/>
  <c r="AE143" i="1"/>
  <c r="AE144" i="1"/>
  <c r="AE145" i="1"/>
  <c r="AE146" i="1"/>
  <c r="AE147" i="1"/>
  <c r="AE148" i="1"/>
  <c r="AE149" i="1"/>
  <c r="AE150" i="1"/>
  <c r="AE151" i="1"/>
  <c r="AE152" i="1"/>
  <c r="AE153" i="1"/>
  <c r="AE154" i="1"/>
  <c r="AE155" i="1"/>
  <c r="AE156" i="1"/>
  <c r="AE157" i="1"/>
  <c r="AE158" i="1"/>
  <c r="AE159" i="1"/>
  <c r="AE160" i="1"/>
  <c r="AE161" i="1"/>
  <c r="AE162" i="1"/>
  <c r="AE163" i="1"/>
  <c r="AE164" i="1"/>
  <c r="AE165" i="1"/>
  <c r="AE166" i="1"/>
  <c r="AE167" i="1"/>
  <c r="AE168" i="1"/>
  <c r="AE169" i="1"/>
  <c r="AE170" i="1"/>
  <c r="AE171" i="1"/>
  <c r="AE172" i="1"/>
  <c r="AE173" i="1"/>
  <c r="AE174" i="1"/>
  <c r="AE175" i="1"/>
  <c r="AE176" i="1"/>
  <c r="AE177" i="1"/>
  <c r="AE178" i="1"/>
  <c r="AE179" i="1"/>
  <c r="AE180" i="1"/>
  <c r="AE181" i="1"/>
  <c r="AE182" i="1"/>
  <c r="AE183" i="1"/>
  <c r="AE184" i="1"/>
  <c r="AE185" i="1"/>
  <c r="AE186" i="1"/>
  <c r="AE187" i="1"/>
  <c r="AE188" i="1"/>
  <c r="AE189" i="1"/>
  <c r="AE190" i="1"/>
  <c r="AE191" i="1"/>
  <c r="AE192" i="1"/>
  <c r="AE193" i="1"/>
  <c r="AE194" i="1"/>
  <c r="AE195" i="1"/>
  <c r="AE196" i="1"/>
  <c r="AE197" i="1"/>
  <c r="AE198" i="1"/>
  <c r="AE199" i="1"/>
  <c r="AE200" i="1"/>
  <c r="AE201" i="1"/>
  <c r="AE202" i="1"/>
  <c r="AE203" i="1"/>
  <c r="AE204" i="1"/>
  <c r="AE205" i="1"/>
  <c r="AE206" i="1"/>
  <c r="AE207" i="1"/>
  <c r="AE208" i="1"/>
  <c r="AE209" i="1"/>
  <c r="AE210" i="1"/>
  <c r="AE211" i="1"/>
  <c r="AE212" i="1"/>
  <c r="AE213" i="1"/>
  <c r="AE214" i="1"/>
  <c r="AE215" i="1"/>
  <c r="AE216" i="1"/>
  <c r="AE217" i="1"/>
  <c r="AE218" i="1"/>
  <c r="AE219" i="1"/>
  <c r="AE220" i="1"/>
  <c r="AE221" i="1"/>
  <c r="AE222" i="1"/>
  <c r="AE223" i="1"/>
  <c r="AE224" i="1"/>
  <c r="AE225" i="1"/>
  <c r="AE226" i="1"/>
  <c r="AE227" i="1"/>
  <c r="AE228" i="1"/>
  <c r="AE229" i="1"/>
  <c r="AE230" i="1"/>
  <c r="AE231" i="1"/>
  <c r="AE232" i="1"/>
  <c r="AE233" i="1"/>
  <c r="AE234" i="1"/>
  <c r="AE235" i="1"/>
  <c r="AE236" i="1"/>
  <c r="AE237" i="1"/>
  <c r="AE238" i="1"/>
  <c r="AE239" i="1"/>
  <c r="AE240" i="1"/>
  <c r="AE241" i="1"/>
  <c r="AE242" i="1"/>
  <c r="AE243" i="1"/>
  <c r="AE244" i="1"/>
  <c r="AE245" i="1"/>
  <c r="AE246" i="1"/>
  <c r="AE247" i="1"/>
  <c r="AE248" i="1"/>
  <c r="AE249" i="1"/>
  <c r="AE250" i="1"/>
  <c r="AE251" i="1"/>
  <c r="AE252" i="1"/>
  <c r="AE253" i="1"/>
  <c r="AE254" i="1"/>
  <c r="AE255" i="1"/>
  <c r="AE256" i="1"/>
  <c r="AE257" i="1"/>
  <c r="AE258" i="1"/>
  <c r="AE259" i="1"/>
  <c r="AE260" i="1"/>
  <c r="AE261" i="1"/>
  <c r="AE262" i="1"/>
  <c r="AE263" i="1"/>
  <c r="AE264" i="1"/>
  <c r="AE265" i="1"/>
  <c r="AE266" i="1"/>
  <c r="AE267" i="1"/>
  <c r="AE268" i="1"/>
  <c r="AE269" i="1"/>
  <c r="AE270" i="1"/>
  <c r="AE271" i="1"/>
  <c r="AE272" i="1"/>
  <c r="AE273" i="1"/>
  <c r="AE274" i="1"/>
  <c r="AE275" i="1"/>
  <c r="AE276" i="1"/>
  <c r="AE277" i="1"/>
  <c r="AE278" i="1"/>
  <c r="AE279" i="1"/>
  <c r="AE280" i="1"/>
  <c r="AE281" i="1"/>
  <c r="AE282" i="1"/>
  <c r="AE283" i="1"/>
  <c r="AE284" i="1"/>
  <c r="AE285" i="1"/>
  <c r="AE286" i="1"/>
  <c r="AE287" i="1"/>
  <c r="AE288" i="1"/>
  <c r="AE289" i="1"/>
  <c r="AE290" i="1"/>
  <c r="AE291" i="1"/>
  <c r="AE292" i="1"/>
  <c r="AE293" i="1"/>
  <c r="AE294" i="1"/>
  <c r="AE295" i="1"/>
  <c r="AE296" i="1"/>
  <c r="AE297" i="1"/>
  <c r="AE298" i="1"/>
  <c r="AE299" i="1"/>
  <c r="AE300" i="1"/>
  <c r="AE301" i="1"/>
  <c r="AE302" i="1"/>
  <c r="AE303" i="1"/>
  <c r="AE304" i="1"/>
  <c r="AE305" i="1"/>
  <c r="AE306" i="1"/>
  <c r="AE307" i="1"/>
  <c r="AE308" i="1"/>
  <c r="AE309" i="1"/>
  <c r="AE310" i="1"/>
  <c r="AE311" i="1"/>
  <c r="AE312" i="1"/>
  <c r="AE313" i="1"/>
  <c r="AE314" i="1"/>
  <c r="AE315" i="1"/>
  <c r="AE316" i="1"/>
  <c r="AE317" i="1"/>
  <c r="AE318" i="1"/>
  <c r="AE319" i="1"/>
  <c r="AE320" i="1"/>
  <c r="AE321" i="1"/>
  <c r="AE322" i="1"/>
  <c r="AE323" i="1"/>
  <c r="AE324" i="1"/>
  <c r="AE325" i="1"/>
  <c r="AE326" i="1"/>
  <c r="AE327" i="1"/>
  <c r="AE328" i="1"/>
  <c r="AE329" i="1"/>
  <c r="AE330" i="1"/>
  <c r="AE331" i="1"/>
  <c r="AE332" i="1"/>
  <c r="AE333" i="1"/>
  <c r="AE334" i="1"/>
  <c r="AE335" i="1"/>
  <c r="AE336" i="1"/>
  <c r="AE337" i="1"/>
  <c r="AE338" i="1"/>
  <c r="AE339" i="1"/>
  <c r="AE340" i="1"/>
  <c r="AE341" i="1"/>
  <c r="AE342" i="1"/>
  <c r="AE343" i="1"/>
  <c r="AE344" i="1"/>
  <c r="AE345" i="1"/>
  <c r="AE346" i="1"/>
  <c r="AE347" i="1"/>
  <c r="AE348" i="1"/>
  <c r="AE349" i="1"/>
  <c r="AE350" i="1"/>
  <c r="AE351" i="1"/>
  <c r="AE352" i="1"/>
  <c r="AE353" i="1"/>
  <c r="AE354" i="1"/>
  <c r="AE355" i="1"/>
  <c r="AE356" i="1"/>
  <c r="AE357" i="1"/>
  <c r="AE358" i="1"/>
  <c r="AE359" i="1"/>
  <c r="AE360" i="1"/>
  <c r="AE361" i="1"/>
  <c r="AE362" i="1"/>
  <c r="AE363" i="1"/>
  <c r="AE364" i="1"/>
  <c r="AE365" i="1"/>
  <c r="AE366" i="1"/>
  <c r="AE367" i="1"/>
  <c r="AE368" i="1"/>
  <c r="AE369" i="1"/>
  <c r="AE370" i="1"/>
  <c r="AE371" i="1"/>
  <c r="AE372" i="1"/>
  <c r="AE373" i="1"/>
  <c r="AE374" i="1"/>
  <c r="AE375" i="1"/>
  <c r="AE376" i="1"/>
  <c r="AE377" i="1"/>
  <c r="AE378" i="1"/>
  <c r="AE379" i="1"/>
  <c r="AE380" i="1"/>
  <c r="AE381" i="1"/>
  <c r="AE382" i="1"/>
  <c r="AE383" i="1"/>
  <c r="AE384" i="1"/>
  <c r="AE385" i="1"/>
  <c r="AE386" i="1"/>
  <c r="AE387" i="1"/>
  <c r="AE388" i="1"/>
  <c r="AE389" i="1"/>
  <c r="AE390" i="1"/>
  <c r="AE391" i="1"/>
  <c r="AE392" i="1"/>
  <c r="AE393" i="1"/>
  <c r="AE394" i="1"/>
  <c r="AE395" i="1"/>
  <c r="AE396" i="1"/>
  <c r="AE397" i="1"/>
  <c r="AE398" i="1"/>
  <c r="AE399" i="1"/>
  <c r="AE400" i="1"/>
  <c r="AE401" i="1"/>
  <c r="AE402" i="1"/>
  <c r="AE403" i="1"/>
  <c r="AE404" i="1"/>
  <c r="AE405" i="1"/>
  <c r="AE406" i="1"/>
  <c r="AE407" i="1"/>
  <c r="AE408" i="1"/>
  <c r="AE409" i="1"/>
  <c r="AE410" i="1"/>
  <c r="AE411" i="1"/>
  <c r="AE412" i="1"/>
  <c r="AE413" i="1"/>
  <c r="AE414" i="1"/>
  <c r="AE415" i="1"/>
  <c r="AE416" i="1"/>
  <c r="AE417" i="1"/>
  <c r="AE418" i="1"/>
  <c r="AE419" i="1"/>
  <c r="AE420" i="1"/>
  <c r="AE421" i="1"/>
  <c r="AE422" i="1"/>
  <c r="AE423" i="1"/>
  <c r="AE424" i="1"/>
  <c r="AE425" i="1"/>
  <c r="AE426" i="1"/>
  <c r="AE427" i="1"/>
  <c r="AE428" i="1"/>
  <c r="AE429" i="1"/>
  <c r="AE430" i="1"/>
  <c r="AE431" i="1"/>
  <c r="AE432" i="1"/>
  <c r="AE433" i="1"/>
  <c r="AE434" i="1"/>
  <c r="AE435" i="1"/>
  <c r="AE436" i="1"/>
  <c r="AE437" i="1"/>
  <c r="AE438" i="1"/>
  <c r="AE439" i="1"/>
  <c r="AE440" i="1"/>
  <c r="AE441" i="1"/>
  <c r="AE442" i="1"/>
  <c r="AE443" i="1"/>
  <c r="AE444" i="1"/>
  <c r="AE445" i="1"/>
  <c r="AE446" i="1"/>
  <c r="AE447" i="1"/>
  <c r="AE448" i="1"/>
  <c r="AE449" i="1"/>
  <c r="AE450" i="1"/>
  <c r="AE451" i="1"/>
  <c r="AE452" i="1"/>
  <c r="AE453" i="1"/>
  <c r="AE454" i="1"/>
  <c r="AE455" i="1"/>
  <c r="AE456" i="1"/>
  <c r="AE457" i="1"/>
  <c r="AE458" i="1"/>
  <c r="AE459" i="1"/>
  <c r="AE460" i="1"/>
  <c r="AE461" i="1"/>
  <c r="AE462" i="1"/>
  <c r="AE463" i="1"/>
  <c r="AE464" i="1"/>
  <c r="AE465" i="1"/>
  <c r="AE466" i="1"/>
  <c r="AE467" i="1"/>
  <c r="AE468" i="1"/>
  <c r="AE469" i="1"/>
  <c r="AE470" i="1"/>
  <c r="AE471" i="1"/>
  <c r="AE472" i="1"/>
  <c r="AE473" i="1"/>
  <c r="AE474" i="1"/>
  <c r="AE475" i="1"/>
  <c r="AE476" i="1"/>
  <c r="AE477" i="1"/>
  <c r="AE478" i="1"/>
  <c r="AE479" i="1"/>
  <c r="AE480" i="1"/>
  <c r="AE481" i="1"/>
  <c r="AE482" i="1"/>
  <c r="AE483" i="1"/>
  <c r="AE484" i="1"/>
  <c r="AE485" i="1"/>
  <c r="AE486" i="1"/>
  <c r="AE487" i="1"/>
  <c r="AE488" i="1"/>
  <c r="AE489" i="1"/>
  <c r="AE490" i="1"/>
  <c r="AE491" i="1"/>
  <c r="AE492" i="1"/>
  <c r="AE493" i="1"/>
  <c r="AE494" i="1"/>
  <c r="AE495" i="1"/>
  <c r="AE496" i="1"/>
  <c r="AE497" i="1"/>
  <c r="AE498" i="1"/>
  <c r="AE499" i="1"/>
  <c r="AE500" i="1"/>
  <c r="AE501" i="1"/>
  <c r="AE502" i="1"/>
  <c r="AE503" i="1"/>
  <c r="AE504" i="1"/>
  <c r="AE505" i="1"/>
  <c r="AE506" i="1"/>
  <c r="AE507" i="1"/>
  <c r="AE508" i="1"/>
  <c r="AE509" i="1"/>
  <c r="AE510" i="1"/>
  <c r="AE511" i="1"/>
  <c r="AE512" i="1"/>
  <c r="AE513" i="1"/>
  <c r="AE514" i="1"/>
  <c r="AE515" i="1"/>
  <c r="AE516" i="1"/>
  <c r="AE517" i="1"/>
  <c r="AE518" i="1"/>
  <c r="AE519" i="1"/>
  <c r="AE520" i="1"/>
  <c r="AE521" i="1"/>
  <c r="AE522" i="1"/>
  <c r="AE523" i="1"/>
  <c r="AE524" i="1"/>
  <c r="AE525" i="1"/>
  <c r="AE526" i="1"/>
  <c r="AE527" i="1"/>
  <c r="AE528" i="1"/>
  <c r="AE529" i="1"/>
  <c r="AE530" i="1"/>
  <c r="AE531" i="1"/>
  <c r="AE532" i="1"/>
  <c r="AE533" i="1"/>
  <c r="AE534" i="1"/>
  <c r="AE535" i="1"/>
  <c r="AE536" i="1"/>
  <c r="AE537" i="1"/>
  <c r="AE538" i="1"/>
  <c r="AE539" i="1"/>
  <c r="AE540" i="1"/>
  <c r="AE541" i="1"/>
  <c r="AE542" i="1"/>
  <c r="AE543" i="1"/>
  <c r="AE544" i="1"/>
  <c r="AE545" i="1"/>
  <c r="AE546" i="1"/>
  <c r="AE547" i="1"/>
  <c r="AE548" i="1"/>
  <c r="AE549" i="1"/>
  <c r="AE550" i="1"/>
  <c r="AE551" i="1"/>
  <c r="AE552" i="1"/>
  <c r="AE553" i="1"/>
  <c r="AE554" i="1"/>
  <c r="AE555" i="1"/>
  <c r="AE556" i="1"/>
  <c r="AE557" i="1"/>
  <c r="AE558" i="1"/>
  <c r="AE559" i="1"/>
  <c r="AE560" i="1"/>
  <c r="AE561" i="1"/>
  <c r="AE562" i="1"/>
  <c r="AE563" i="1"/>
  <c r="AE564" i="1"/>
  <c r="AE565" i="1"/>
  <c r="AE566" i="1"/>
  <c r="AE567" i="1"/>
  <c r="AE568" i="1"/>
  <c r="AE569" i="1"/>
  <c r="AE570" i="1"/>
  <c r="AE571" i="1"/>
  <c r="AE572" i="1"/>
  <c r="AE573" i="1"/>
  <c r="AE574" i="1"/>
  <c r="AE575" i="1"/>
  <c r="AE576" i="1"/>
  <c r="AE577" i="1"/>
  <c r="AE578" i="1"/>
  <c r="AE579" i="1"/>
  <c r="AE580" i="1"/>
  <c r="AE581" i="1"/>
  <c r="AE582" i="1"/>
  <c r="AE583" i="1"/>
  <c r="AE584" i="1"/>
  <c r="AE585" i="1"/>
  <c r="AE586" i="1"/>
  <c r="AE587" i="1"/>
  <c r="AE588" i="1"/>
  <c r="AE589" i="1"/>
  <c r="AE590" i="1"/>
  <c r="AE591" i="1"/>
  <c r="AE592" i="1"/>
  <c r="AE593" i="1"/>
  <c r="AE594" i="1"/>
  <c r="AE595" i="1"/>
  <c r="AE596" i="1"/>
  <c r="AE597" i="1"/>
  <c r="AE598" i="1"/>
  <c r="AE599" i="1"/>
  <c r="AE600" i="1"/>
  <c r="AE2" i="1"/>
  <c r="Q4" i="4"/>
  <c r="Q5" i="4"/>
  <c r="Q6" i="4"/>
  <c r="Q7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34" i="4"/>
  <c r="Q35" i="4"/>
  <c r="Q36" i="4"/>
  <c r="Q37" i="4"/>
  <c r="Q38" i="4"/>
  <c r="Q39" i="4"/>
  <c r="Q40" i="4"/>
  <c r="Q41" i="4"/>
  <c r="Q42" i="4"/>
  <c r="Q43" i="4"/>
  <c r="Q44" i="4"/>
  <c r="Q45" i="4"/>
  <c r="Q46" i="4"/>
  <c r="Q47" i="4"/>
  <c r="Q48" i="4"/>
  <c r="Q49" i="4"/>
  <c r="Q50" i="4"/>
  <c r="Q51" i="4"/>
  <c r="Q52" i="4"/>
  <c r="Q53" i="4"/>
  <c r="Q54" i="4"/>
  <c r="Q55" i="4"/>
  <c r="Q56" i="4"/>
  <c r="Q57" i="4"/>
  <c r="Q58" i="4"/>
  <c r="Q59" i="4"/>
  <c r="Q60" i="4"/>
  <c r="Q61" i="4"/>
  <c r="Q62" i="4"/>
  <c r="Q63" i="4"/>
  <c r="Q64" i="4"/>
  <c r="Q65" i="4"/>
  <c r="Q66" i="4"/>
  <c r="Q67" i="4"/>
  <c r="Q68" i="4"/>
  <c r="Q69" i="4"/>
  <c r="Q70" i="4"/>
  <c r="Q71" i="4"/>
  <c r="Q72" i="4"/>
  <c r="Q73" i="4"/>
  <c r="Q74" i="4"/>
  <c r="Q75" i="4"/>
  <c r="Q76" i="4"/>
  <c r="Q77" i="4"/>
  <c r="Q78" i="4"/>
  <c r="Q79" i="4"/>
  <c r="Q80" i="4"/>
  <c r="Q81" i="4"/>
  <c r="Q82" i="4"/>
  <c r="Q83" i="4"/>
  <c r="Q84" i="4"/>
  <c r="Q85" i="4"/>
  <c r="Q86" i="4"/>
  <c r="Q87" i="4"/>
  <c r="Q88" i="4"/>
  <c r="Q89" i="4"/>
  <c r="Q90" i="4"/>
  <c r="Q91" i="4"/>
  <c r="Q92" i="4"/>
  <c r="Q93" i="4"/>
  <c r="Q94" i="4"/>
  <c r="Q95" i="4"/>
  <c r="Q96" i="4"/>
  <c r="Q97" i="4"/>
  <c r="Q98" i="4"/>
  <c r="Q99" i="4"/>
  <c r="Q100" i="4"/>
  <c r="Q101" i="4"/>
  <c r="Q102" i="4"/>
  <c r="Q103" i="4"/>
  <c r="Q104" i="4"/>
  <c r="Q105" i="4"/>
  <c r="Q106" i="4"/>
  <c r="Q107" i="4"/>
  <c r="Q108" i="4"/>
  <c r="Q109" i="4"/>
  <c r="Q110" i="4"/>
  <c r="Q111" i="4"/>
  <c r="Q112" i="4"/>
  <c r="Q113" i="4"/>
  <c r="Q114" i="4"/>
  <c r="Q115" i="4"/>
  <c r="Q116" i="4"/>
  <c r="Q117" i="4"/>
  <c r="Q118" i="4"/>
  <c r="Q119" i="4"/>
  <c r="Q120" i="4"/>
  <c r="Q121" i="4"/>
  <c r="Q122" i="4"/>
  <c r="Q123" i="4"/>
  <c r="Q124" i="4"/>
  <c r="Q125" i="4"/>
  <c r="Q126" i="4"/>
  <c r="Q127" i="4"/>
  <c r="Q128" i="4"/>
  <c r="Q129" i="4"/>
  <c r="Q130" i="4"/>
  <c r="Q131" i="4"/>
  <c r="Q132" i="4"/>
  <c r="Q133" i="4"/>
  <c r="Q134" i="4"/>
  <c r="Q135" i="4"/>
  <c r="Q136" i="4"/>
  <c r="Q137" i="4"/>
  <c r="Q138" i="4"/>
  <c r="Q139" i="4"/>
  <c r="Q140" i="4"/>
  <c r="Q141" i="4"/>
  <c r="Q142" i="4"/>
  <c r="Q143" i="4"/>
  <c r="Q144" i="4"/>
  <c r="Q145" i="4"/>
  <c r="Q146" i="4"/>
  <c r="Q147" i="4"/>
  <c r="Q148" i="4"/>
  <c r="Q149" i="4"/>
  <c r="Q150" i="4"/>
  <c r="Q151" i="4"/>
  <c r="Q152" i="4"/>
  <c r="Q153" i="4"/>
  <c r="Q154" i="4"/>
  <c r="Q155" i="4"/>
  <c r="Q156" i="4"/>
  <c r="Q157" i="4"/>
  <c r="Q158" i="4"/>
  <c r="Q159" i="4"/>
  <c r="Q160" i="4"/>
  <c r="Q161" i="4"/>
  <c r="Q162" i="4"/>
  <c r="Q163" i="4"/>
  <c r="Q164" i="4"/>
  <c r="Q165" i="4"/>
  <c r="Q166" i="4"/>
  <c r="Q167" i="4"/>
  <c r="Q168" i="4"/>
  <c r="Q169" i="4"/>
  <c r="Q170" i="4"/>
  <c r="Q171" i="4"/>
  <c r="Q172" i="4"/>
  <c r="Q173" i="4"/>
  <c r="Q174" i="4"/>
  <c r="Q175" i="4"/>
  <c r="Q176" i="4"/>
  <c r="Q177" i="4"/>
  <c r="Q178" i="4"/>
  <c r="Q179" i="4"/>
  <c r="Q180" i="4"/>
  <c r="Q181" i="4"/>
  <c r="Q182" i="4"/>
  <c r="Q183" i="4"/>
  <c r="Q184" i="4"/>
  <c r="Q185" i="4"/>
  <c r="Q186" i="4"/>
  <c r="Q187" i="4"/>
  <c r="Q188" i="4"/>
  <c r="Q189" i="4"/>
  <c r="Q190" i="4"/>
  <c r="Q191" i="4"/>
  <c r="Q192" i="4"/>
  <c r="Q193" i="4"/>
  <c r="Q194" i="4"/>
  <c r="Q195" i="4"/>
  <c r="Q196" i="4"/>
  <c r="Q197" i="4"/>
  <c r="Q198" i="4"/>
  <c r="Q199" i="4"/>
  <c r="Q200" i="4"/>
  <c r="Q201" i="4"/>
  <c r="Q202" i="4"/>
  <c r="Q203" i="4"/>
  <c r="Q204" i="4"/>
  <c r="Q205" i="4"/>
  <c r="Q206" i="4"/>
  <c r="Q207" i="4"/>
  <c r="Q208" i="4"/>
  <c r="Q209" i="4"/>
  <c r="Q210" i="4"/>
  <c r="Q211" i="4"/>
  <c r="Q212" i="4"/>
  <c r="Q213" i="4"/>
  <c r="Q214" i="4"/>
  <c r="Q215" i="4"/>
  <c r="Q216" i="4"/>
  <c r="Q217" i="4"/>
  <c r="Q218" i="4"/>
  <c r="Q219" i="4"/>
  <c r="Q220" i="4"/>
  <c r="Q221" i="4"/>
  <c r="Q222" i="4"/>
  <c r="Q223" i="4"/>
  <c r="Q224" i="4"/>
  <c r="Q225" i="4"/>
  <c r="Q226" i="4"/>
  <c r="Q227" i="4"/>
  <c r="Q228" i="4"/>
  <c r="Q229" i="4"/>
  <c r="Q230" i="4"/>
  <c r="Q231" i="4"/>
  <c r="Q232" i="4"/>
  <c r="Q233" i="4"/>
  <c r="Q234" i="4"/>
  <c r="Q235" i="4"/>
  <c r="Q236" i="4"/>
  <c r="Q237" i="4"/>
  <c r="Q238" i="4"/>
  <c r="Q239" i="4"/>
  <c r="Q240" i="4"/>
  <c r="Q241" i="4"/>
  <c r="Q242" i="4"/>
  <c r="Q243" i="4"/>
  <c r="Q244" i="4"/>
  <c r="Q245" i="4"/>
  <c r="Q246" i="4"/>
  <c r="Q247" i="4"/>
  <c r="Q248" i="4"/>
  <c r="Q249" i="4"/>
  <c r="Q250" i="4"/>
  <c r="Q251" i="4"/>
  <c r="Q252" i="4"/>
  <c r="Q253" i="4"/>
  <c r="Q254" i="4"/>
  <c r="Q255" i="4"/>
  <c r="Q256" i="4"/>
  <c r="Q257" i="4"/>
  <c r="Q258" i="4"/>
  <c r="Q259" i="4"/>
  <c r="Q260" i="4"/>
  <c r="Q261" i="4"/>
  <c r="Q262" i="4"/>
  <c r="Q263" i="4"/>
  <c r="Q264" i="4"/>
  <c r="Q265" i="4"/>
  <c r="Q266" i="4"/>
  <c r="Q267" i="4"/>
  <c r="Q268" i="4"/>
  <c r="Q269" i="4"/>
  <c r="Q270" i="4"/>
  <c r="Q271" i="4"/>
  <c r="Q272" i="4"/>
  <c r="Q273" i="4"/>
  <c r="Q274" i="4"/>
  <c r="Q275" i="4"/>
  <c r="Q276" i="4"/>
  <c r="Q277" i="4"/>
  <c r="Q278" i="4"/>
  <c r="Q279" i="4"/>
  <c r="Q280" i="4"/>
  <c r="Q281" i="4"/>
  <c r="Q282" i="4"/>
  <c r="Q283" i="4"/>
  <c r="Q284" i="4"/>
  <c r="Q285" i="4"/>
  <c r="Q286" i="4"/>
  <c r="Q287" i="4"/>
  <c r="Q288" i="4"/>
  <c r="Q289" i="4"/>
  <c r="Q290" i="4"/>
  <c r="Q291" i="4"/>
  <c r="Q292" i="4"/>
  <c r="Q293" i="4"/>
  <c r="Q294" i="4"/>
  <c r="Q295" i="4"/>
  <c r="Q296" i="4"/>
  <c r="Q297" i="4"/>
  <c r="Q298" i="4"/>
  <c r="Q299" i="4"/>
  <c r="Q300" i="4"/>
  <c r="Q301" i="4"/>
  <c r="Q302" i="4"/>
  <c r="Q303" i="4"/>
  <c r="Q304" i="4"/>
  <c r="Q305" i="4"/>
  <c r="Q306" i="4"/>
  <c r="Q307" i="4"/>
  <c r="Q308" i="4"/>
  <c r="Q309" i="4"/>
  <c r="Q310" i="4"/>
  <c r="Q311" i="4"/>
  <c r="Q312" i="4"/>
  <c r="Q313" i="4"/>
  <c r="Q314" i="4"/>
  <c r="Q315" i="4"/>
  <c r="Q316" i="4"/>
  <c r="Q317" i="4"/>
  <c r="Q318" i="4"/>
  <c r="Q319" i="4"/>
  <c r="Q320" i="4"/>
  <c r="Q321" i="4"/>
  <c r="Q322" i="4"/>
  <c r="Q323" i="4"/>
  <c r="Q324" i="4"/>
  <c r="Q325" i="4"/>
  <c r="Q326" i="4"/>
  <c r="Q327" i="4"/>
  <c r="Q328" i="4"/>
  <c r="Q329" i="4"/>
  <c r="Q330" i="4"/>
  <c r="Q331" i="4"/>
  <c r="Q332" i="4"/>
  <c r="Q333" i="4"/>
  <c r="Q334" i="4"/>
  <c r="Q335" i="4"/>
  <c r="Q336" i="4"/>
  <c r="Q337" i="4"/>
  <c r="Q338" i="4"/>
  <c r="Q339" i="4"/>
  <c r="Q340" i="4"/>
  <c r="Q341" i="4"/>
  <c r="Q342" i="4"/>
  <c r="Q343" i="4"/>
  <c r="Q344" i="4"/>
  <c r="Q345" i="4"/>
  <c r="Q346" i="4"/>
  <c r="Q347" i="4"/>
  <c r="Q348" i="4"/>
  <c r="Q349" i="4"/>
  <c r="Q350" i="4"/>
  <c r="Q351" i="4"/>
  <c r="Q352" i="4"/>
  <c r="Q353" i="4"/>
  <c r="Q354" i="4"/>
  <c r="Q355" i="4"/>
  <c r="Q356" i="4"/>
  <c r="Q357" i="4"/>
  <c r="Q358" i="4"/>
  <c r="Q359" i="4"/>
  <c r="Q360" i="4"/>
  <c r="Q361" i="4"/>
  <c r="Q362" i="4"/>
  <c r="Q363" i="4"/>
  <c r="Q364" i="4"/>
  <c r="Q365" i="4"/>
  <c r="Q366" i="4"/>
  <c r="Q367" i="4"/>
  <c r="Q368" i="4"/>
  <c r="Q369" i="4"/>
  <c r="Q370" i="4"/>
  <c r="Q371" i="4"/>
  <c r="Q372" i="4"/>
  <c r="Q373" i="4"/>
  <c r="Q374" i="4"/>
  <c r="Q375" i="4"/>
  <c r="Q376" i="4"/>
  <c r="Q377" i="4"/>
  <c r="Q378" i="4"/>
  <c r="Q379" i="4"/>
  <c r="Q380" i="4"/>
  <c r="Q381" i="4"/>
  <c r="Q382" i="4"/>
  <c r="Q383" i="4"/>
  <c r="Q384" i="4"/>
  <c r="Q385" i="4"/>
  <c r="Q386" i="4"/>
  <c r="Q387" i="4"/>
  <c r="Q388" i="4"/>
  <c r="Q389" i="4"/>
  <c r="Q390" i="4"/>
  <c r="Q391" i="4"/>
  <c r="Q392" i="4"/>
  <c r="Q393" i="4"/>
  <c r="Q394" i="4"/>
  <c r="Q395" i="4"/>
  <c r="Q396" i="4"/>
  <c r="Q397" i="4"/>
  <c r="Q398" i="4"/>
  <c r="Q399" i="4"/>
  <c r="Q400" i="4"/>
  <c r="Q401" i="4"/>
  <c r="Q402" i="4"/>
  <c r="Q403" i="4"/>
  <c r="Q404" i="4"/>
  <c r="Q405" i="4"/>
  <c r="Q406" i="4"/>
  <c r="Q407" i="4"/>
  <c r="Q408" i="4"/>
  <c r="Q409" i="4"/>
  <c r="Q410" i="4"/>
  <c r="Q411" i="4"/>
  <c r="Q412" i="4"/>
  <c r="Q413" i="4"/>
  <c r="Q414" i="4"/>
  <c r="Q415" i="4"/>
  <c r="Q416" i="4"/>
  <c r="Q417" i="4"/>
  <c r="Q418" i="4"/>
  <c r="Q419" i="4"/>
  <c r="Q420" i="4"/>
  <c r="Q421" i="4"/>
  <c r="Q422" i="4"/>
  <c r="Q423" i="4"/>
  <c r="Q424" i="4"/>
  <c r="Q425" i="4"/>
  <c r="Q426" i="4"/>
  <c r="Q427" i="4"/>
  <c r="Q428" i="4"/>
  <c r="Q429" i="4"/>
  <c r="Q430" i="4"/>
  <c r="Q431" i="4"/>
  <c r="Q432" i="4"/>
  <c r="Q433" i="4"/>
  <c r="Q434" i="4"/>
  <c r="Q435" i="4"/>
  <c r="Q436" i="4"/>
  <c r="Q437" i="4"/>
  <c r="Q438" i="4"/>
  <c r="Q439" i="4"/>
  <c r="Q440" i="4"/>
  <c r="Q441" i="4"/>
  <c r="Q442" i="4"/>
  <c r="Q443" i="4"/>
  <c r="Q444" i="4"/>
  <c r="Q445" i="4"/>
  <c r="Q446" i="4"/>
  <c r="Q447" i="4"/>
  <c r="Q448" i="4"/>
  <c r="Q449" i="4"/>
  <c r="Q450" i="4"/>
  <c r="Q451" i="4"/>
  <c r="Q452" i="4"/>
  <c r="Q453" i="4"/>
  <c r="Q454" i="4"/>
  <c r="Q455" i="4"/>
  <c r="Q456" i="4"/>
  <c r="Q457" i="4"/>
  <c r="Q458" i="4"/>
  <c r="Q459" i="4"/>
  <c r="Q460" i="4"/>
  <c r="Q461" i="4"/>
  <c r="Q462" i="4"/>
  <c r="Q463" i="4"/>
  <c r="Q464" i="4"/>
  <c r="Q465" i="4"/>
  <c r="Q466" i="4"/>
  <c r="Q467" i="4"/>
  <c r="Q468" i="4"/>
  <c r="Q469" i="4"/>
  <c r="Q470" i="4"/>
  <c r="Q471" i="4"/>
  <c r="Q472" i="4"/>
  <c r="Q473" i="4"/>
  <c r="Q474" i="4"/>
  <c r="Q475" i="4"/>
  <c r="Q476" i="4"/>
  <c r="Q477" i="4"/>
  <c r="Q478" i="4"/>
  <c r="Q479" i="4"/>
  <c r="Q480" i="4"/>
  <c r="Q481" i="4"/>
  <c r="Q482" i="4"/>
  <c r="Q483" i="4"/>
  <c r="Q484" i="4"/>
  <c r="Q485" i="4"/>
  <c r="Q486" i="4"/>
  <c r="Q487" i="4"/>
  <c r="Q488" i="4"/>
  <c r="Q489" i="4"/>
  <c r="Q490" i="4"/>
  <c r="Q491" i="4"/>
  <c r="Q492" i="4"/>
  <c r="Q493" i="4"/>
  <c r="Q494" i="4"/>
  <c r="Q495" i="4"/>
  <c r="Q496" i="4"/>
  <c r="Q497" i="4"/>
  <c r="Q498" i="4"/>
  <c r="Q499" i="4"/>
  <c r="Q500" i="4"/>
  <c r="Q501" i="4"/>
  <c r="Q502" i="4"/>
  <c r="Q503" i="4"/>
  <c r="Q504" i="4"/>
  <c r="Q505" i="4"/>
  <c r="Q506" i="4"/>
  <c r="Q507" i="4"/>
  <c r="Q508" i="4"/>
  <c r="Q509" i="4"/>
  <c r="Q510" i="4"/>
  <c r="Q511" i="4"/>
  <c r="Q512" i="4"/>
  <c r="Q513" i="4"/>
  <c r="Q514" i="4"/>
  <c r="Q515" i="4"/>
  <c r="Q516" i="4"/>
  <c r="Q517" i="4"/>
  <c r="Q518" i="4"/>
  <c r="Q519" i="4"/>
  <c r="Q520" i="4"/>
  <c r="Q521" i="4"/>
  <c r="Q522" i="4"/>
  <c r="Q523" i="4"/>
  <c r="Q524" i="4"/>
  <c r="Q525" i="4"/>
  <c r="Q526" i="4"/>
  <c r="Q527" i="4"/>
  <c r="Q528" i="4"/>
  <c r="Q529" i="4"/>
  <c r="Q530" i="4"/>
  <c r="Q531" i="4"/>
  <c r="Q532" i="4"/>
  <c r="Q533" i="4"/>
  <c r="Q534" i="4"/>
  <c r="Q535" i="4"/>
  <c r="Q536" i="4"/>
  <c r="Q537" i="4"/>
  <c r="Q538" i="4"/>
  <c r="Q539" i="4"/>
  <c r="Q540" i="4"/>
  <c r="Q541" i="4"/>
  <c r="Q542" i="4"/>
  <c r="Q543" i="4"/>
  <c r="Q544" i="4"/>
  <c r="Q545" i="4"/>
  <c r="Q546" i="4"/>
  <c r="Q547" i="4"/>
  <c r="Q548" i="4"/>
  <c r="Q549" i="4"/>
  <c r="Q550" i="4"/>
  <c r="Q551" i="4"/>
  <c r="Q552" i="4"/>
  <c r="Q553" i="4"/>
  <c r="Q554" i="4"/>
  <c r="Q555" i="4"/>
  <c r="Q556" i="4"/>
  <c r="Q557" i="4"/>
  <c r="Q558" i="4"/>
  <c r="Q559" i="4"/>
  <c r="Q560" i="4"/>
  <c r="Q561" i="4"/>
  <c r="Q562" i="4"/>
  <c r="Q563" i="4"/>
  <c r="Q564" i="4"/>
  <c r="Q565" i="4"/>
  <c r="Q566" i="4"/>
  <c r="Q567" i="4"/>
  <c r="Q568" i="4"/>
  <c r="Q569" i="4"/>
  <c r="Q570" i="4"/>
  <c r="Q571" i="4"/>
  <c r="Q572" i="4"/>
  <c r="Q573" i="4"/>
  <c r="Q574" i="4"/>
  <c r="Q575" i="4"/>
  <c r="Q576" i="4"/>
  <c r="Q577" i="4"/>
  <c r="Q578" i="4"/>
  <c r="Q579" i="4"/>
  <c r="Q580" i="4"/>
  <c r="Q581" i="4"/>
  <c r="Q582" i="4"/>
  <c r="Q583" i="4"/>
  <c r="Q584" i="4"/>
  <c r="Q585" i="4"/>
  <c r="Q586" i="4"/>
  <c r="Q587" i="4"/>
  <c r="Q588" i="4"/>
  <c r="Q589" i="4"/>
  <c r="Q590" i="4"/>
  <c r="Q591" i="4"/>
  <c r="Q592" i="4"/>
  <c r="Q593" i="4"/>
  <c r="Q594" i="4"/>
  <c r="Q595" i="4"/>
  <c r="Q596" i="4"/>
  <c r="Q597" i="4"/>
  <c r="Q598" i="4"/>
  <c r="Q599" i="4"/>
  <c r="Q600" i="4"/>
  <c r="Q601" i="4"/>
  <c r="Q3" i="4"/>
  <c r="P4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P43" i="4"/>
  <c r="P44" i="4"/>
  <c r="P45" i="4"/>
  <c r="P46" i="4"/>
  <c r="P47" i="4"/>
  <c r="P48" i="4"/>
  <c r="P49" i="4"/>
  <c r="P50" i="4"/>
  <c r="P51" i="4"/>
  <c r="P52" i="4"/>
  <c r="P53" i="4"/>
  <c r="P54" i="4"/>
  <c r="P55" i="4"/>
  <c r="P56" i="4"/>
  <c r="P57" i="4"/>
  <c r="P58" i="4"/>
  <c r="P59" i="4"/>
  <c r="P60" i="4"/>
  <c r="P61" i="4"/>
  <c r="P62" i="4"/>
  <c r="P63" i="4"/>
  <c r="P64" i="4"/>
  <c r="P65" i="4"/>
  <c r="P66" i="4"/>
  <c r="P67" i="4"/>
  <c r="P68" i="4"/>
  <c r="P69" i="4"/>
  <c r="P70" i="4"/>
  <c r="P71" i="4"/>
  <c r="P72" i="4"/>
  <c r="P73" i="4"/>
  <c r="P74" i="4"/>
  <c r="P75" i="4"/>
  <c r="P76" i="4"/>
  <c r="P77" i="4"/>
  <c r="P78" i="4"/>
  <c r="P79" i="4"/>
  <c r="P80" i="4"/>
  <c r="P81" i="4"/>
  <c r="P82" i="4"/>
  <c r="P83" i="4"/>
  <c r="P84" i="4"/>
  <c r="P85" i="4"/>
  <c r="P86" i="4"/>
  <c r="P87" i="4"/>
  <c r="P88" i="4"/>
  <c r="P89" i="4"/>
  <c r="P90" i="4"/>
  <c r="P91" i="4"/>
  <c r="P92" i="4"/>
  <c r="P93" i="4"/>
  <c r="P94" i="4"/>
  <c r="P95" i="4"/>
  <c r="P96" i="4"/>
  <c r="P97" i="4"/>
  <c r="P98" i="4"/>
  <c r="P99" i="4"/>
  <c r="P100" i="4"/>
  <c r="P101" i="4"/>
  <c r="P102" i="4"/>
  <c r="P103" i="4"/>
  <c r="P104" i="4"/>
  <c r="P105" i="4"/>
  <c r="P106" i="4"/>
  <c r="P107" i="4"/>
  <c r="P108" i="4"/>
  <c r="P109" i="4"/>
  <c r="P110" i="4"/>
  <c r="P111" i="4"/>
  <c r="P112" i="4"/>
  <c r="P113" i="4"/>
  <c r="P114" i="4"/>
  <c r="P115" i="4"/>
  <c r="P116" i="4"/>
  <c r="P117" i="4"/>
  <c r="P118" i="4"/>
  <c r="P119" i="4"/>
  <c r="P120" i="4"/>
  <c r="P121" i="4"/>
  <c r="P122" i="4"/>
  <c r="P123" i="4"/>
  <c r="P124" i="4"/>
  <c r="P125" i="4"/>
  <c r="P126" i="4"/>
  <c r="P127" i="4"/>
  <c r="P128" i="4"/>
  <c r="P129" i="4"/>
  <c r="P130" i="4"/>
  <c r="P131" i="4"/>
  <c r="P132" i="4"/>
  <c r="P133" i="4"/>
  <c r="P134" i="4"/>
  <c r="P135" i="4"/>
  <c r="P136" i="4"/>
  <c r="P137" i="4"/>
  <c r="P138" i="4"/>
  <c r="P139" i="4"/>
  <c r="P140" i="4"/>
  <c r="P141" i="4"/>
  <c r="P142" i="4"/>
  <c r="P143" i="4"/>
  <c r="P144" i="4"/>
  <c r="P145" i="4"/>
  <c r="P146" i="4"/>
  <c r="P147" i="4"/>
  <c r="P148" i="4"/>
  <c r="P149" i="4"/>
  <c r="P150" i="4"/>
  <c r="P151" i="4"/>
  <c r="P152" i="4"/>
  <c r="P153" i="4"/>
  <c r="P154" i="4"/>
  <c r="P155" i="4"/>
  <c r="P156" i="4"/>
  <c r="P157" i="4"/>
  <c r="P158" i="4"/>
  <c r="P159" i="4"/>
  <c r="P160" i="4"/>
  <c r="P161" i="4"/>
  <c r="P162" i="4"/>
  <c r="P163" i="4"/>
  <c r="P164" i="4"/>
  <c r="P165" i="4"/>
  <c r="P166" i="4"/>
  <c r="P167" i="4"/>
  <c r="P168" i="4"/>
  <c r="P169" i="4"/>
  <c r="P170" i="4"/>
  <c r="P171" i="4"/>
  <c r="P172" i="4"/>
  <c r="P173" i="4"/>
  <c r="P174" i="4"/>
  <c r="P175" i="4"/>
  <c r="P176" i="4"/>
  <c r="P177" i="4"/>
  <c r="P178" i="4"/>
  <c r="P179" i="4"/>
  <c r="P180" i="4"/>
  <c r="P181" i="4"/>
  <c r="P182" i="4"/>
  <c r="P183" i="4"/>
  <c r="P184" i="4"/>
  <c r="P185" i="4"/>
  <c r="P186" i="4"/>
  <c r="P187" i="4"/>
  <c r="P188" i="4"/>
  <c r="P189" i="4"/>
  <c r="P190" i="4"/>
  <c r="P191" i="4"/>
  <c r="P192" i="4"/>
  <c r="P193" i="4"/>
  <c r="P194" i="4"/>
  <c r="P195" i="4"/>
  <c r="P196" i="4"/>
  <c r="P197" i="4"/>
  <c r="P198" i="4"/>
  <c r="P199" i="4"/>
  <c r="P200" i="4"/>
  <c r="P201" i="4"/>
  <c r="P202" i="4"/>
  <c r="P203" i="4"/>
  <c r="P204" i="4"/>
  <c r="P205" i="4"/>
  <c r="P206" i="4"/>
  <c r="P207" i="4"/>
  <c r="P208" i="4"/>
  <c r="P209" i="4"/>
  <c r="P210" i="4"/>
  <c r="P211" i="4"/>
  <c r="P212" i="4"/>
  <c r="P213" i="4"/>
  <c r="P214" i="4"/>
  <c r="P215" i="4"/>
  <c r="P216" i="4"/>
  <c r="P217" i="4"/>
  <c r="P218" i="4"/>
  <c r="P219" i="4"/>
  <c r="P220" i="4"/>
  <c r="P221" i="4"/>
  <c r="P222" i="4"/>
  <c r="P223" i="4"/>
  <c r="P224" i="4"/>
  <c r="P225" i="4"/>
  <c r="P226" i="4"/>
  <c r="P227" i="4"/>
  <c r="P228" i="4"/>
  <c r="P229" i="4"/>
  <c r="P230" i="4"/>
  <c r="P231" i="4"/>
  <c r="P232" i="4"/>
  <c r="P233" i="4"/>
  <c r="P234" i="4"/>
  <c r="P235" i="4"/>
  <c r="P236" i="4"/>
  <c r="P237" i="4"/>
  <c r="P238" i="4"/>
  <c r="P239" i="4"/>
  <c r="P240" i="4"/>
  <c r="P241" i="4"/>
  <c r="P242" i="4"/>
  <c r="P243" i="4"/>
  <c r="P244" i="4"/>
  <c r="P245" i="4"/>
  <c r="P246" i="4"/>
  <c r="P247" i="4"/>
  <c r="P248" i="4"/>
  <c r="P249" i="4"/>
  <c r="P250" i="4"/>
  <c r="P251" i="4"/>
  <c r="P252" i="4"/>
  <c r="P253" i="4"/>
  <c r="P254" i="4"/>
  <c r="P255" i="4"/>
  <c r="P256" i="4"/>
  <c r="P257" i="4"/>
  <c r="P258" i="4"/>
  <c r="P259" i="4"/>
  <c r="P260" i="4"/>
  <c r="P261" i="4"/>
  <c r="P262" i="4"/>
  <c r="P263" i="4"/>
  <c r="P264" i="4"/>
  <c r="P265" i="4"/>
  <c r="P266" i="4"/>
  <c r="P267" i="4"/>
  <c r="P268" i="4"/>
  <c r="P269" i="4"/>
  <c r="P270" i="4"/>
  <c r="P271" i="4"/>
  <c r="P272" i="4"/>
  <c r="P273" i="4"/>
  <c r="P274" i="4"/>
  <c r="P275" i="4"/>
  <c r="P276" i="4"/>
  <c r="P277" i="4"/>
  <c r="P278" i="4"/>
  <c r="P279" i="4"/>
  <c r="P280" i="4"/>
  <c r="P281" i="4"/>
  <c r="P282" i="4"/>
  <c r="P283" i="4"/>
  <c r="P284" i="4"/>
  <c r="P285" i="4"/>
  <c r="P286" i="4"/>
  <c r="P287" i="4"/>
  <c r="P288" i="4"/>
  <c r="P289" i="4"/>
  <c r="P290" i="4"/>
  <c r="P291" i="4"/>
  <c r="P292" i="4"/>
  <c r="P293" i="4"/>
  <c r="P294" i="4"/>
  <c r="P295" i="4"/>
  <c r="P296" i="4"/>
  <c r="P297" i="4"/>
  <c r="P298" i="4"/>
  <c r="P299" i="4"/>
  <c r="P300" i="4"/>
  <c r="P301" i="4"/>
  <c r="P302" i="4"/>
  <c r="P303" i="4"/>
  <c r="P304" i="4"/>
  <c r="P305" i="4"/>
  <c r="P306" i="4"/>
  <c r="P307" i="4"/>
  <c r="P308" i="4"/>
  <c r="P309" i="4"/>
  <c r="P310" i="4"/>
  <c r="P311" i="4"/>
  <c r="P312" i="4"/>
  <c r="P313" i="4"/>
  <c r="P314" i="4"/>
  <c r="P315" i="4"/>
  <c r="P316" i="4"/>
  <c r="P317" i="4"/>
  <c r="P318" i="4"/>
  <c r="P319" i="4"/>
  <c r="P320" i="4"/>
  <c r="P321" i="4"/>
  <c r="P322" i="4"/>
  <c r="P323" i="4"/>
  <c r="P324" i="4"/>
  <c r="P325" i="4"/>
  <c r="P326" i="4"/>
  <c r="P327" i="4"/>
  <c r="P328" i="4"/>
  <c r="P329" i="4"/>
  <c r="P330" i="4"/>
  <c r="P331" i="4"/>
  <c r="P332" i="4"/>
  <c r="P333" i="4"/>
  <c r="P334" i="4"/>
  <c r="P335" i="4"/>
  <c r="P336" i="4"/>
  <c r="P337" i="4"/>
  <c r="P338" i="4"/>
  <c r="P339" i="4"/>
  <c r="P340" i="4"/>
  <c r="P341" i="4"/>
  <c r="P342" i="4"/>
  <c r="P343" i="4"/>
  <c r="P344" i="4"/>
  <c r="P345" i="4"/>
  <c r="P346" i="4"/>
  <c r="P347" i="4"/>
  <c r="P348" i="4"/>
  <c r="P349" i="4"/>
  <c r="P350" i="4"/>
  <c r="P351" i="4"/>
  <c r="P352" i="4"/>
  <c r="P353" i="4"/>
  <c r="P354" i="4"/>
  <c r="P355" i="4"/>
  <c r="P356" i="4"/>
  <c r="P357" i="4"/>
  <c r="P358" i="4"/>
  <c r="P359" i="4"/>
  <c r="P360" i="4"/>
  <c r="P361" i="4"/>
  <c r="P362" i="4"/>
  <c r="P363" i="4"/>
  <c r="P364" i="4"/>
  <c r="P365" i="4"/>
  <c r="P366" i="4"/>
  <c r="P367" i="4"/>
  <c r="P368" i="4"/>
  <c r="P369" i="4"/>
  <c r="P370" i="4"/>
  <c r="P371" i="4"/>
  <c r="P372" i="4"/>
  <c r="P373" i="4"/>
  <c r="P374" i="4"/>
  <c r="P375" i="4"/>
  <c r="P376" i="4"/>
  <c r="P377" i="4"/>
  <c r="P378" i="4"/>
  <c r="P379" i="4"/>
  <c r="P380" i="4"/>
  <c r="P381" i="4"/>
  <c r="P382" i="4"/>
  <c r="P383" i="4"/>
  <c r="P384" i="4"/>
  <c r="P385" i="4"/>
  <c r="P386" i="4"/>
  <c r="P387" i="4"/>
  <c r="P388" i="4"/>
  <c r="P389" i="4"/>
  <c r="P390" i="4"/>
  <c r="P391" i="4"/>
  <c r="P392" i="4"/>
  <c r="P393" i="4"/>
  <c r="P394" i="4"/>
  <c r="P395" i="4"/>
  <c r="P396" i="4"/>
  <c r="P397" i="4"/>
  <c r="P398" i="4"/>
  <c r="P399" i="4"/>
  <c r="P400" i="4"/>
  <c r="P401" i="4"/>
  <c r="P402" i="4"/>
  <c r="P403" i="4"/>
  <c r="P404" i="4"/>
  <c r="P405" i="4"/>
  <c r="P406" i="4"/>
  <c r="P407" i="4"/>
  <c r="P408" i="4"/>
  <c r="P409" i="4"/>
  <c r="P410" i="4"/>
  <c r="P411" i="4"/>
  <c r="P412" i="4"/>
  <c r="P413" i="4"/>
  <c r="P414" i="4"/>
  <c r="P415" i="4"/>
  <c r="P416" i="4"/>
  <c r="P417" i="4"/>
  <c r="P418" i="4"/>
  <c r="P419" i="4"/>
  <c r="P420" i="4"/>
  <c r="P421" i="4"/>
  <c r="P422" i="4"/>
  <c r="P423" i="4"/>
  <c r="P424" i="4"/>
  <c r="P425" i="4"/>
  <c r="P426" i="4"/>
  <c r="P427" i="4"/>
  <c r="P428" i="4"/>
  <c r="P429" i="4"/>
  <c r="P430" i="4"/>
  <c r="P431" i="4"/>
  <c r="P432" i="4"/>
  <c r="P433" i="4"/>
  <c r="P434" i="4"/>
  <c r="P435" i="4"/>
  <c r="P436" i="4"/>
  <c r="P437" i="4"/>
  <c r="P438" i="4"/>
  <c r="P439" i="4"/>
  <c r="P440" i="4"/>
  <c r="P441" i="4"/>
  <c r="P442" i="4"/>
  <c r="P443" i="4"/>
  <c r="P444" i="4"/>
  <c r="P445" i="4"/>
  <c r="P446" i="4"/>
  <c r="P447" i="4"/>
  <c r="P448" i="4"/>
  <c r="P449" i="4"/>
  <c r="P450" i="4"/>
  <c r="P451" i="4"/>
  <c r="P452" i="4"/>
  <c r="P453" i="4"/>
  <c r="P454" i="4"/>
  <c r="P455" i="4"/>
  <c r="P456" i="4"/>
  <c r="P457" i="4"/>
  <c r="P458" i="4"/>
  <c r="P459" i="4"/>
  <c r="P460" i="4"/>
  <c r="P461" i="4"/>
  <c r="P462" i="4"/>
  <c r="P463" i="4"/>
  <c r="P464" i="4"/>
  <c r="P465" i="4"/>
  <c r="P466" i="4"/>
  <c r="P467" i="4"/>
  <c r="P468" i="4"/>
  <c r="P469" i="4"/>
  <c r="P470" i="4"/>
  <c r="P471" i="4"/>
  <c r="P472" i="4"/>
  <c r="P473" i="4"/>
  <c r="P474" i="4"/>
  <c r="P475" i="4"/>
  <c r="P476" i="4"/>
  <c r="P477" i="4"/>
  <c r="P478" i="4"/>
  <c r="P479" i="4"/>
  <c r="P480" i="4"/>
  <c r="P481" i="4"/>
  <c r="P482" i="4"/>
  <c r="P483" i="4"/>
  <c r="P484" i="4"/>
  <c r="P485" i="4"/>
  <c r="P486" i="4"/>
  <c r="P487" i="4"/>
  <c r="P488" i="4"/>
  <c r="P489" i="4"/>
  <c r="P490" i="4"/>
  <c r="P491" i="4"/>
  <c r="P492" i="4"/>
  <c r="P493" i="4"/>
  <c r="P494" i="4"/>
  <c r="P495" i="4"/>
  <c r="P496" i="4"/>
  <c r="P497" i="4"/>
  <c r="P498" i="4"/>
  <c r="P499" i="4"/>
  <c r="P500" i="4"/>
  <c r="P501" i="4"/>
  <c r="P502" i="4"/>
  <c r="P503" i="4"/>
  <c r="P504" i="4"/>
  <c r="P505" i="4"/>
  <c r="P506" i="4"/>
  <c r="P507" i="4"/>
  <c r="P508" i="4"/>
  <c r="P509" i="4"/>
  <c r="P510" i="4"/>
  <c r="P511" i="4"/>
  <c r="P512" i="4"/>
  <c r="P513" i="4"/>
  <c r="P514" i="4"/>
  <c r="P515" i="4"/>
  <c r="P516" i="4"/>
  <c r="P517" i="4"/>
  <c r="P518" i="4"/>
  <c r="P519" i="4"/>
  <c r="P520" i="4"/>
  <c r="P521" i="4"/>
  <c r="P522" i="4"/>
  <c r="P523" i="4"/>
  <c r="P524" i="4"/>
  <c r="P525" i="4"/>
  <c r="P526" i="4"/>
  <c r="P527" i="4"/>
  <c r="P528" i="4"/>
  <c r="P529" i="4"/>
  <c r="P530" i="4"/>
  <c r="P531" i="4"/>
  <c r="P532" i="4"/>
  <c r="P533" i="4"/>
  <c r="P534" i="4"/>
  <c r="P535" i="4"/>
  <c r="P536" i="4"/>
  <c r="P537" i="4"/>
  <c r="P538" i="4"/>
  <c r="P539" i="4"/>
  <c r="P540" i="4"/>
  <c r="P541" i="4"/>
  <c r="P542" i="4"/>
  <c r="P543" i="4"/>
  <c r="P544" i="4"/>
  <c r="P545" i="4"/>
  <c r="P546" i="4"/>
  <c r="P547" i="4"/>
  <c r="P548" i="4"/>
  <c r="P549" i="4"/>
  <c r="P550" i="4"/>
  <c r="P551" i="4"/>
  <c r="P552" i="4"/>
  <c r="P553" i="4"/>
  <c r="P554" i="4"/>
  <c r="P555" i="4"/>
  <c r="P556" i="4"/>
  <c r="P557" i="4"/>
  <c r="P558" i="4"/>
  <c r="P559" i="4"/>
  <c r="P560" i="4"/>
  <c r="P561" i="4"/>
  <c r="P562" i="4"/>
  <c r="P563" i="4"/>
  <c r="P564" i="4"/>
  <c r="P565" i="4"/>
  <c r="P566" i="4"/>
  <c r="P567" i="4"/>
  <c r="P568" i="4"/>
  <c r="P569" i="4"/>
  <c r="P570" i="4"/>
  <c r="P571" i="4"/>
  <c r="P572" i="4"/>
  <c r="P573" i="4"/>
  <c r="P574" i="4"/>
  <c r="P575" i="4"/>
  <c r="P576" i="4"/>
  <c r="P577" i="4"/>
  <c r="P578" i="4"/>
  <c r="P579" i="4"/>
  <c r="P580" i="4"/>
  <c r="P581" i="4"/>
  <c r="P582" i="4"/>
  <c r="P583" i="4"/>
  <c r="P584" i="4"/>
  <c r="P585" i="4"/>
  <c r="P586" i="4"/>
  <c r="P587" i="4"/>
  <c r="P588" i="4"/>
  <c r="P589" i="4"/>
  <c r="P590" i="4"/>
  <c r="P591" i="4"/>
  <c r="P592" i="4"/>
  <c r="P593" i="4"/>
  <c r="P594" i="4"/>
  <c r="P595" i="4"/>
  <c r="P596" i="4"/>
  <c r="P597" i="4"/>
  <c r="P598" i="4"/>
  <c r="P599" i="4"/>
  <c r="P600" i="4"/>
  <c r="P601" i="4"/>
  <c r="P3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O63" i="4"/>
  <c r="O64" i="4"/>
  <c r="O65" i="4"/>
  <c r="O66" i="4"/>
  <c r="O67" i="4"/>
  <c r="O68" i="4"/>
  <c r="O69" i="4"/>
  <c r="O70" i="4"/>
  <c r="O71" i="4"/>
  <c r="O72" i="4"/>
  <c r="O73" i="4"/>
  <c r="O74" i="4"/>
  <c r="O75" i="4"/>
  <c r="O76" i="4"/>
  <c r="O77" i="4"/>
  <c r="O78" i="4"/>
  <c r="O79" i="4"/>
  <c r="O80" i="4"/>
  <c r="O81" i="4"/>
  <c r="O82" i="4"/>
  <c r="O83" i="4"/>
  <c r="O84" i="4"/>
  <c r="O85" i="4"/>
  <c r="O86" i="4"/>
  <c r="O87" i="4"/>
  <c r="O88" i="4"/>
  <c r="O89" i="4"/>
  <c r="O90" i="4"/>
  <c r="O91" i="4"/>
  <c r="O92" i="4"/>
  <c r="O93" i="4"/>
  <c r="O94" i="4"/>
  <c r="O95" i="4"/>
  <c r="O96" i="4"/>
  <c r="O97" i="4"/>
  <c r="O98" i="4"/>
  <c r="O99" i="4"/>
  <c r="O100" i="4"/>
  <c r="O101" i="4"/>
  <c r="O102" i="4"/>
  <c r="O103" i="4"/>
  <c r="O104" i="4"/>
  <c r="O105" i="4"/>
  <c r="O106" i="4"/>
  <c r="O107" i="4"/>
  <c r="O108" i="4"/>
  <c r="O109" i="4"/>
  <c r="O110" i="4"/>
  <c r="O111" i="4"/>
  <c r="O112" i="4"/>
  <c r="O113" i="4"/>
  <c r="O114" i="4"/>
  <c r="O115" i="4"/>
  <c r="O116" i="4"/>
  <c r="O117" i="4"/>
  <c r="O118" i="4"/>
  <c r="O119" i="4"/>
  <c r="O120" i="4"/>
  <c r="O121" i="4"/>
  <c r="O122" i="4"/>
  <c r="O123" i="4"/>
  <c r="O124" i="4"/>
  <c r="O125" i="4"/>
  <c r="O126" i="4"/>
  <c r="O127" i="4"/>
  <c r="O128" i="4"/>
  <c r="O129" i="4"/>
  <c r="O130" i="4"/>
  <c r="O131" i="4"/>
  <c r="O132" i="4"/>
  <c r="O133" i="4"/>
  <c r="O134" i="4"/>
  <c r="O135" i="4"/>
  <c r="O136" i="4"/>
  <c r="O137" i="4"/>
  <c r="O138" i="4"/>
  <c r="O139" i="4"/>
  <c r="O140" i="4"/>
  <c r="O141" i="4"/>
  <c r="O142" i="4"/>
  <c r="O143" i="4"/>
  <c r="O144" i="4"/>
  <c r="O145" i="4"/>
  <c r="O146" i="4"/>
  <c r="O147" i="4"/>
  <c r="O148" i="4"/>
  <c r="O149" i="4"/>
  <c r="O150" i="4"/>
  <c r="O151" i="4"/>
  <c r="O152" i="4"/>
  <c r="O153" i="4"/>
  <c r="O154" i="4"/>
  <c r="O155" i="4"/>
  <c r="O156" i="4"/>
  <c r="O157" i="4"/>
  <c r="O158" i="4"/>
  <c r="O159" i="4"/>
  <c r="O160" i="4"/>
  <c r="O161" i="4"/>
  <c r="O162" i="4"/>
  <c r="O163" i="4"/>
  <c r="O164" i="4"/>
  <c r="O165" i="4"/>
  <c r="O166" i="4"/>
  <c r="O167" i="4"/>
  <c r="O168" i="4"/>
  <c r="O169" i="4"/>
  <c r="O170" i="4"/>
  <c r="O171" i="4"/>
  <c r="O172" i="4"/>
  <c r="O173" i="4"/>
  <c r="O174" i="4"/>
  <c r="O175" i="4"/>
  <c r="O176" i="4"/>
  <c r="O177" i="4"/>
  <c r="O178" i="4"/>
  <c r="O179" i="4"/>
  <c r="O180" i="4"/>
  <c r="O181" i="4"/>
  <c r="O182" i="4"/>
  <c r="O183" i="4"/>
  <c r="O184" i="4"/>
  <c r="O185" i="4"/>
  <c r="O186" i="4"/>
  <c r="O187" i="4"/>
  <c r="O188" i="4"/>
  <c r="O189" i="4"/>
  <c r="O190" i="4"/>
  <c r="O191" i="4"/>
  <c r="O192" i="4"/>
  <c r="O193" i="4"/>
  <c r="O194" i="4"/>
  <c r="O195" i="4"/>
  <c r="O196" i="4"/>
  <c r="O197" i="4"/>
  <c r="O198" i="4"/>
  <c r="O199" i="4"/>
  <c r="O200" i="4"/>
  <c r="O201" i="4"/>
  <c r="O202" i="4"/>
  <c r="O203" i="4"/>
  <c r="O204" i="4"/>
  <c r="O205" i="4"/>
  <c r="O206" i="4"/>
  <c r="O207" i="4"/>
  <c r="O208" i="4"/>
  <c r="O209" i="4"/>
  <c r="O210" i="4"/>
  <c r="O211" i="4"/>
  <c r="O212" i="4"/>
  <c r="O213" i="4"/>
  <c r="O214" i="4"/>
  <c r="O215" i="4"/>
  <c r="O216" i="4"/>
  <c r="O217" i="4"/>
  <c r="O218" i="4"/>
  <c r="O219" i="4"/>
  <c r="O220" i="4"/>
  <c r="O221" i="4"/>
  <c r="O222" i="4"/>
  <c r="O223" i="4"/>
  <c r="O224" i="4"/>
  <c r="O225" i="4"/>
  <c r="O226" i="4"/>
  <c r="O227" i="4"/>
  <c r="O228" i="4"/>
  <c r="O229" i="4"/>
  <c r="O230" i="4"/>
  <c r="O231" i="4"/>
  <c r="O232" i="4"/>
  <c r="O233" i="4"/>
  <c r="O234" i="4"/>
  <c r="O235" i="4"/>
  <c r="O236" i="4"/>
  <c r="O237" i="4"/>
  <c r="O238" i="4"/>
  <c r="O239" i="4"/>
  <c r="O240" i="4"/>
  <c r="O241" i="4"/>
  <c r="O242" i="4"/>
  <c r="O243" i="4"/>
  <c r="O244" i="4"/>
  <c r="O245" i="4"/>
  <c r="O246" i="4"/>
  <c r="O247" i="4"/>
  <c r="O248" i="4"/>
  <c r="O249" i="4"/>
  <c r="O250" i="4"/>
  <c r="O251" i="4"/>
  <c r="O252" i="4"/>
  <c r="O253" i="4"/>
  <c r="O254" i="4"/>
  <c r="O255" i="4"/>
  <c r="O256" i="4"/>
  <c r="O257" i="4"/>
  <c r="O258" i="4"/>
  <c r="O259" i="4"/>
  <c r="O260" i="4"/>
  <c r="O261" i="4"/>
  <c r="O262" i="4"/>
  <c r="O263" i="4"/>
  <c r="O264" i="4"/>
  <c r="O265" i="4"/>
  <c r="O266" i="4"/>
  <c r="O267" i="4"/>
  <c r="O268" i="4"/>
  <c r="O269" i="4"/>
  <c r="O270" i="4"/>
  <c r="O271" i="4"/>
  <c r="O272" i="4"/>
  <c r="O273" i="4"/>
  <c r="O274" i="4"/>
  <c r="O275" i="4"/>
  <c r="O276" i="4"/>
  <c r="O277" i="4"/>
  <c r="O278" i="4"/>
  <c r="O279" i="4"/>
  <c r="O280" i="4"/>
  <c r="O281" i="4"/>
  <c r="O282" i="4"/>
  <c r="O283" i="4"/>
  <c r="O284" i="4"/>
  <c r="O285" i="4"/>
  <c r="O286" i="4"/>
  <c r="O287" i="4"/>
  <c r="O288" i="4"/>
  <c r="O289" i="4"/>
  <c r="O290" i="4"/>
  <c r="O291" i="4"/>
  <c r="O292" i="4"/>
  <c r="O293" i="4"/>
  <c r="O294" i="4"/>
  <c r="O295" i="4"/>
  <c r="O296" i="4"/>
  <c r="O297" i="4"/>
  <c r="O298" i="4"/>
  <c r="O299" i="4"/>
  <c r="O300" i="4"/>
  <c r="O301" i="4"/>
  <c r="O302" i="4"/>
  <c r="O303" i="4"/>
  <c r="O304" i="4"/>
  <c r="O305" i="4"/>
  <c r="O306" i="4"/>
  <c r="O307" i="4"/>
  <c r="O308" i="4"/>
  <c r="O309" i="4"/>
  <c r="O310" i="4"/>
  <c r="O311" i="4"/>
  <c r="O312" i="4"/>
  <c r="O313" i="4"/>
  <c r="O314" i="4"/>
  <c r="O315" i="4"/>
  <c r="O316" i="4"/>
  <c r="O317" i="4"/>
  <c r="O318" i="4"/>
  <c r="O319" i="4"/>
  <c r="O320" i="4"/>
  <c r="O321" i="4"/>
  <c r="O322" i="4"/>
  <c r="O323" i="4"/>
  <c r="O324" i="4"/>
  <c r="O325" i="4"/>
  <c r="O326" i="4"/>
  <c r="O327" i="4"/>
  <c r="O328" i="4"/>
  <c r="O329" i="4"/>
  <c r="O330" i="4"/>
  <c r="O331" i="4"/>
  <c r="O332" i="4"/>
  <c r="O333" i="4"/>
  <c r="O334" i="4"/>
  <c r="O335" i="4"/>
  <c r="O336" i="4"/>
  <c r="O337" i="4"/>
  <c r="O338" i="4"/>
  <c r="O339" i="4"/>
  <c r="O340" i="4"/>
  <c r="O341" i="4"/>
  <c r="O342" i="4"/>
  <c r="O343" i="4"/>
  <c r="O344" i="4"/>
  <c r="O345" i="4"/>
  <c r="O346" i="4"/>
  <c r="O347" i="4"/>
  <c r="O348" i="4"/>
  <c r="O349" i="4"/>
  <c r="O350" i="4"/>
  <c r="O351" i="4"/>
  <c r="O352" i="4"/>
  <c r="O353" i="4"/>
  <c r="O354" i="4"/>
  <c r="O355" i="4"/>
  <c r="O356" i="4"/>
  <c r="O357" i="4"/>
  <c r="O358" i="4"/>
  <c r="O359" i="4"/>
  <c r="O360" i="4"/>
  <c r="O361" i="4"/>
  <c r="O362" i="4"/>
  <c r="O363" i="4"/>
  <c r="O364" i="4"/>
  <c r="O365" i="4"/>
  <c r="O366" i="4"/>
  <c r="O367" i="4"/>
  <c r="O368" i="4"/>
  <c r="O369" i="4"/>
  <c r="O370" i="4"/>
  <c r="O371" i="4"/>
  <c r="O372" i="4"/>
  <c r="O373" i="4"/>
  <c r="O374" i="4"/>
  <c r="O375" i="4"/>
  <c r="O376" i="4"/>
  <c r="O377" i="4"/>
  <c r="O378" i="4"/>
  <c r="O379" i="4"/>
  <c r="O380" i="4"/>
  <c r="O381" i="4"/>
  <c r="O382" i="4"/>
  <c r="O383" i="4"/>
  <c r="O384" i="4"/>
  <c r="O385" i="4"/>
  <c r="O386" i="4"/>
  <c r="O387" i="4"/>
  <c r="O388" i="4"/>
  <c r="O389" i="4"/>
  <c r="O390" i="4"/>
  <c r="O391" i="4"/>
  <c r="O392" i="4"/>
  <c r="O393" i="4"/>
  <c r="O394" i="4"/>
  <c r="O395" i="4"/>
  <c r="O396" i="4"/>
  <c r="O397" i="4"/>
  <c r="O398" i="4"/>
  <c r="O399" i="4"/>
  <c r="O400" i="4"/>
  <c r="O401" i="4"/>
  <c r="O402" i="4"/>
  <c r="O403" i="4"/>
  <c r="O404" i="4"/>
  <c r="O405" i="4"/>
  <c r="O406" i="4"/>
  <c r="O407" i="4"/>
  <c r="O408" i="4"/>
  <c r="O409" i="4"/>
  <c r="O410" i="4"/>
  <c r="O411" i="4"/>
  <c r="O412" i="4"/>
  <c r="O413" i="4"/>
  <c r="O414" i="4"/>
  <c r="O415" i="4"/>
  <c r="O416" i="4"/>
  <c r="O417" i="4"/>
  <c r="O418" i="4"/>
  <c r="O419" i="4"/>
  <c r="O420" i="4"/>
  <c r="O421" i="4"/>
  <c r="O422" i="4"/>
  <c r="O423" i="4"/>
  <c r="O424" i="4"/>
  <c r="O425" i="4"/>
  <c r="O426" i="4"/>
  <c r="O427" i="4"/>
  <c r="O428" i="4"/>
  <c r="O429" i="4"/>
  <c r="O430" i="4"/>
  <c r="O431" i="4"/>
  <c r="O432" i="4"/>
  <c r="O433" i="4"/>
  <c r="O434" i="4"/>
  <c r="O435" i="4"/>
  <c r="O436" i="4"/>
  <c r="O437" i="4"/>
  <c r="O438" i="4"/>
  <c r="O439" i="4"/>
  <c r="O440" i="4"/>
  <c r="O441" i="4"/>
  <c r="O442" i="4"/>
  <c r="O443" i="4"/>
  <c r="O444" i="4"/>
  <c r="O445" i="4"/>
  <c r="O446" i="4"/>
  <c r="O447" i="4"/>
  <c r="O448" i="4"/>
  <c r="O449" i="4"/>
  <c r="O450" i="4"/>
  <c r="O451" i="4"/>
  <c r="O452" i="4"/>
  <c r="O453" i="4"/>
  <c r="O454" i="4"/>
  <c r="O455" i="4"/>
  <c r="O456" i="4"/>
  <c r="O457" i="4"/>
  <c r="O458" i="4"/>
  <c r="O459" i="4"/>
  <c r="O460" i="4"/>
  <c r="O461" i="4"/>
  <c r="O462" i="4"/>
  <c r="O463" i="4"/>
  <c r="O464" i="4"/>
  <c r="O465" i="4"/>
  <c r="O466" i="4"/>
  <c r="O467" i="4"/>
  <c r="O468" i="4"/>
  <c r="O469" i="4"/>
  <c r="O470" i="4"/>
  <c r="O471" i="4"/>
  <c r="O472" i="4"/>
  <c r="O473" i="4"/>
  <c r="O474" i="4"/>
  <c r="O475" i="4"/>
  <c r="O476" i="4"/>
  <c r="O477" i="4"/>
  <c r="O478" i="4"/>
  <c r="O479" i="4"/>
  <c r="O480" i="4"/>
  <c r="O481" i="4"/>
  <c r="O482" i="4"/>
  <c r="O483" i="4"/>
  <c r="O484" i="4"/>
  <c r="O485" i="4"/>
  <c r="O486" i="4"/>
  <c r="O487" i="4"/>
  <c r="O488" i="4"/>
  <c r="O489" i="4"/>
  <c r="O490" i="4"/>
  <c r="O491" i="4"/>
  <c r="O492" i="4"/>
  <c r="O493" i="4"/>
  <c r="O494" i="4"/>
  <c r="O495" i="4"/>
  <c r="O496" i="4"/>
  <c r="O497" i="4"/>
  <c r="O498" i="4"/>
  <c r="O499" i="4"/>
  <c r="O500" i="4"/>
  <c r="O501" i="4"/>
  <c r="O502" i="4"/>
  <c r="O503" i="4"/>
  <c r="O504" i="4"/>
  <c r="O505" i="4"/>
  <c r="O506" i="4"/>
  <c r="O507" i="4"/>
  <c r="O508" i="4"/>
  <c r="O509" i="4"/>
  <c r="O510" i="4"/>
  <c r="O511" i="4"/>
  <c r="O512" i="4"/>
  <c r="O513" i="4"/>
  <c r="O514" i="4"/>
  <c r="O515" i="4"/>
  <c r="O516" i="4"/>
  <c r="O517" i="4"/>
  <c r="O518" i="4"/>
  <c r="O519" i="4"/>
  <c r="O520" i="4"/>
  <c r="O521" i="4"/>
  <c r="O522" i="4"/>
  <c r="O523" i="4"/>
  <c r="O524" i="4"/>
  <c r="O525" i="4"/>
  <c r="O526" i="4"/>
  <c r="O527" i="4"/>
  <c r="O528" i="4"/>
  <c r="O529" i="4"/>
  <c r="O530" i="4"/>
  <c r="O531" i="4"/>
  <c r="O532" i="4"/>
  <c r="O533" i="4"/>
  <c r="O534" i="4"/>
  <c r="O535" i="4"/>
  <c r="O536" i="4"/>
  <c r="O537" i="4"/>
  <c r="O538" i="4"/>
  <c r="O539" i="4"/>
  <c r="O540" i="4"/>
  <c r="O541" i="4"/>
  <c r="O542" i="4"/>
  <c r="O543" i="4"/>
  <c r="O544" i="4"/>
  <c r="O545" i="4"/>
  <c r="O546" i="4"/>
  <c r="O547" i="4"/>
  <c r="O548" i="4"/>
  <c r="O549" i="4"/>
  <c r="O550" i="4"/>
  <c r="O551" i="4"/>
  <c r="O552" i="4"/>
  <c r="O553" i="4"/>
  <c r="O554" i="4"/>
  <c r="O555" i="4"/>
  <c r="O556" i="4"/>
  <c r="O557" i="4"/>
  <c r="O558" i="4"/>
  <c r="O559" i="4"/>
  <c r="O560" i="4"/>
  <c r="O561" i="4"/>
  <c r="O562" i="4"/>
  <c r="O563" i="4"/>
  <c r="O564" i="4"/>
  <c r="O565" i="4"/>
  <c r="O566" i="4"/>
  <c r="O567" i="4"/>
  <c r="O568" i="4"/>
  <c r="O569" i="4"/>
  <c r="O570" i="4"/>
  <c r="O571" i="4"/>
  <c r="O572" i="4"/>
  <c r="O573" i="4"/>
  <c r="O574" i="4"/>
  <c r="O575" i="4"/>
  <c r="O576" i="4"/>
  <c r="O577" i="4"/>
  <c r="O578" i="4"/>
  <c r="O579" i="4"/>
  <c r="O580" i="4"/>
  <c r="O581" i="4"/>
  <c r="O582" i="4"/>
  <c r="O583" i="4"/>
  <c r="O584" i="4"/>
  <c r="O585" i="4"/>
  <c r="O586" i="4"/>
  <c r="O587" i="4"/>
  <c r="O588" i="4"/>
  <c r="O589" i="4"/>
  <c r="O590" i="4"/>
  <c r="O591" i="4"/>
  <c r="O592" i="4"/>
  <c r="O593" i="4"/>
  <c r="O594" i="4"/>
  <c r="O595" i="4"/>
  <c r="O596" i="4"/>
  <c r="O597" i="4"/>
  <c r="O598" i="4"/>
  <c r="O599" i="4"/>
  <c r="O600" i="4"/>
  <c r="O601" i="4"/>
  <c r="O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262" i="4"/>
  <c r="M263" i="4"/>
  <c r="M264" i="4"/>
  <c r="M265" i="4"/>
  <c r="M266" i="4"/>
  <c r="M267" i="4"/>
  <c r="M268" i="4"/>
  <c r="M269" i="4"/>
  <c r="M270" i="4"/>
  <c r="M271" i="4"/>
  <c r="M272" i="4"/>
  <c r="M273" i="4"/>
  <c r="M274" i="4"/>
  <c r="M275" i="4"/>
  <c r="M276" i="4"/>
  <c r="M277" i="4"/>
  <c r="M278" i="4"/>
  <c r="M279" i="4"/>
  <c r="M280" i="4"/>
  <c r="M281" i="4"/>
  <c r="M282" i="4"/>
  <c r="M283" i="4"/>
  <c r="M284" i="4"/>
  <c r="M285" i="4"/>
  <c r="M286" i="4"/>
  <c r="M287" i="4"/>
  <c r="M288" i="4"/>
  <c r="M289" i="4"/>
  <c r="M290" i="4"/>
  <c r="M291" i="4"/>
  <c r="M292" i="4"/>
  <c r="M293" i="4"/>
  <c r="M294" i="4"/>
  <c r="M295" i="4"/>
  <c r="M296" i="4"/>
  <c r="M297" i="4"/>
  <c r="M298" i="4"/>
  <c r="M299" i="4"/>
  <c r="M300" i="4"/>
  <c r="M301" i="4"/>
  <c r="M302" i="4"/>
  <c r="M303" i="4"/>
  <c r="M304" i="4"/>
  <c r="M305" i="4"/>
  <c r="M306" i="4"/>
  <c r="M307" i="4"/>
  <c r="M308" i="4"/>
  <c r="M309" i="4"/>
  <c r="M310" i="4"/>
  <c r="M311" i="4"/>
  <c r="M312" i="4"/>
  <c r="M313" i="4"/>
  <c r="M314" i="4"/>
  <c r="M315" i="4"/>
  <c r="M316" i="4"/>
  <c r="M317" i="4"/>
  <c r="M318" i="4"/>
  <c r="M319" i="4"/>
  <c r="M320" i="4"/>
  <c r="M321" i="4"/>
  <c r="M322" i="4"/>
  <c r="M323" i="4"/>
  <c r="M324" i="4"/>
  <c r="M325" i="4"/>
  <c r="M326" i="4"/>
  <c r="M327" i="4"/>
  <c r="M328" i="4"/>
  <c r="M329" i="4"/>
  <c r="M330" i="4"/>
  <c r="M331" i="4"/>
  <c r="M332" i="4"/>
  <c r="M333" i="4"/>
  <c r="M334" i="4"/>
  <c r="M335" i="4"/>
  <c r="M336" i="4"/>
  <c r="M337" i="4"/>
  <c r="M338" i="4"/>
  <c r="M339" i="4"/>
  <c r="M340" i="4"/>
  <c r="M341" i="4"/>
  <c r="M342" i="4"/>
  <c r="M343" i="4"/>
  <c r="M344" i="4"/>
  <c r="M345" i="4"/>
  <c r="M346" i="4"/>
  <c r="M347" i="4"/>
  <c r="M348" i="4"/>
  <c r="M349" i="4"/>
  <c r="M350" i="4"/>
  <c r="M351" i="4"/>
  <c r="M352" i="4"/>
  <c r="M353" i="4"/>
  <c r="M354" i="4"/>
  <c r="M355" i="4"/>
  <c r="M356" i="4"/>
  <c r="M357" i="4"/>
  <c r="M358" i="4"/>
  <c r="M359" i="4"/>
  <c r="M360" i="4"/>
  <c r="M361" i="4"/>
  <c r="M362" i="4"/>
  <c r="M363" i="4"/>
  <c r="M364" i="4"/>
  <c r="M365" i="4"/>
  <c r="M366" i="4"/>
  <c r="M367" i="4"/>
  <c r="M368" i="4"/>
  <c r="M369" i="4"/>
  <c r="M370" i="4"/>
  <c r="M371" i="4"/>
  <c r="M372" i="4"/>
  <c r="M373" i="4"/>
  <c r="M374" i="4"/>
  <c r="M375" i="4"/>
  <c r="M376" i="4"/>
  <c r="M377" i="4"/>
  <c r="M378" i="4"/>
  <c r="M379" i="4"/>
  <c r="M380" i="4"/>
  <c r="M381" i="4"/>
  <c r="M382" i="4"/>
  <c r="M383" i="4"/>
  <c r="M384" i="4"/>
  <c r="M385" i="4"/>
  <c r="M386" i="4"/>
  <c r="M387" i="4"/>
  <c r="M388" i="4"/>
  <c r="M389" i="4"/>
  <c r="M390" i="4"/>
  <c r="M391" i="4"/>
  <c r="M392" i="4"/>
  <c r="M393" i="4"/>
  <c r="M394" i="4"/>
  <c r="M395" i="4"/>
  <c r="M396" i="4"/>
  <c r="M397" i="4"/>
  <c r="M398" i="4"/>
  <c r="M399" i="4"/>
  <c r="M400" i="4"/>
  <c r="M401" i="4"/>
  <c r="M402" i="4"/>
  <c r="M403" i="4"/>
  <c r="M404" i="4"/>
  <c r="M405" i="4"/>
  <c r="M406" i="4"/>
  <c r="M407" i="4"/>
  <c r="M408" i="4"/>
  <c r="M409" i="4"/>
  <c r="M410" i="4"/>
  <c r="M411" i="4"/>
  <c r="M412" i="4"/>
  <c r="M413" i="4"/>
  <c r="M414" i="4"/>
  <c r="M415" i="4"/>
  <c r="M416" i="4"/>
  <c r="M417" i="4"/>
  <c r="M418" i="4"/>
  <c r="M419" i="4"/>
  <c r="M420" i="4"/>
  <c r="M421" i="4"/>
  <c r="M422" i="4"/>
  <c r="M423" i="4"/>
  <c r="M424" i="4"/>
  <c r="M425" i="4"/>
  <c r="M426" i="4"/>
  <c r="M427" i="4"/>
  <c r="M428" i="4"/>
  <c r="M429" i="4"/>
  <c r="M430" i="4"/>
  <c r="M431" i="4"/>
  <c r="M432" i="4"/>
  <c r="M433" i="4"/>
  <c r="M434" i="4"/>
  <c r="M435" i="4"/>
  <c r="M436" i="4"/>
  <c r="M437" i="4"/>
  <c r="M438" i="4"/>
  <c r="M439" i="4"/>
  <c r="M440" i="4"/>
  <c r="M441" i="4"/>
  <c r="M442" i="4"/>
  <c r="M443" i="4"/>
  <c r="M444" i="4"/>
  <c r="M445" i="4"/>
  <c r="M446" i="4"/>
  <c r="M447" i="4"/>
  <c r="M448" i="4"/>
  <c r="M449" i="4"/>
  <c r="M450" i="4"/>
  <c r="M451" i="4"/>
  <c r="M452" i="4"/>
  <c r="M453" i="4"/>
  <c r="M454" i="4"/>
  <c r="M455" i="4"/>
  <c r="M456" i="4"/>
  <c r="M457" i="4"/>
  <c r="M458" i="4"/>
  <c r="M459" i="4"/>
  <c r="M460" i="4"/>
  <c r="M461" i="4"/>
  <c r="M462" i="4"/>
  <c r="M463" i="4"/>
  <c r="M464" i="4"/>
  <c r="M465" i="4"/>
  <c r="M466" i="4"/>
  <c r="M467" i="4"/>
  <c r="M468" i="4"/>
  <c r="M469" i="4"/>
  <c r="M470" i="4"/>
  <c r="M471" i="4"/>
  <c r="M472" i="4"/>
  <c r="M473" i="4"/>
  <c r="M474" i="4"/>
  <c r="M475" i="4"/>
  <c r="M476" i="4"/>
  <c r="M477" i="4"/>
  <c r="M478" i="4"/>
  <c r="M479" i="4"/>
  <c r="M480" i="4"/>
  <c r="M481" i="4"/>
  <c r="M482" i="4"/>
  <c r="M483" i="4"/>
  <c r="M484" i="4"/>
  <c r="M485" i="4"/>
  <c r="M486" i="4"/>
  <c r="M487" i="4"/>
  <c r="M488" i="4"/>
  <c r="M489" i="4"/>
  <c r="M490" i="4"/>
  <c r="M491" i="4"/>
  <c r="M492" i="4"/>
  <c r="M493" i="4"/>
  <c r="M494" i="4"/>
  <c r="M495" i="4"/>
  <c r="M496" i="4"/>
  <c r="M497" i="4"/>
  <c r="M498" i="4"/>
  <c r="M499" i="4"/>
  <c r="M500" i="4"/>
  <c r="M501" i="4"/>
  <c r="M502" i="4"/>
  <c r="M503" i="4"/>
  <c r="M504" i="4"/>
  <c r="M505" i="4"/>
  <c r="M506" i="4"/>
  <c r="M507" i="4"/>
  <c r="M508" i="4"/>
  <c r="M509" i="4"/>
  <c r="M510" i="4"/>
  <c r="M511" i="4"/>
  <c r="M512" i="4"/>
  <c r="M513" i="4"/>
  <c r="M514" i="4"/>
  <c r="M515" i="4"/>
  <c r="M516" i="4"/>
  <c r="M517" i="4"/>
  <c r="M518" i="4"/>
  <c r="M519" i="4"/>
  <c r="M520" i="4"/>
  <c r="M521" i="4"/>
  <c r="M522" i="4"/>
  <c r="M523" i="4"/>
  <c r="M524" i="4"/>
  <c r="M525" i="4"/>
  <c r="M526" i="4"/>
  <c r="M527" i="4"/>
  <c r="M528" i="4"/>
  <c r="M529" i="4"/>
  <c r="M530" i="4"/>
  <c r="M531" i="4"/>
  <c r="M532" i="4"/>
  <c r="M533" i="4"/>
  <c r="M534" i="4"/>
  <c r="M535" i="4"/>
  <c r="M536" i="4"/>
  <c r="M537" i="4"/>
  <c r="M538" i="4"/>
  <c r="M539" i="4"/>
  <c r="M540" i="4"/>
  <c r="M541" i="4"/>
  <c r="M542" i="4"/>
  <c r="M543" i="4"/>
  <c r="M544" i="4"/>
  <c r="M545" i="4"/>
  <c r="M546" i="4"/>
  <c r="M547" i="4"/>
  <c r="M548" i="4"/>
  <c r="M549" i="4"/>
  <c r="M550" i="4"/>
  <c r="M551" i="4"/>
  <c r="M552" i="4"/>
  <c r="M553" i="4"/>
  <c r="M554" i="4"/>
  <c r="M555" i="4"/>
  <c r="M556" i="4"/>
  <c r="M557" i="4"/>
  <c r="M558" i="4"/>
  <c r="M559" i="4"/>
  <c r="M560" i="4"/>
  <c r="M561" i="4"/>
  <c r="M562" i="4"/>
  <c r="M563" i="4"/>
  <c r="M564" i="4"/>
  <c r="M565" i="4"/>
  <c r="M566" i="4"/>
  <c r="M567" i="4"/>
  <c r="M568" i="4"/>
  <c r="M569" i="4"/>
  <c r="M570" i="4"/>
  <c r="M571" i="4"/>
  <c r="M572" i="4"/>
  <c r="M573" i="4"/>
  <c r="M574" i="4"/>
  <c r="M575" i="4"/>
  <c r="M576" i="4"/>
  <c r="M577" i="4"/>
  <c r="M578" i="4"/>
  <c r="M579" i="4"/>
  <c r="M580" i="4"/>
  <c r="M581" i="4"/>
  <c r="M582" i="4"/>
  <c r="M583" i="4"/>
  <c r="M584" i="4"/>
  <c r="M585" i="4"/>
  <c r="M586" i="4"/>
  <c r="M587" i="4"/>
  <c r="M588" i="4"/>
  <c r="M589" i="4"/>
  <c r="M590" i="4"/>
  <c r="M591" i="4"/>
  <c r="M592" i="4"/>
  <c r="M593" i="4"/>
  <c r="M594" i="4"/>
  <c r="M595" i="4"/>
  <c r="M596" i="4"/>
  <c r="M597" i="4"/>
  <c r="M598" i="4"/>
  <c r="M599" i="4"/>
  <c r="M600" i="4"/>
  <c r="M601" i="4"/>
  <c r="M3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47" i="4"/>
  <c r="K248" i="4"/>
  <c r="K249" i="4"/>
  <c r="K250" i="4"/>
  <c r="K251" i="4"/>
  <c r="K252" i="4"/>
  <c r="K253" i="4"/>
  <c r="K254" i="4"/>
  <c r="K255" i="4"/>
  <c r="K256" i="4"/>
  <c r="K257" i="4"/>
  <c r="K258" i="4"/>
  <c r="K259" i="4"/>
  <c r="K260" i="4"/>
  <c r="K261" i="4"/>
  <c r="K262" i="4"/>
  <c r="K263" i="4"/>
  <c r="K264" i="4"/>
  <c r="K265" i="4"/>
  <c r="K266" i="4"/>
  <c r="K267" i="4"/>
  <c r="K268" i="4"/>
  <c r="K269" i="4"/>
  <c r="K270" i="4"/>
  <c r="K271" i="4"/>
  <c r="K272" i="4"/>
  <c r="K273" i="4"/>
  <c r="K274" i="4"/>
  <c r="K275" i="4"/>
  <c r="K276" i="4"/>
  <c r="K277" i="4"/>
  <c r="K278" i="4"/>
  <c r="K279" i="4"/>
  <c r="K280" i="4"/>
  <c r="K281" i="4"/>
  <c r="K282" i="4"/>
  <c r="K283" i="4"/>
  <c r="K284" i="4"/>
  <c r="K285" i="4"/>
  <c r="K286" i="4"/>
  <c r="K287" i="4"/>
  <c r="K288" i="4"/>
  <c r="K289" i="4"/>
  <c r="K290" i="4"/>
  <c r="K291" i="4"/>
  <c r="K292" i="4"/>
  <c r="K293" i="4"/>
  <c r="K294" i="4"/>
  <c r="K295" i="4"/>
  <c r="K296" i="4"/>
  <c r="K297" i="4"/>
  <c r="K298" i="4"/>
  <c r="K299" i="4"/>
  <c r="K300" i="4"/>
  <c r="K301" i="4"/>
  <c r="K302" i="4"/>
  <c r="K303" i="4"/>
  <c r="K304" i="4"/>
  <c r="K305" i="4"/>
  <c r="K306" i="4"/>
  <c r="K307" i="4"/>
  <c r="K308" i="4"/>
  <c r="K309" i="4"/>
  <c r="K310" i="4"/>
  <c r="K311" i="4"/>
  <c r="K312" i="4"/>
  <c r="K313" i="4"/>
  <c r="K314" i="4"/>
  <c r="K315" i="4"/>
  <c r="K316" i="4"/>
  <c r="K317" i="4"/>
  <c r="K318" i="4"/>
  <c r="K319" i="4"/>
  <c r="K320" i="4"/>
  <c r="K321" i="4"/>
  <c r="K322" i="4"/>
  <c r="K323" i="4"/>
  <c r="K324" i="4"/>
  <c r="K325" i="4"/>
  <c r="K326" i="4"/>
  <c r="K327" i="4"/>
  <c r="K328" i="4"/>
  <c r="K329" i="4"/>
  <c r="K330" i="4"/>
  <c r="K331" i="4"/>
  <c r="K332" i="4"/>
  <c r="K333" i="4"/>
  <c r="K334" i="4"/>
  <c r="K335" i="4"/>
  <c r="K336" i="4"/>
  <c r="K337" i="4"/>
  <c r="K338" i="4"/>
  <c r="K339" i="4"/>
  <c r="K340" i="4"/>
  <c r="K341" i="4"/>
  <c r="K342" i="4"/>
  <c r="K343" i="4"/>
  <c r="K344" i="4"/>
  <c r="K345" i="4"/>
  <c r="K346" i="4"/>
  <c r="K347" i="4"/>
  <c r="K348" i="4"/>
  <c r="K349" i="4"/>
  <c r="K350" i="4"/>
  <c r="K351" i="4"/>
  <c r="K352" i="4"/>
  <c r="K353" i="4"/>
  <c r="K354" i="4"/>
  <c r="K355" i="4"/>
  <c r="K356" i="4"/>
  <c r="K357" i="4"/>
  <c r="K358" i="4"/>
  <c r="K359" i="4"/>
  <c r="K360" i="4"/>
  <c r="K361" i="4"/>
  <c r="K362" i="4"/>
  <c r="K363" i="4"/>
  <c r="K364" i="4"/>
  <c r="K365" i="4"/>
  <c r="K366" i="4"/>
  <c r="K367" i="4"/>
  <c r="K368" i="4"/>
  <c r="K369" i="4"/>
  <c r="K370" i="4"/>
  <c r="K371" i="4"/>
  <c r="K372" i="4"/>
  <c r="K373" i="4"/>
  <c r="K374" i="4"/>
  <c r="K375" i="4"/>
  <c r="K376" i="4"/>
  <c r="K377" i="4"/>
  <c r="K378" i="4"/>
  <c r="K379" i="4"/>
  <c r="K380" i="4"/>
  <c r="K381" i="4"/>
  <c r="K382" i="4"/>
  <c r="K383" i="4"/>
  <c r="K384" i="4"/>
  <c r="K385" i="4"/>
  <c r="K386" i="4"/>
  <c r="K387" i="4"/>
  <c r="K388" i="4"/>
  <c r="K389" i="4"/>
  <c r="K390" i="4"/>
  <c r="K391" i="4"/>
  <c r="K392" i="4"/>
  <c r="K393" i="4"/>
  <c r="K394" i="4"/>
  <c r="K395" i="4"/>
  <c r="K396" i="4"/>
  <c r="K397" i="4"/>
  <c r="K398" i="4"/>
  <c r="K399" i="4"/>
  <c r="K400" i="4"/>
  <c r="K401" i="4"/>
  <c r="K402" i="4"/>
  <c r="K403" i="4"/>
  <c r="K404" i="4"/>
  <c r="K405" i="4"/>
  <c r="K406" i="4"/>
  <c r="K407" i="4"/>
  <c r="K408" i="4"/>
  <c r="K409" i="4"/>
  <c r="K410" i="4"/>
  <c r="K411" i="4"/>
  <c r="K412" i="4"/>
  <c r="K413" i="4"/>
  <c r="K414" i="4"/>
  <c r="K415" i="4"/>
  <c r="K416" i="4"/>
  <c r="K417" i="4"/>
  <c r="K418" i="4"/>
  <c r="K419" i="4"/>
  <c r="K420" i="4"/>
  <c r="K421" i="4"/>
  <c r="K422" i="4"/>
  <c r="K423" i="4"/>
  <c r="K424" i="4"/>
  <c r="K425" i="4"/>
  <c r="K426" i="4"/>
  <c r="K427" i="4"/>
  <c r="K428" i="4"/>
  <c r="K429" i="4"/>
  <c r="K430" i="4"/>
  <c r="K431" i="4"/>
  <c r="K432" i="4"/>
  <c r="K433" i="4"/>
  <c r="K434" i="4"/>
  <c r="K435" i="4"/>
  <c r="K436" i="4"/>
  <c r="K437" i="4"/>
  <c r="K438" i="4"/>
  <c r="K439" i="4"/>
  <c r="K440" i="4"/>
  <c r="K441" i="4"/>
  <c r="K442" i="4"/>
  <c r="K443" i="4"/>
  <c r="K444" i="4"/>
  <c r="K445" i="4"/>
  <c r="K446" i="4"/>
  <c r="K447" i="4"/>
  <c r="K448" i="4"/>
  <c r="K449" i="4"/>
  <c r="K450" i="4"/>
  <c r="K451" i="4"/>
  <c r="K452" i="4"/>
  <c r="K453" i="4"/>
  <c r="K454" i="4"/>
  <c r="K455" i="4"/>
  <c r="K456" i="4"/>
  <c r="K457" i="4"/>
  <c r="K458" i="4"/>
  <c r="K459" i="4"/>
  <c r="K460" i="4"/>
  <c r="K461" i="4"/>
  <c r="K462" i="4"/>
  <c r="K463" i="4"/>
  <c r="K464" i="4"/>
  <c r="K465" i="4"/>
  <c r="K466" i="4"/>
  <c r="K467" i="4"/>
  <c r="K468" i="4"/>
  <c r="K469" i="4"/>
  <c r="K470" i="4"/>
  <c r="K471" i="4"/>
  <c r="K472" i="4"/>
  <c r="K473" i="4"/>
  <c r="K474" i="4"/>
  <c r="K475" i="4"/>
  <c r="K476" i="4"/>
  <c r="K477" i="4"/>
  <c r="K478" i="4"/>
  <c r="K479" i="4"/>
  <c r="K480" i="4"/>
  <c r="K481" i="4"/>
  <c r="K482" i="4"/>
  <c r="K483" i="4"/>
  <c r="K484" i="4"/>
  <c r="K485" i="4"/>
  <c r="K486" i="4"/>
  <c r="K487" i="4"/>
  <c r="K488" i="4"/>
  <c r="K489" i="4"/>
  <c r="K490" i="4"/>
  <c r="K491" i="4"/>
  <c r="K492" i="4"/>
  <c r="K493" i="4"/>
  <c r="K494" i="4"/>
  <c r="K495" i="4"/>
  <c r="K496" i="4"/>
  <c r="K497" i="4"/>
  <c r="K498" i="4"/>
  <c r="K499" i="4"/>
  <c r="K500" i="4"/>
  <c r="K501" i="4"/>
  <c r="K502" i="4"/>
  <c r="K503" i="4"/>
  <c r="K504" i="4"/>
  <c r="K505" i="4"/>
  <c r="K506" i="4"/>
  <c r="K507" i="4"/>
  <c r="K508" i="4"/>
  <c r="K509" i="4"/>
  <c r="K510" i="4"/>
  <c r="K511" i="4"/>
  <c r="K512" i="4"/>
  <c r="K513" i="4"/>
  <c r="K514" i="4"/>
  <c r="K515" i="4"/>
  <c r="K516" i="4"/>
  <c r="K517" i="4"/>
  <c r="K518" i="4"/>
  <c r="K519" i="4"/>
  <c r="K520" i="4"/>
  <c r="K521" i="4"/>
  <c r="K522" i="4"/>
  <c r="K523" i="4"/>
  <c r="K524" i="4"/>
  <c r="K525" i="4"/>
  <c r="K526" i="4"/>
  <c r="K527" i="4"/>
  <c r="K528" i="4"/>
  <c r="K529" i="4"/>
  <c r="K530" i="4"/>
  <c r="K531" i="4"/>
  <c r="K532" i="4"/>
  <c r="K533" i="4"/>
  <c r="K534" i="4"/>
  <c r="K535" i="4"/>
  <c r="K536" i="4"/>
  <c r="K537" i="4"/>
  <c r="K538" i="4"/>
  <c r="K539" i="4"/>
  <c r="K540" i="4"/>
  <c r="K541" i="4"/>
  <c r="K542" i="4"/>
  <c r="K543" i="4"/>
  <c r="K544" i="4"/>
  <c r="K545" i="4"/>
  <c r="K546" i="4"/>
  <c r="K547" i="4"/>
  <c r="K548" i="4"/>
  <c r="K549" i="4"/>
  <c r="K550" i="4"/>
  <c r="K551" i="4"/>
  <c r="K552" i="4"/>
  <c r="K553" i="4"/>
  <c r="K554" i="4"/>
  <c r="K555" i="4"/>
  <c r="K556" i="4"/>
  <c r="K557" i="4"/>
  <c r="K558" i="4"/>
  <c r="K559" i="4"/>
  <c r="K560" i="4"/>
  <c r="K561" i="4"/>
  <c r="K562" i="4"/>
  <c r="K563" i="4"/>
  <c r="K564" i="4"/>
  <c r="K565" i="4"/>
  <c r="K566" i="4"/>
  <c r="K567" i="4"/>
  <c r="K568" i="4"/>
  <c r="K569" i="4"/>
  <c r="K570" i="4"/>
  <c r="K571" i="4"/>
  <c r="K572" i="4"/>
  <c r="K573" i="4"/>
  <c r="K574" i="4"/>
  <c r="K575" i="4"/>
  <c r="K576" i="4"/>
  <c r="K577" i="4"/>
  <c r="K578" i="4"/>
  <c r="K579" i="4"/>
  <c r="K580" i="4"/>
  <c r="K581" i="4"/>
  <c r="K582" i="4"/>
  <c r="K583" i="4"/>
  <c r="K584" i="4"/>
  <c r="K585" i="4"/>
  <c r="K586" i="4"/>
  <c r="K587" i="4"/>
  <c r="K588" i="4"/>
  <c r="K589" i="4"/>
  <c r="K590" i="4"/>
  <c r="K591" i="4"/>
  <c r="K592" i="4"/>
  <c r="K593" i="4"/>
  <c r="K594" i="4"/>
  <c r="K595" i="4"/>
  <c r="K596" i="4"/>
  <c r="K597" i="4"/>
  <c r="K598" i="4"/>
  <c r="K599" i="4"/>
  <c r="K600" i="4"/>
  <c r="K601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J185" i="4"/>
  <c r="J186" i="4"/>
  <c r="J187" i="4"/>
  <c r="J188" i="4"/>
  <c r="J189" i="4"/>
  <c r="J190" i="4"/>
  <c r="J191" i="4"/>
  <c r="J192" i="4"/>
  <c r="J193" i="4"/>
  <c r="J194" i="4"/>
  <c r="J195" i="4"/>
  <c r="J196" i="4"/>
  <c r="J197" i="4"/>
  <c r="J198" i="4"/>
  <c r="J199" i="4"/>
  <c r="J200" i="4"/>
  <c r="J201" i="4"/>
  <c r="J202" i="4"/>
  <c r="J203" i="4"/>
  <c r="J204" i="4"/>
  <c r="J205" i="4"/>
  <c r="J206" i="4"/>
  <c r="J207" i="4"/>
  <c r="J208" i="4"/>
  <c r="J209" i="4"/>
  <c r="J210" i="4"/>
  <c r="J211" i="4"/>
  <c r="J212" i="4"/>
  <c r="J213" i="4"/>
  <c r="J214" i="4"/>
  <c r="J215" i="4"/>
  <c r="J216" i="4"/>
  <c r="J217" i="4"/>
  <c r="J218" i="4"/>
  <c r="J219" i="4"/>
  <c r="J220" i="4"/>
  <c r="J221" i="4"/>
  <c r="J222" i="4"/>
  <c r="J223" i="4"/>
  <c r="J224" i="4"/>
  <c r="J225" i="4"/>
  <c r="J226" i="4"/>
  <c r="J227" i="4"/>
  <c r="J228" i="4"/>
  <c r="J229" i="4"/>
  <c r="J230" i="4"/>
  <c r="J231" i="4"/>
  <c r="J232" i="4"/>
  <c r="J233" i="4"/>
  <c r="J234" i="4"/>
  <c r="J235" i="4"/>
  <c r="J236" i="4"/>
  <c r="J237" i="4"/>
  <c r="J238" i="4"/>
  <c r="J239" i="4"/>
  <c r="J240" i="4"/>
  <c r="J241" i="4"/>
  <c r="J242" i="4"/>
  <c r="J243" i="4"/>
  <c r="J244" i="4"/>
  <c r="J245" i="4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J276" i="4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4" i="4"/>
  <c r="J305" i="4"/>
  <c r="J306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J326" i="4"/>
  <c r="J327" i="4"/>
  <c r="J328" i="4"/>
  <c r="J329" i="4"/>
  <c r="J330" i="4"/>
  <c r="J331" i="4"/>
  <c r="J332" i="4"/>
  <c r="J333" i="4"/>
  <c r="J334" i="4"/>
  <c r="J335" i="4"/>
  <c r="J336" i="4"/>
  <c r="J337" i="4"/>
  <c r="J338" i="4"/>
  <c r="J339" i="4"/>
  <c r="J340" i="4"/>
  <c r="J341" i="4"/>
  <c r="J342" i="4"/>
  <c r="J343" i="4"/>
  <c r="J344" i="4"/>
  <c r="J345" i="4"/>
  <c r="J346" i="4"/>
  <c r="J347" i="4"/>
  <c r="J348" i="4"/>
  <c r="J349" i="4"/>
  <c r="J350" i="4"/>
  <c r="J351" i="4"/>
  <c r="J352" i="4"/>
  <c r="J353" i="4"/>
  <c r="J354" i="4"/>
  <c r="J355" i="4"/>
  <c r="J356" i="4"/>
  <c r="J357" i="4"/>
  <c r="J358" i="4"/>
  <c r="J359" i="4"/>
  <c r="J360" i="4"/>
  <c r="J361" i="4"/>
  <c r="J362" i="4"/>
  <c r="J363" i="4"/>
  <c r="J364" i="4"/>
  <c r="J365" i="4"/>
  <c r="J366" i="4"/>
  <c r="J367" i="4"/>
  <c r="J368" i="4"/>
  <c r="J369" i="4"/>
  <c r="J370" i="4"/>
  <c r="J371" i="4"/>
  <c r="J372" i="4"/>
  <c r="J373" i="4"/>
  <c r="J374" i="4"/>
  <c r="J375" i="4"/>
  <c r="J376" i="4"/>
  <c r="J377" i="4"/>
  <c r="J378" i="4"/>
  <c r="J379" i="4"/>
  <c r="J380" i="4"/>
  <c r="J381" i="4"/>
  <c r="J382" i="4"/>
  <c r="J383" i="4"/>
  <c r="J384" i="4"/>
  <c r="J385" i="4"/>
  <c r="J386" i="4"/>
  <c r="J387" i="4"/>
  <c r="J388" i="4"/>
  <c r="J389" i="4"/>
  <c r="J390" i="4"/>
  <c r="J391" i="4"/>
  <c r="J392" i="4"/>
  <c r="J393" i="4"/>
  <c r="J394" i="4"/>
  <c r="J395" i="4"/>
  <c r="J396" i="4"/>
  <c r="J397" i="4"/>
  <c r="J398" i="4"/>
  <c r="J399" i="4"/>
  <c r="J400" i="4"/>
  <c r="J401" i="4"/>
  <c r="J402" i="4"/>
  <c r="J403" i="4"/>
  <c r="J404" i="4"/>
  <c r="J405" i="4"/>
  <c r="J406" i="4"/>
  <c r="J407" i="4"/>
  <c r="J408" i="4"/>
  <c r="J409" i="4"/>
  <c r="J410" i="4"/>
  <c r="J411" i="4"/>
  <c r="J412" i="4"/>
  <c r="J413" i="4"/>
  <c r="J414" i="4"/>
  <c r="J415" i="4"/>
  <c r="J416" i="4"/>
  <c r="J417" i="4"/>
  <c r="J418" i="4"/>
  <c r="J419" i="4"/>
  <c r="J420" i="4"/>
  <c r="J421" i="4"/>
  <c r="J422" i="4"/>
  <c r="J423" i="4"/>
  <c r="J424" i="4"/>
  <c r="J425" i="4"/>
  <c r="J426" i="4"/>
  <c r="J427" i="4"/>
  <c r="J428" i="4"/>
  <c r="J429" i="4"/>
  <c r="J430" i="4"/>
  <c r="J431" i="4"/>
  <c r="J432" i="4"/>
  <c r="J433" i="4"/>
  <c r="J434" i="4"/>
  <c r="J435" i="4"/>
  <c r="J436" i="4"/>
  <c r="J437" i="4"/>
  <c r="J438" i="4"/>
  <c r="J439" i="4"/>
  <c r="J440" i="4"/>
  <c r="J441" i="4"/>
  <c r="J442" i="4"/>
  <c r="J443" i="4"/>
  <c r="J444" i="4"/>
  <c r="J445" i="4"/>
  <c r="J446" i="4"/>
  <c r="J447" i="4"/>
  <c r="J448" i="4"/>
  <c r="J449" i="4"/>
  <c r="J450" i="4"/>
  <c r="J451" i="4"/>
  <c r="J452" i="4"/>
  <c r="J453" i="4"/>
  <c r="J454" i="4"/>
  <c r="J455" i="4"/>
  <c r="J456" i="4"/>
  <c r="J457" i="4"/>
  <c r="J458" i="4"/>
  <c r="J459" i="4"/>
  <c r="J460" i="4"/>
  <c r="J461" i="4"/>
  <c r="J462" i="4"/>
  <c r="J463" i="4"/>
  <c r="J464" i="4"/>
  <c r="J465" i="4"/>
  <c r="J466" i="4"/>
  <c r="J467" i="4"/>
  <c r="J468" i="4"/>
  <c r="J469" i="4"/>
  <c r="J470" i="4"/>
  <c r="J471" i="4"/>
  <c r="J472" i="4"/>
  <c r="J473" i="4"/>
  <c r="J474" i="4"/>
  <c r="J475" i="4"/>
  <c r="J476" i="4"/>
  <c r="J477" i="4"/>
  <c r="J478" i="4"/>
  <c r="J479" i="4"/>
  <c r="J480" i="4"/>
  <c r="J481" i="4"/>
  <c r="J482" i="4"/>
  <c r="J483" i="4"/>
  <c r="J484" i="4"/>
  <c r="J485" i="4"/>
  <c r="J486" i="4"/>
  <c r="J487" i="4"/>
  <c r="J488" i="4"/>
  <c r="J489" i="4"/>
  <c r="J490" i="4"/>
  <c r="J491" i="4"/>
  <c r="J492" i="4"/>
  <c r="J493" i="4"/>
  <c r="J494" i="4"/>
  <c r="J495" i="4"/>
  <c r="J496" i="4"/>
  <c r="J497" i="4"/>
  <c r="J498" i="4"/>
  <c r="J499" i="4"/>
  <c r="J500" i="4"/>
  <c r="J501" i="4"/>
  <c r="J502" i="4"/>
  <c r="J503" i="4"/>
  <c r="J504" i="4"/>
  <c r="J505" i="4"/>
  <c r="J506" i="4"/>
  <c r="J507" i="4"/>
  <c r="J508" i="4"/>
  <c r="J509" i="4"/>
  <c r="J510" i="4"/>
  <c r="J511" i="4"/>
  <c r="J512" i="4"/>
  <c r="J513" i="4"/>
  <c r="J514" i="4"/>
  <c r="J515" i="4"/>
  <c r="J516" i="4"/>
  <c r="J517" i="4"/>
  <c r="J518" i="4"/>
  <c r="J519" i="4"/>
  <c r="J520" i="4"/>
  <c r="J521" i="4"/>
  <c r="J522" i="4"/>
  <c r="J523" i="4"/>
  <c r="J524" i="4"/>
  <c r="J525" i="4"/>
  <c r="J526" i="4"/>
  <c r="J527" i="4"/>
  <c r="J528" i="4"/>
  <c r="J529" i="4"/>
  <c r="J530" i="4"/>
  <c r="J531" i="4"/>
  <c r="J532" i="4"/>
  <c r="J533" i="4"/>
  <c r="J534" i="4"/>
  <c r="J535" i="4"/>
  <c r="J536" i="4"/>
  <c r="J537" i="4"/>
  <c r="J538" i="4"/>
  <c r="J539" i="4"/>
  <c r="J540" i="4"/>
  <c r="J541" i="4"/>
  <c r="J542" i="4"/>
  <c r="J543" i="4"/>
  <c r="J544" i="4"/>
  <c r="J545" i="4"/>
  <c r="J546" i="4"/>
  <c r="J547" i="4"/>
  <c r="J548" i="4"/>
  <c r="J549" i="4"/>
  <c r="J550" i="4"/>
  <c r="J551" i="4"/>
  <c r="J552" i="4"/>
  <c r="J553" i="4"/>
  <c r="J554" i="4"/>
  <c r="J555" i="4"/>
  <c r="J556" i="4"/>
  <c r="J557" i="4"/>
  <c r="J558" i="4"/>
  <c r="J559" i="4"/>
  <c r="J560" i="4"/>
  <c r="J561" i="4"/>
  <c r="J562" i="4"/>
  <c r="J563" i="4"/>
  <c r="J564" i="4"/>
  <c r="J565" i="4"/>
  <c r="J566" i="4"/>
  <c r="J567" i="4"/>
  <c r="J568" i="4"/>
  <c r="J569" i="4"/>
  <c r="J570" i="4"/>
  <c r="J571" i="4"/>
  <c r="J572" i="4"/>
  <c r="J573" i="4"/>
  <c r="J574" i="4"/>
  <c r="J575" i="4"/>
  <c r="J576" i="4"/>
  <c r="J577" i="4"/>
  <c r="J578" i="4"/>
  <c r="J579" i="4"/>
  <c r="J580" i="4"/>
  <c r="J581" i="4"/>
  <c r="J582" i="4"/>
  <c r="J583" i="4"/>
  <c r="J584" i="4"/>
  <c r="J585" i="4"/>
  <c r="J586" i="4"/>
  <c r="J587" i="4"/>
  <c r="J588" i="4"/>
  <c r="J589" i="4"/>
  <c r="J590" i="4"/>
  <c r="J591" i="4"/>
  <c r="J592" i="4"/>
  <c r="J593" i="4"/>
  <c r="J594" i="4"/>
  <c r="J595" i="4"/>
  <c r="J596" i="4"/>
  <c r="J597" i="4"/>
  <c r="J598" i="4"/>
  <c r="J599" i="4"/>
  <c r="J600" i="4"/>
  <c r="J601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H301" i="4"/>
  <c r="H302" i="4"/>
  <c r="H303" i="4"/>
  <c r="H304" i="4"/>
  <c r="H305" i="4"/>
  <c r="H306" i="4"/>
  <c r="H307" i="4"/>
  <c r="H308" i="4"/>
  <c r="H309" i="4"/>
  <c r="H310" i="4"/>
  <c r="H311" i="4"/>
  <c r="H312" i="4"/>
  <c r="H313" i="4"/>
  <c r="H314" i="4"/>
  <c r="H315" i="4"/>
  <c r="H316" i="4"/>
  <c r="H317" i="4"/>
  <c r="H318" i="4"/>
  <c r="H319" i="4"/>
  <c r="H320" i="4"/>
  <c r="H321" i="4"/>
  <c r="H322" i="4"/>
  <c r="H323" i="4"/>
  <c r="H324" i="4"/>
  <c r="H325" i="4"/>
  <c r="H326" i="4"/>
  <c r="H327" i="4"/>
  <c r="H328" i="4"/>
  <c r="H329" i="4"/>
  <c r="H330" i="4"/>
  <c r="H331" i="4"/>
  <c r="H332" i="4"/>
  <c r="H333" i="4"/>
  <c r="H334" i="4"/>
  <c r="H335" i="4"/>
  <c r="H336" i="4"/>
  <c r="H337" i="4"/>
  <c r="H338" i="4"/>
  <c r="H339" i="4"/>
  <c r="H340" i="4"/>
  <c r="H341" i="4"/>
  <c r="H342" i="4"/>
  <c r="H343" i="4"/>
  <c r="H344" i="4"/>
  <c r="H345" i="4"/>
  <c r="H346" i="4"/>
  <c r="H347" i="4"/>
  <c r="H348" i="4"/>
  <c r="H349" i="4"/>
  <c r="H350" i="4"/>
  <c r="H351" i="4"/>
  <c r="H352" i="4"/>
  <c r="H353" i="4"/>
  <c r="H354" i="4"/>
  <c r="H355" i="4"/>
  <c r="H356" i="4"/>
  <c r="H357" i="4"/>
  <c r="H358" i="4"/>
  <c r="H359" i="4"/>
  <c r="H360" i="4"/>
  <c r="H361" i="4"/>
  <c r="H362" i="4"/>
  <c r="H363" i="4"/>
  <c r="H364" i="4"/>
  <c r="H365" i="4"/>
  <c r="H366" i="4"/>
  <c r="H367" i="4"/>
  <c r="H368" i="4"/>
  <c r="H369" i="4"/>
  <c r="H370" i="4"/>
  <c r="H371" i="4"/>
  <c r="H372" i="4"/>
  <c r="H373" i="4"/>
  <c r="H374" i="4"/>
  <c r="H375" i="4"/>
  <c r="H376" i="4"/>
  <c r="H377" i="4"/>
  <c r="H378" i="4"/>
  <c r="H379" i="4"/>
  <c r="H380" i="4"/>
  <c r="H381" i="4"/>
  <c r="H382" i="4"/>
  <c r="H383" i="4"/>
  <c r="H384" i="4"/>
  <c r="H385" i="4"/>
  <c r="H386" i="4"/>
  <c r="H387" i="4"/>
  <c r="H388" i="4"/>
  <c r="H389" i="4"/>
  <c r="H390" i="4"/>
  <c r="H391" i="4"/>
  <c r="H392" i="4"/>
  <c r="H393" i="4"/>
  <c r="H394" i="4"/>
  <c r="H395" i="4"/>
  <c r="H396" i="4"/>
  <c r="H397" i="4"/>
  <c r="H398" i="4"/>
  <c r="H399" i="4"/>
  <c r="H400" i="4"/>
  <c r="H401" i="4"/>
  <c r="H402" i="4"/>
  <c r="H403" i="4"/>
  <c r="H404" i="4"/>
  <c r="H405" i="4"/>
  <c r="H406" i="4"/>
  <c r="H407" i="4"/>
  <c r="H408" i="4"/>
  <c r="H409" i="4"/>
  <c r="H410" i="4"/>
  <c r="H411" i="4"/>
  <c r="H412" i="4"/>
  <c r="H413" i="4"/>
  <c r="H414" i="4"/>
  <c r="H415" i="4"/>
  <c r="H416" i="4"/>
  <c r="H417" i="4"/>
  <c r="H418" i="4"/>
  <c r="H419" i="4"/>
  <c r="H420" i="4"/>
  <c r="H421" i="4"/>
  <c r="H422" i="4"/>
  <c r="H423" i="4"/>
  <c r="H424" i="4"/>
  <c r="H425" i="4"/>
  <c r="H426" i="4"/>
  <c r="H427" i="4"/>
  <c r="H428" i="4"/>
  <c r="H429" i="4"/>
  <c r="H430" i="4"/>
  <c r="H431" i="4"/>
  <c r="H432" i="4"/>
  <c r="H433" i="4"/>
  <c r="H434" i="4"/>
  <c r="H435" i="4"/>
  <c r="H436" i="4"/>
  <c r="H437" i="4"/>
  <c r="H438" i="4"/>
  <c r="H439" i="4"/>
  <c r="H440" i="4"/>
  <c r="H441" i="4"/>
  <c r="H442" i="4"/>
  <c r="H443" i="4"/>
  <c r="H444" i="4"/>
  <c r="H445" i="4"/>
  <c r="H446" i="4"/>
  <c r="H447" i="4"/>
  <c r="H448" i="4"/>
  <c r="H449" i="4"/>
  <c r="H450" i="4"/>
  <c r="H451" i="4"/>
  <c r="H452" i="4"/>
  <c r="H453" i="4"/>
  <c r="H454" i="4"/>
  <c r="H455" i="4"/>
  <c r="H456" i="4"/>
  <c r="H457" i="4"/>
  <c r="H458" i="4"/>
  <c r="H459" i="4"/>
  <c r="H460" i="4"/>
  <c r="H461" i="4"/>
  <c r="H462" i="4"/>
  <c r="H463" i="4"/>
  <c r="H464" i="4"/>
  <c r="H465" i="4"/>
  <c r="H466" i="4"/>
  <c r="H467" i="4"/>
  <c r="H468" i="4"/>
  <c r="H469" i="4"/>
  <c r="H470" i="4"/>
  <c r="H471" i="4"/>
  <c r="H472" i="4"/>
  <c r="H473" i="4"/>
  <c r="H474" i="4"/>
  <c r="H475" i="4"/>
  <c r="H476" i="4"/>
  <c r="H477" i="4"/>
  <c r="H478" i="4"/>
  <c r="H479" i="4"/>
  <c r="H480" i="4"/>
  <c r="H481" i="4"/>
  <c r="H482" i="4"/>
  <c r="H483" i="4"/>
  <c r="H484" i="4"/>
  <c r="H485" i="4"/>
  <c r="H486" i="4"/>
  <c r="H487" i="4"/>
  <c r="H488" i="4"/>
  <c r="H489" i="4"/>
  <c r="H490" i="4"/>
  <c r="H491" i="4"/>
  <c r="H492" i="4"/>
  <c r="H493" i="4"/>
  <c r="H494" i="4"/>
  <c r="H495" i="4"/>
  <c r="H496" i="4"/>
  <c r="H497" i="4"/>
  <c r="H498" i="4"/>
  <c r="H499" i="4"/>
  <c r="H500" i="4"/>
  <c r="H501" i="4"/>
  <c r="H502" i="4"/>
  <c r="H503" i="4"/>
  <c r="H504" i="4"/>
  <c r="H505" i="4"/>
  <c r="H506" i="4"/>
  <c r="H507" i="4"/>
  <c r="H508" i="4"/>
  <c r="H509" i="4"/>
  <c r="H510" i="4"/>
  <c r="H511" i="4"/>
  <c r="H512" i="4"/>
  <c r="H513" i="4"/>
  <c r="H514" i="4"/>
  <c r="H515" i="4"/>
  <c r="H516" i="4"/>
  <c r="H517" i="4"/>
  <c r="H518" i="4"/>
  <c r="H519" i="4"/>
  <c r="H520" i="4"/>
  <c r="H521" i="4"/>
  <c r="H522" i="4"/>
  <c r="H523" i="4"/>
  <c r="H524" i="4"/>
  <c r="H525" i="4"/>
  <c r="H526" i="4"/>
  <c r="H527" i="4"/>
  <c r="H528" i="4"/>
  <c r="H529" i="4"/>
  <c r="H530" i="4"/>
  <c r="H531" i="4"/>
  <c r="H532" i="4"/>
  <c r="H533" i="4"/>
  <c r="H534" i="4"/>
  <c r="H535" i="4"/>
  <c r="H536" i="4"/>
  <c r="H537" i="4"/>
  <c r="H538" i="4"/>
  <c r="H539" i="4"/>
  <c r="H540" i="4"/>
  <c r="H541" i="4"/>
  <c r="H542" i="4"/>
  <c r="H543" i="4"/>
  <c r="H544" i="4"/>
  <c r="H545" i="4"/>
  <c r="H546" i="4"/>
  <c r="H547" i="4"/>
  <c r="H548" i="4"/>
  <c r="H549" i="4"/>
  <c r="H550" i="4"/>
  <c r="H551" i="4"/>
  <c r="H552" i="4"/>
  <c r="H553" i="4"/>
  <c r="H554" i="4"/>
  <c r="H555" i="4"/>
  <c r="H556" i="4"/>
  <c r="H557" i="4"/>
  <c r="H558" i="4"/>
  <c r="H559" i="4"/>
  <c r="H560" i="4"/>
  <c r="H561" i="4"/>
  <c r="H562" i="4"/>
  <c r="H563" i="4"/>
  <c r="H564" i="4"/>
  <c r="H565" i="4"/>
  <c r="H566" i="4"/>
  <c r="H567" i="4"/>
  <c r="H568" i="4"/>
  <c r="H569" i="4"/>
  <c r="H570" i="4"/>
  <c r="H571" i="4"/>
  <c r="H572" i="4"/>
  <c r="H573" i="4"/>
  <c r="H574" i="4"/>
  <c r="H575" i="4"/>
  <c r="H576" i="4"/>
  <c r="H577" i="4"/>
  <c r="H578" i="4"/>
  <c r="H579" i="4"/>
  <c r="H580" i="4"/>
  <c r="H581" i="4"/>
  <c r="H582" i="4"/>
  <c r="H583" i="4"/>
  <c r="H584" i="4"/>
  <c r="H585" i="4"/>
  <c r="H586" i="4"/>
  <c r="H587" i="4"/>
  <c r="H588" i="4"/>
  <c r="H589" i="4"/>
  <c r="H590" i="4"/>
  <c r="H591" i="4"/>
  <c r="H592" i="4"/>
  <c r="H593" i="4"/>
  <c r="H594" i="4"/>
  <c r="H595" i="4"/>
  <c r="H596" i="4"/>
  <c r="H597" i="4"/>
  <c r="H598" i="4"/>
  <c r="H599" i="4"/>
  <c r="H600" i="4"/>
  <c r="H601" i="4"/>
  <c r="H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49" i="4"/>
  <c r="E350" i="4"/>
  <c r="E351" i="4"/>
  <c r="E352" i="4"/>
  <c r="E353" i="4"/>
  <c r="E354" i="4"/>
  <c r="E355" i="4"/>
  <c r="E356" i="4"/>
  <c r="E357" i="4"/>
  <c r="E358" i="4"/>
  <c r="E359" i="4"/>
  <c r="E360" i="4"/>
  <c r="E361" i="4"/>
  <c r="E362" i="4"/>
  <c r="E363" i="4"/>
  <c r="E364" i="4"/>
  <c r="E365" i="4"/>
  <c r="E366" i="4"/>
  <c r="E367" i="4"/>
  <c r="E368" i="4"/>
  <c r="E369" i="4"/>
  <c r="E370" i="4"/>
  <c r="E371" i="4"/>
  <c r="E372" i="4"/>
  <c r="E373" i="4"/>
  <c r="E374" i="4"/>
  <c r="E375" i="4"/>
  <c r="E376" i="4"/>
  <c r="E377" i="4"/>
  <c r="E378" i="4"/>
  <c r="E379" i="4"/>
  <c r="E380" i="4"/>
  <c r="E381" i="4"/>
  <c r="E382" i="4"/>
  <c r="E383" i="4"/>
  <c r="E384" i="4"/>
  <c r="E385" i="4"/>
  <c r="E386" i="4"/>
  <c r="E387" i="4"/>
  <c r="E388" i="4"/>
  <c r="E389" i="4"/>
  <c r="E390" i="4"/>
  <c r="E391" i="4"/>
  <c r="E392" i="4"/>
  <c r="E393" i="4"/>
  <c r="E394" i="4"/>
  <c r="E395" i="4"/>
  <c r="E396" i="4"/>
  <c r="E397" i="4"/>
  <c r="E398" i="4"/>
  <c r="E399" i="4"/>
  <c r="E400" i="4"/>
  <c r="E401" i="4"/>
  <c r="E402" i="4"/>
  <c r="E403" i="4"/>
  <c r="E404" i="4"/>
  <c r="E405" i="4"/>
  <c r="E406" i="4"/>
  <c r="E407" i="4"/>
  <c r="E408" i="4"/>
  <c r="E409" i="4"/>
  <c r="E410" i="4"/>
  <c r="E411" i="4"/>
  <c r="E412" i="4"/>
  <c r="E413" i="4"/>
  <c r="E414" i="4"/>
  <c r="E415" i="4"/>
  <c r="E416" i="4"/>
  <c r="E417" i="4"/>
  <c r="E418" i="4"/>
  <c r="E419" i="4"/>
  <c r="E420" i="4"/>
  <c r="E421" i="4"/>
  <c r="E422" i="4"/>
  <c r="E423" i="4"/>
  <c r="E424" i="4"/>
  <c r="E425" i="4"/>
  <c r="E426" i="4"/>
  <c r="E427" i="4"/>
  <c r="E428" i="4"/>
  <c r="E429" i="4"/>
  <c r="E430" i="4"/>
  <c r="E431" i="4"/>
  <c r="E432" i="4"/>
  <c r="E433" i="4"/>
  <c r="E434" i="4"/>
  <c r="E435" i="4"/>
  <c r="E436" i="4"/>
  <c r="E437" i="4"/>
  <c r="E438" i="4"/>
  <c r="E439" i="4"/>
  <c r="E440" i="4"/>
  <c r="E441" i="4"/>
  <c r="E442" i="4"/>
  <c r="E443" i="4"/>
  <c r="E444" i="4"/>
  <c r="E445" i="4"/>
  <c r="E446" i="4"/>
  <c r="E447" i="4"/>
  <c r="E448" i="4"/>
  <c r="E449" i="4"/>
  <c r="E450" i="4"/>
  <c r="E451" i="4"/>
  <c r="E452" i="4"/>
  <c r="E453" i="4"/>
  <c r="E454" i="4"/>
  <c r="E455" i="4"/>
  <c r="E456" i="4"/>
  <c r="E457" i="4"/>
  <c r="E458" i="4"/>
  <c r="E459" i="4"/>
  <c r="E460" i="4"/>
  <c r="E461" i="4"/>
  <c r="E462" i="4"/>
  <c r="E463" i="4"/>
  <c r="E464" i="4"/>
  <c r="E465" i="4"/>
  <c r="E466" i="4"/>
  <c r="E467" i="4"/>
  <c r="E468" i="4"/>
  <c r="E469" i="4"/>
  <c r="E470" i="4"/>
  <c r="E471" i="4"/>
  <c r="E472" i="4"/>
  <c r="E473" i="4"/>
  <c r="E474" i="4"/>
  <c r="E475" i="4"/>
  <c r="E476" i="4"/>
  <c r="E477" i="4"/>
  <c r="E478" i="4"/>
  <c r="E479" i="4"/>
  <c r="E480" i="4"/>
  <c r="E481" i="4"/>
  <c r="E482" i="4"/>
  <c r="E483" i="4"/>
  <c r="E484" i="4"/>
  <c r="E485" i="4"/>
  <c r="E486" i="4"/>
  <c r="E487" i="4"/>
  <c r="E488" i="4"/>
  <c r="E489" i="4"/>
  <c r="E490" i="4"/>
  <c r="E491" i="4"/>
  <c r="E492" i="4"/>
  <c r="E493" i="4"/>
  <c r="E494" i="4"/>
  <c r="E495" i="4"/>
  <c r="E496" i="4"/>
  <c r="E497" i="4"/>
  <c r="E498" i="4"/>
  <c r="E499" i="4"/>
  <c r="E500" i="4"/>
  <c r="E501" i="4"/>
  <c r="E502" i="4"/>
  <c r="E503" i="4"/>
  <c r="E504" i="4"/>
  <c r="E505" i="4"/>
  <c r="E506" i="4"/>
  <c r="E507" i="4"/>
  <c r="E508" i="4"/>
  <c r="E509" i="4"/>
  <c r="E510" i="4"/>
  <c r="E511" i="4"/>
  <c r="E512" i="4"/>
  <c r="E513" i="4"/>
  <c r="E514" i="4"/>
  <c r="E515" i="4"/>
  <c r="E516" i="4"/>
  <c r="E517" i="4"/>
  <c r="E518" i="4"/>
  <c r="E519" i="4"/>
  <c r="E520" i="4"/>
  <c r="E521" i="4"/>
  <c r="E522" i="4"/>
  <c r="E523" i="4"/>
  <c r="E524" i="4"/>
  <c r="E525" i="4"/>
  <c r="E526" i="4"/>
  <c r="E527" i="4"/>
  <c r="E528" i="4"/>
  <c r="E529" i="4"/>
  <c r="E530" i="4"/>
  <c r="E531" i="4"/>
  <c r="E532" i="4"/>
  <c r="E533" i="4"/>
  <c r="E534" i="4"/>
  <c r="E535" i="4"/>
  <c r="E536" i="4"/>
  <c r="E537" i="4"/>
  <c r="E538" i="4"/>
  <c r="E539" i="4"/>
  <c r="E540" i="4"/>
  <c r="E541" i="4"/>
  <c r="E542" i="4"/>
  <c r="E543" i="4"/>
  <c r="E544" i="4"/>
  <c r="E545" i="4"/>
  <c r="E546" i="4"/>
  <c r="E547" i="4"/>
  <c r="E548" i="4"/>
  <c r="E549" i="4"/>
  <c r="E550" i="4"/>
  <c r="E551" i="4"/>
  <c r="E552" i="4"/>
  <c r="E553" i="4"/>
  <c r="E554" i="4"/>
  <c r="E555" i="4"/>
  <c r="E556" i="4"/>
  <c r="E557" i="4"/>
  <c r="E558" i="4"/>
  <c r="E559" i="4"/>
  <c r="E560" i="4"/>
  <c r="E561" i="4"/>
  <c r="E562" i="4"/>
  <c r="E563" i="4"/>
  <c r="E564" i="4"/>
  <c r="E565" i="4"/>
  <c r="E566" i="4"/>
  <c r="E567" i="4"/>
  <c r="E568" i="4"/>
  <c r="E569" i="4"/>
  <c r="E570" i="4"/>
  <c r="E571" i="4"/>
  <c r="E572" i="4"/>
  <c r="E573" i="4"/>
  <c r="E574" i="4"/>
  <c r="E575" i="4"/>
  <c r="E576" i="4"/>
  <c r="E577" i="4"/>
  <c r="E578" i="4"/>
  <c r="E579" i="4"/>
  <c r="E580" i="4"/>
  <c r="E581" i="4"/>
  <c r="E582" i="4"/>
  <c r="E583" i="4"/>
  <c r="E584" i="4"/>
  <c r="E585" i="4"/>
  <c r="E586" i="4"/>
  <c r="E587" i="4"/>
  <c r="E588" i="4"/>
  <c r="E589" i="4"/>
  <c r="E590" i="4"/>
  <c r="E591" i="4"/>
  <c r="E592" i="4"/>
  <c r="E593" i="4"/>
  <c r="E594" i="4"/>
  <c r="E595" i="4"/>
  <c r="E596" i="4"/>
  <c r="E597" i="4"/>
  <c r="E598" i="4"/>
  <c r="E599" i="4"/>
  <c r="E600" i="4"/>
  <c r="E601" i="4"/>
  <c r="E3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341" i="4"/>
  <c r="D342" i="4"/>
  <c r="D343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361" i="4"/>
  <c r="D362" i="4"/>
  <c r="D363" i="4"/>
  <c r="D364" i="4"/>
  <c r="D365" i="4"/>
  <c r="D366" i="4"/>
  <c r="D367" i="4"/>
  <c r="D368" i="4"/>
  <c r="D369" i="4"/>
  <c r="D370" i="4"/>
  <c r="D371" i="4"/>
  <c r="D372" i="4"/>
  <c r="D373" i="4"/>
  <c r="D374" i="4"/>
  <c r="D375" i="4"/>
  <c r="D376" i="4"/>
  <c r="D377" i="4"/>
  <c r="D378" i="4"/>
  <c r="D379" i="4"/>
  <c r="D380" i="4"/>
  <c r="D381" i="4"/>
  <c r="D382" i="4"/>
  <c r="D383" i="4"/>
  <c r="D384" i="4"/>
  <c r="D385" i="4"/>
  <c r="D386" i="4"/>
  <c r="D387" i="4"/>
  <c r="D388" i="4"/>
  <c r="D389" i="4"/>
  <c r="D390" i="4"/>
  <c r="D391" i="4"/>
  <c r="D392" i="4"/>
  <c r="D393" i="4"/>
  <c r="D394" i="4"/>
  <c r="D395" i="4"/>
  <c r="D396" i="4"/>
  <c r="D397" i="4"/>
  <c r="D398" i="4"/>
  <c r="D399" i="4"/>
  <c r="D400" i="4"/>
  <c r="D401" i="4"/>
  <c r="D402" i="4"/>
  <c r="D403" i="4"/>
  <c r="D404" i="4"/>
  <c r="D405" i="4"/>
  <c r="D406" i="4"/>
  <c r="D407" i="4"/>
  <c r="D408" i="4"/>
  <c r="D409" i="4"/>
  <c r="D410" i="4"/>
  <c r="D411" i="4"/>
  <c r="D412" i="4"/>
  <c r="D413" i="4"/>
  <c r="D414" i="4"/>
  <c r="D415" i="4"/>
  <c r="D416" i="4"/>
  <c r="D417" i="4"/>
  <c r="D418" i="4"/>
  <c r="D419" i="4"/>
  <c r="D420" i="4"/>
  <c r="D421" i="4"/>
  <c r="D422" i="4"/>
  <c r="D423" i="4"/>
  <c r="D424" i="4"/>
  <c r="D425" i="4"/>
  <c r="D426" i="4"/>
  <c r="D427" i="4"/>
  <c r="D428" i="4"/>
  <c r="D429" i="4"/>
  <c r="D430" i="4"/>
  <c r="D431" i="4"/>
  <c r="D432" i="4"/>
  <c r="D433" i="4"/>
  <c r="D434" i="4"/>
  <c r="D435" i="4"/>
  <c r="D436" i="4"/>
  <c r="D437" i="4"/>
  <c r="D438" i="4"/>
  <c r="D439" i="4"/>
  <c r="D440" i="4"/>
  <c r="D441" i="4"/>
  <c r="D442" i="4"/>
  <c r="D443" i="4"/>
  <c r="D444" i="4"/>
  <c r="D445" i="4"/>
  <c r="D446" i="4"/>
  <c r="D447" i="4"/>
  <c r="D448" i="4"/>
  <c r="D449" i="4"/>
  <c r="D450" i="4"/>
  <c r="D451" i="4"/>
  <c r="D452" i="4"/>
  <c r="D453" i="4"/>
  <c r="D454" i="4"/>
  <c r="D455" i="4"/>
  <c r="D456" i="4"/>
  <c r="D457" i="4"/>
  <c r="D458" i="4"/>
  <c r="D459" i="4"/>
  <c r="D460" i="4"/>
  <c r="D461" i="4"/>
  <c r="D462" i="4"/>
  <c r="D463" i="4"/>
  <c r="D464" i="4"/>
  <c r="D465" i="4"/>
  <c r="D466" i="4"/>
  <c r="D467" i="4"/>
  <c r="D468" i="4"/>
  <c r="D469" i="4"/>
  <c r="D470" i="4"/>
  <c r="D471" i="4"/>
  <c r="D472" i="4"/>
  <c r="D473" i="4"/>
  <c r="D474" i="4"/>
  <c r="D475" i="4"/>
  <c r="D476" i="4"/>
  <c r="D477" i="4"/>
  <c r="D478" i="4"/>
  <c r="D479" i="4"/>
  <c r="D480" i="4"/>
  <c r="D481" i="4"/>
  <c r="D482" i="4"/>
  <c r="D483" i="4"/>
  <c r="D484" i="4"/>
  <c r="D485" i="4"/>
  <c r="D486" i="4"/>
  <c r="D487" i="4"/>
  <c r="D488" i="4"/>
  <c r="D489" i="4"/>
  <c r="D490" i="4"/>
  <c r="D491" i="4"/>
  <c r="D492" i="4"/>
  <c r="D493" i="4"/>
  <c r="D494" i="4"/>
  <c r="D495" i="4"/>
  <c r="D496" i="4"/>
  <c r="D497" i="4"/>
  <c r="D498" i="4"/>
  <c r="D499" i="4"/>
  <c r="D500" i="4"/>
  <c r="D501" i="4"/>
  <c r="D502" i="4"/>
  <c r="D503" i="4"/>
  <c r="D504" i="4"/>
  <c r="D505" i="4"/>
  <c r="D506" i="4"/>
  <c r="D507" i="4"/>
  <c r="D508" i="4"/>
  <c r="D509" i="4"/>
  <c r="D510" i="4"/>
  <c r="D511" i="4"/>
  <c r="D512" i="4"/>
  <c r="D513" i="4"/>
  <c r="D514" i="4"/>
  <c r="D515" i="4"/>
  <c r="D516" i="4"/>
  <c r="D517" i="4"/>
  <c r="D518" i="4"/>
  <c r="D519" i="4"/>
  <c r="D520" i="4"/>
  <c r="D521" i="4"/>
  <c r="D522" i="4"/>
  <c r="D523" i="4"/>
  <c r="D524" i="4"/>
  <c r="D525" i="4"/>
  <c r="D526" i="4"/>
  <c r="D527" i="4"/>
  <c r="D528" i="4"/>
  <c r="D529" i="4"/>
  <c r="D530" i="4"/>
  <c r="D531" i="4"/>
  <c r="D532" i="4"/>
  <c r="D533" i="4"/>
  <c r="D534" i="4"/>
  <c r="D535" i="4"/>
  <c r="D536" i="4"/>
  <c r="D537" i="4"/>
  <c r="D538" i="4"/>
  <c r="D539" i="4"/>
  <c r="D540" i="4"/>
  <c r="D541" i="4"/>
  <c r="D542" i="4"/>
  <c r="D543" i="4"/>
  <c r="D544" i="4"/>
  <c r="D545" i="4"/>
  <c r="D546" i="4"/>
  <c r="D547" i="4"/>
  <c r="D548" i="4"/>
  <c r="D549" i="4"/>
  <c r="D550" i="4"/>
  <c r="D551" i="4"/>
  <c r="D552" i="4"/>
  <c r="D553" i="4"/>
  <c r="D554" i="4"/>
  <c r="D555" i="4"/>
  <c r="D556" i="4"/>
  <c r="D557" i="4"/>
  <c r="D558" i="4"/>
  <c r="D559" i="4"/>
  <c r="D560" i="4"/>
  <c r="D561" i="4"/>
  <c r="D562" i="4"/>
  <c r="D563" i="4"/>
  <c r="D564" i="4"/>
  <c r="D565" i="4"/>
  <c r="D566" i="4"/>
  <c r="D567" i="4"/>
  <c r="D568" i="4"/>
  <c r="D569" i="4"/>
  <c r="D570" i="4"/>
  <c r="D571" i="4"/>
  <c r="D572" i="4"/>
  <c r="D573" i="4"/>
  <c r="D574" i="4"/>
  <c r="D575" i="4"/>
  <c r="D576" i="4"/>
  <c r="D577" i="4"/>
  <c r="D578" i="4"/>
  <c r="D579" i="4"/>
  <c r="D580" i="4"/>
  <c r="D581" i="4"/>
  <c r="D582" i="4"/>
  <c r="D583" i="4"/>
  <c r="D584" i="4"/>
  <c r="D585" i="4"/>
  <c r="D586" i="4"/>
  <c r="D587" i="4"/>
  <c r="D588" i="4"/>
  <c r="D589" i="4"/>
  <c r="D590" i="4"/>
  <c r="D591" i="4"/>
  <c r="D592" i="4"/>
  <c r="D593" i="4"/>
  <c r="D594" i="4"/>
  <c r="D595" i="4"/>
  <c r="D596" i="4"/>
  <c r="D597" i="4"/>
  <c r="D598" i="4"/>
  <c r="D599" i="4"/>
  <c r="D600" i="4"/>
  <c r="D601" i="4"/>
  <c r="AA3" i="1" l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B26" i="1" s="1"/>
  <c r="AC26" i="1" s="1"/>
  <c r="AA27" i="1"/>
  <c r="AA28" i="1"/>
  <c r="AA29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B92" i="1" s="1"/>
  <c r="AC92" i="1" s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B122" i="1" s="1"/>
  <c r="AC122" i="1" s="1"/>
  <c r="AA123" i="1"/>
  <c r="AA124" i="1"/>
  <c r="AA125" i="1"/>
  <c r="AA127" i="1"/>
  <c r="AA128" i="1"/>
  <c r="AA129" i="1"/>
  <c r="AA130" i="1"/>
  <c r="AB130" i="1" s="1"/>
  <c r="AC130" i="1" s="1"/>
  <c r="AA131" i="1"/>
  <c r="AA132" i="1"/>
  <c r="AA133" i="1"/>
  <c r="AA134" i="1"/>
  <c r="AA135" i="1"/>
  <c r="AA136" i="1"/>
  <c r="AA137" i="1"/>
  <c r="AA138" i="1"/>
  <c r="AA139" i="1"/>
  <c r="AA140" i="1"/>
  <c r="AA141" i="1"/>
  <c r="AB141" i="1" s="1"/>
  <c r="AC141" i="1" s="1"/>
  <c r="AA142" i="1"/>
  <c r="AB142" i="1" s="1"/>
  <c r="AC142" i="1" s="1"/>
  <c r="AA143" i="1"/>
  <c r="AA144" i="1"/>
  <c r="AA145" i="1"/>
  <c r="AA146" i="1"/>
  <c r="AA147" i="1"/>
  <c r="AB147" i="1" s="1"/>
  <c r="AC147" i="1" s="1"/>
  <c r="AA148" i="1"/>
  <c r="AA149" i="1"/>
  <c r="AA150" i="1"/>
  <c r="AA151" i="1"/>
  <c r="AB151" i="1" s="1"/>
  <c r="AC151" i="1" s="1"/>
  <c r="AA152" i="1"/>
  <c r="AA153" i="1"/>
  <c r="AA154" i="1"/>
  <c r="AA155" i="1"/>
  <c r="AA156" i="1"/>
  <c r="AA157" i="1"/>
  <c r="AA158" i="1"/>
  <c r="AA159" i="1"/>
  <c r="AB159" i="1" s="1"/>
  <c r="AC159" i="1" s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79" i="1"/>
  <c r="AA180" i="1"/>
  <c r="AA181" i="1"/>
  <c r="AA182" i="1"/>
  <c r="AA183" i="1"/>
  <c r="AA184" i="1"/>
  <c r="AA185" i="1"/>
  <c r="AA186" i="1"/>
  <c r="AA187" i="1"/>
  <c r="AA188" i="1"/>
  <c r="AA189" i="1"/>
  <c r="AA190" i="1"/>
  <c r="AB190" i="1" s="1"/>
  <c r="AC190" i="1" s="1"/>
  <c r="AA191" i="1"/>
  <c r="AA192" i="1"/>
  <c r="AA193" i="1"/>
  <c r="AA194" i="1"/>
  <c r="AB194" i="1" s="1"/>
  <c r="AC194" i="1" s="1"/>
  <c r="AA195" i="1"/>
  <c r="AA196" i="1"/>
  <c r="AB196" i="1" s="1"/>
  <c r="AC196" i="1" s="1"/>
  <c r="AA197" i="1"/>
  <c r="AA198" i="1"/>
  <c r="AA199" i="1"/>
  <c r="AA200" i="1"/>
  <c r="AA201" i="1"/>
  <c r="AA202" i="1"/>
  <c r="AA203" i="1"/>
  <c r="AA204" i="1"/>
  <c r="AA205" i="1"/>
  <c r="AA206" i="1"/>
  <c r="AA207" i="1"/>
  <c r="AA208" i="1"/>
  <c r="AA209" i="1"/>
  <c r="AA210" i="1"/>
  <c r="AB210" i="1" s="1"/>
  <c r="AC210" i="1" s="1"/>
  <c r="AA211" i="1"/>
  <c r="AA212" i="1"/>
  <c r="AA213" i="1"/>
  <c r="AA214" i="1"/>
  <c r="AA215" i="1"/>
  <c r="AA216" i="1"/>
  <c r="AB216" i="1" s="1"/>
  <c r="AC216" i="1" s="1"/>
  <c r="AA217" i="1"/>
  <c r="AA218" i="1"/>
  <c r="AA219" i="1"/>
  <c r="AB219" i="1" s="1"/>
  <c r="AC219" i="1" s="1"/>
  <c r="AA220" i="1"/>
  <c r="AA221" i="1"/>
  <c r="AA222" i="1"/>
  <c r="AA223" i="1"/>
  <c r="AB223" i="1" s="1"/>
  <c r="AC223" i="1" s="1"/>
  <c r="AA224" i="1"/>
  <c r="AA225" i="1"/>
  <c r="AA226" i="1"/>
  <c r="AA227" i="1"/>
  <c r="AA228" i="1"/>
  <c r="AA229" i="1"/>
  <c r="AA230" i="1"/>
  <c r="AA231" i="1"/>
  <c r="AA232" i="1"/>
  <c r="AA233" i="1"/>
  <c r="AA234" i="1"/>
  <c r="AA235" i="1"/>
  <c r="AB235" i="1" s="1"/>
  <c r="AC235" i="1" s="1"/>
  <c r="AA236" i="1"/>
  <c r="AA237" i="1"/>
  <c r="AA238" i="1"/>
  <c r="AA239" i="1"/>
  <c r="AA240" i="1"/>
  <c r="AA241" i="1"/>
  <c r="AA242" i="1"/>
  <c r="AA243" i="1"/>
  <c r="AA244" i="1"/>
  <c r="AA245" i="1"/>
  <c r="AB245" i="1" s="1"/>
  <c r="AC245" i="1" s="1"/>
  <c r="AA246" i="1"/>
  <c r="AB246" i="1" s="1"/>
  <c r="AC246" i="1" s="1"/>
  <c r="AA247" i="1"/>
  <c r="AA248" i="1"/>
  <c r="AA249" i="1"/>
  <c r="AA250" i="1"/>
  <c r="AB250" i="1" s="1"/>
  <c r="AC250" i="1" s="1"/>
  <c r="AA251" i="1"/>
  <c r="AA252" i="1"/>
  <c r="AA253" i="1"/>
  <c r="AB253" i="1" s="1"/>
  <c r="AC253" i="1" s="1"/>
  <c r="AA254" i="1"/>
  <c r="AA255" i="1"/>
  <c r="AA256" i="1"/>
  <c r="AB256" i="1" s="1"/>
  <c r="AC256" i="1" s="1"/>
  <c r="AA257" i="1"/>
  <c r="AA258" i="1"/>
  <c r="AB258" i="1" s="1"/>
  <c r="AC258" i="1" s="1"/>
  <c r="AA259" i="1"/>
  <c r="AA260" i="1"/>
  <c r="AA261" i="1"/>
  <c r="AA262" i="1"/>
  <c r="AA263" i="1"/>
  <c r="AA264" i="1"/>
  <c r="AB264" i="1" s="1"/>
  <c r="AC264" i="1" s="1"/>
  <c r="AA266" i="1"/>
  <c r="AA267" i="1"/>
  <c r="AA268" i="1"/>
  <c r="AA269" i="1"/>
  <c r="AA270" i="1"/>
  <c r="AA271" i="1"/>
  <c r="AA272" i="1"/>
  <c r="AA273" i="1"/>
  <c r="AA274" i="1"/>
  <c r="AA275" i="1"/>
  <c r="AA276" i="1"/>
  <c r="AA277" i="1"/>
  <c r="AA278" i="1"/>
  <c r="AA279" i="1"/>
  <c r="AA280" i="1"/>
  <c r="AA281" i="1"/>
  <c r="AA282" i="1"/>
  <c r="AA283" i="1"/>
  <c r="AA284" i="1"/>
  <c r="AA285" i="1"/>
  <c r="AA286" i="1"/>
  <c r="AA287" i="1"/>
  <c r="AA288" i="1"/>
  <c r="AA289" i="1"/>
  <c r="AB289" i="1" s="1"/>
  <c r="AC289" i="1" s="1"/>
  <c r="AA290" i="1"/>
  <c r="AA291" i="1"/>
  <c r="AA292" i="1"/>
  <c r="AA293" i="1"/>
  <c r="AA294" i="1"/>
  <c r="AA295" i="1"/>
  <c r="AA296" i="1"/>
  <c r="AA297" i="1"/>
  <c r="AA298" i="1"/>
  <c r="AA299" i="1"/>
  <c r="AA300" i="1"/>
  <c r="AA301" i="1"/>
  <c r="AA302" i="1"/>
  <c r="AA303" i="1"/>
  <c r="AA304" i="1"/>
  <c r="AA305" i="1"/>
  <c r="AA306" i="1"/>
  <c r="AA307" i="1"/>
  <c r="AA308" i="1"/>
  <c r="AA309" i="1"/>
  <c r="AA310" i="1"/>
  <c r="AA311" i="1"/>
  <c r="AA312" i="1"/>
  <c r="AA313" i="1"/>
  <c r="AA314" i="1"/>
  <c r="AA315" i="1"/>
  <c r="AA316" i="1"/>
  <c r="AA317" i="1"/>
  <c r="AA318" i="1"/>
  <c r="AA319" i="1"/>
  <c r="AA320" i="1"/>
  <c r="AA321" i="1"/>
  <c r="AB321" i="1" s="1"/>
  <c r="AC321" i="1" s="1"/>
  <c r="AA322" i="1"/>
  <c r="AA323" i="1"/>
  <c r="AB323" i="1" s="1"/>
  <c r="AC323" i="1" s="1"/>
  <c r="AA324" i="1"/>
  <c r="AA325" i="1"/>
  <c r="AB325" i="1" s="1"/>
  <c r="AC325" i="1" s="1"/>
  <c r="AA326" i="1"/>
  <c r="AA327" i="1"/>
  <c r="AA328" i="1"/>
  <c r="AA329" i="1"/>
  <c r="AA330" i="1"/>
  <c r="AA331" i="1"/>
  <c r="AA332" i="1"/>
  <c r="AA333" i="1"/>
  <c r="AA334" i="1"/>
  <c r="AA335" i="1"/>
  <c r="AA336" i="1"/>
  <c r="AA337" i="1"/>
  <c r="AA338" i="1"/>
  <c r="AA339" i="1"/>
  <c r="AA340" i="1"/>
  <c r="AA341" i="1"/>
  <c r="AA342" i="1"/>
  <c r="AA343" i="1"/>
  <c r="AB343" i="1" s="1"/>
  <c r="AC343" i="1" s="1"/>
  <c r="AA344" i="1"/>
  <c r="AB344" i="1" s="1"/>
  <c r="AC344" i="1" s="1"/>
  <c r="AA345" i="1"/>
  <c r="AA346" i="1"/>
  <c r="AB346" i="1" s="1"/>
  <c r="AC346" i="1" s="1"/>
  <c r="AA347" i="1"/>
  <c r="AB347" i="1" s="1"/>
  <c r="AC347" i="1" s="1"/>
  <c r="AA348" i="1"/>
  <c r="AB348" i="1" s="1"/>
  <c r="AC348" i="1" s="1"/>
  <c r="AA349" i="1"/>
  <c r="AB349" i="1" s="1"/>
  <c r="AC349" i="1" s="1"/>
  <c r="AA350" i="1"/>
  <c r="AA351" i="1"/>
  <c r="AB351" i="1" s="1"/>
  <c r="AC351" i="1" s="1"/>
  <c r="AA352" i="1"/>
  <c r="AA353" i="1"/>
  <c r="AA354" i="1"/>
  <c r="AB354" i="1" s="1"/>
  <c r="AC354" i="1" s="1"/>
  <c r="AA355" i="1"/>
  <c r="AA356" i="1"/>
  <c r="AA357" i="1"/>
  <c r="AA358" i="1"/>
  <c r="AA359" i="1"/>
  <c r="AA360" i="1"/>
  <c r="AB360" i="1" s="1"/>
  <c r="AC360" i="1" s="1"/>
  <c r="AA361" i="1"/>
  <c r="AA362" i="1"/>
  <c r="AA363" i="1"/>
  <c r="AB363" i="1" s="1"/>
  <c r="AC363" i="1" s="1"/>
  <c r="AA364" i="1"/>
  <c r="AA365" i="1"/>
  <c r="AA366" i="1"/>
  <c r="AA367" i="1"/>
  <c r="AB367" i="1" s="1"/>
  <c r="AC367" i="1" s="1"/>
  <c r="AA368" i="1"/>
  <c r="AA369" i="1"/>
  <c r="AA370" i="1"/>
  <c r="AA371" i="1"/>
  <c r="AB371" i="1" s="1"/>
  <c r="AC371" i="1" s="1"/>
  <c r="AA372" i="1"/>
  <c r="AA373" i="1"/>
  <c r="AA374" i="1"/>
  <c r="AB374" i="1" s="1"/>
  <c r="AC374" i="1" s="1"/>
  <c r="AA375" i="1"/>
  <c r="AA376" i="1"/>
  <c r="AA377" i="1"/>
  <c r="AA378" i="1"/>
  <c r="AA379" i="1"/>
  <c r="AA380" i="1"/>
  <c r="AA381" i="1"/>
  <c r="AA382" i="1"/>
  <c r="AA383" i="1"/>
  <c r="AA384" i="1"/>
  <c r="AA385" i="1"/>
  <c r="AA386" i="1"/>
  <c r="AA387" i="1"/>
  <c r="AA388" i="1"/>
  <c r="AA389" i="1"/>
  <c r="AA390" i="1"/>
  <c r="AA391" i="1"/>
  <c r="AA392" i="1"/>
  <c r="AB392" i="1" s="1"/>
  <c r="AC392" i="1" s="1"/>
  <c r="AA393" i="1"/>
  <c r="AA394" i="1"/>
  <c r="AA395" i="1"/>
  <c r="AA396" i="1"/>
  <c r="AA397" i="1"/>
  <c r="AA398" i="1"/>
  <c r="AA399" i="1"/>
  <c r="AA400" i="1"/>
  <c r="AA401" i="1"/>
  <c r="AB401" i="1" s="1"/>
  <c r="AC401" i="1" s="1"/>
  <c r="AA402" i="1"/>
  <c r="AA403" i="1"/>
  <c r="AA404" i="1"/>
  <c r="AA405" i="1"/>
  <c r="AA406" i="1"/>
  <c r="AA407" i="1"/>
  <c r="AB407" i="1" s="1"/>
  <c r="AC407" i="1" s="1"/>
  <c r="AA408" i="1"/>
  <c r="AA409" i="1"/>
  <c r="AA410" i="1"/>
  <c r="AA411" i="1"/>
  <c r="AA412" i="1"/>
  <c r="AA413" i="1"/>
  <c r="AB413" i="1" s="1"/>
  <c r="AC413" i="1" s="1"/>
  <c r="AA414" i="1"/>
  <c r="AA415" i="1"/>
  <c r="AA416" i="1"/>
  <c r="AA417" i="1"/>
  <c r="AB417" i="1" s="1"/>
  <c r="AC417" i="1" s="1"/>
  <c r="AA419" i="1"/>
  <c r="AA420" i="1"/>
  <c r="AA421" i="1"/>
  <c r="AA422" i="1"/>
  <c r="AA423" i="1"/>
  <c r="AA424" i="1"/>
  <c r="AA425" i="1"/>
  <c r="AA426" i="1"/>
  <c r="AA427" i="1"/>
  <c r="AA428" i="1"/>
  <c r="AA429" i="1"/>
  <c r="AA430" i="1"/>
  <c r="AA431" i="1"/>
  <c r="AA432" i="1"/>
  <c r="AB432" i="1" s="1"/>
  <c r="AC432" i="1" s="1"/>
  <c r="AA433" i="1"/>
  <c r="AB433" i="1" s="1"/>
  <c r="AC433" i="1" s="1"/>
  <c r="AA434" i="1"/>
  <c r="AA435" i="1"/>
  <c r="AA436" i="1"/>
  <c r="AA437" i="1"/>
  <c r="AA438" i="1"/>
  <c r="AA439" i="1"/>
  <c r="AB439" i="1" s="1"/>
  <c r="AC439" i="1" s="1"/>
  <c r="AA440" i="1"/>
  <c r="AA441" i="1"/>
  <c r="AA442" i="1"/>
  <c r="AA443" i="1"/>
  <c r="AA444" i="1"/>
  <c r="AA445" i="1"/>
  <c r="AA446" i="1"/>
  <c r="AA447" i="1"/>
  <c r="AA448" i="1"/>
  <c r="AA449" i="1"/>
  <c r="AA450" i="1"/>
  <c r="AA451" i="1"/>
  <c r="AA452" i="1"/>
  <c r="AA453" i="1"/>
  <c r="AA454" i="1"/>
  <c r="AA455" i="1"/>
  <c r="AB455" i="1" s="1"/>
  <c r="AC455" i="1" s="1"/>
  <c r="AA456" i="1"/>
  <c r="AA457" i="1"/>
  <c r="AA458" i="1"/>
  <c r="AA459" i="1"/>
  <c r="AA460" i="1"/>
  <c r="AA461" i="1"/>
  <c r="AA462" i="1"/>
  <c r="AA463" i="1"/>
  <c r="AA464" i="1"/>
  <c r="AB464" i="1" s="1"/>
  <c r="AC464" i="1" s="1"/>
  <c r="AA465" i="1"/>
  <c r="AA466" i="1"/>
  <c r="AA467" i="1"/>
  <c r="AA468" i="1"/>
  <c r="AA469" i="1"/>
  <c r="AB469" i="1" s="1"/>
  <c r="AC469" i="1" s="1"/>
  <c r="AA470" i="1"/>
  <c r="AA471" i="1"/>
  <c r="AA472" i="1"/>
  <c r="AA473" i="1"/>
  <c r="AA474" i="1"/>
  <c r="AA475" i="1"/>
  <c r="AA476" i="1"/>
  <c r="AA477" i="1"/>
  <c r="AA478" i="1"/>
  <c r="AA479" i="1"/>
  <c r="AA480" i="1"/>
  <c r="AB480" i="1" s="1"/>
  <c r="AC480" i="1" s="1"/>
  <c r="AA481" i="1"/>
  <c r="AA482" i="1"/>
  <c r="AA483" i="1"/>
  <c r="AA484" i="1"/>
  <c r="AB484" i="1" s="1"/>
  <c r="AC484" i="1" s="1"/>
  <c r="AA485" i="1"/>
  <c r="AA486" i="1"/>
  <c r="AA487" i="1"/>
  <c r="AA488" i="1"/>
  <c r="AA489" i="1"/>
  <c r="AA490" i="1"/>
  <c r="AA491" i="1"/>
  <c r="AA492" i="1"/>
  <c r="AB492" i="1" s="1"/>
  <c r="AC492" i="1" s="1"/>
  <c r="AA493" i="1"/>
  <c r="AA494" i="1"/>
  <c r="AA495" i="1"/>
  <c r="AA496" i="1"/>
  <c r="AA497" i="1"/>
  <c r="AA498" i="1"/>
  <c r="AA499" i="1"/>
  <c r="AA500" i="1"/>
  <c r="AB500" i="1" s="1"/>
  <c r="AC500" i="1" s="1"/>
  <c r="AA501" i="1"/>
  <c r="AA502" i="1"/>
  <c r="AA503" i="1"/>
  <c r="AA504" i="1"/>
  <c r="AA505" i="1"/>
  <c r="AA506" i="1"/>
  <c r="AA507" i="1"/>
  <c r="AB507" i="1" s="1"/>
  <c r="AC507" i="1" s="1"/>
  <c r="AA508" i="1"/>
  <c r="AA509" i="1"/>
  <c r="AA510" i="1"/>
  <c r="AB510" i="1" s="1"/>
  <c r="AC510" i="1" s="1"/>
  <c r="AA511" i="1"/>
  <c r="AA512" i="1"/>
  <c r="AA513" i="1"/>
  <c r="AA514" i="1"/>
  <c r="AB514" i="1" s="1"/>
  <c r="AC514" i="1" s="1"/>
  <c r="AA515" i="1"/>
  <c r="AA516" i="1"/>
  <c r="AA517" i="1"/>
  <c r="AA518" i="1"/>
  <c r="AA519" i="1"/>
  <c r="AA520" i="1"/>
  <c r="AA521" i="1"/>
  <c r="AB521" i="1" s="1"/>
  <c r="AC521" i="1" s="1"/>
  <c r="AA522" i="1"/>
  <c r="AA523" i="1"/>
  <c r="AA524" i="1"/>
  <c r="AB524" i="1" s="1"/>
  <c r="AC524" i="1" s="1"/>
  <c r="AA525" i="1"/>
  <c r="AA526" i="1"/>
  <c r="AB526" i="1" s="1"/>
  <c r="AC526" i="1" s="1"/>
  <c r="AA527" i="1"/>
  <c r="AA528" i="1"/>
  <c r="AA529" i="1"/>
  <c r="AB529" i="1" s="1"/>
  <c r="AC529" i="1" s="1"/>
  <c r="AA530" i="1"/>
  <c r="AA531" i="1"/>
  <c r="AA532" i="1"/>
  <c r="AA533" i="1"/>
  <c r="AA534" i="1"/>
  <c r="AA535" i="1"/>
  <c r="AA536" i="1"/>
  <c r="AB536" i="1" s="1"/>
  <c r="AC536" i="1" s="1"/>
  <c r="AA537" i="1"/>
  <c r="AA538" i="1"/>
  <c r="AA539" i="1"/>
  <c r="AA540" i="1"/>
  <c r="AA541" i="1"/>
  <c r="AA542" i="1"/>
  <c r="AA543" i="1"/>
  <c r="AA544" i="1"/>
  <c r="AB544" i="1" s="1"/>
  <c r="AC544" i="1" s="1"/>
  <c r="AA545" i="1"/>
  <c r="AA546" i="1"/>
  <c r="AA547" i="1"/>
  <c r="AA548" i="1"/>
  <c r="AA549" i="1"/>
  <c r="AA550" i="1"/>
  <c r="AB550" i="1" s="1"/>
  <c r="AC550" i="1" s="1"/>
  <c r="AA551" i="1"/>
  <c r="AB551" i="1" s="1"/>
  <c r="AC551" i="1" s="1"/>
  <c r="AA552" i="1"/>
  <c r="AA553" i="1"/>
  <c r="AA554" i="1"/>
  <c r="AA555" i="1"/>
  <c r="AA556" i="1"/>
  <c r="AA557" i="1"/>
  <c r="AA558" i="1"/>
  <c r="AA559" i="1"/>
  <c r="AA560" i="1"/>
  <c r="AA561" i="1"/>
  <c r="AB561" i="1" s="1"/>
  <c r="AC561" i="1" s="1"/>
  <c r="AA562" i="1"/>
  <c r="AA563" i="1"/>
  <c r="AA564" i="1"/>
  <c r="AA565" i="1"/>
  <c r="AA566" i="1"/>
  <c r="AB566" i="1" s="1"/>
  <c r="AC566" i="1" s="1"/>
  <c r="AA567" i="1"/>
  <c r="AA568" i="1"/>
  <c r="AA569" i="1"/>
  <c r="AA570" i="1"/>
  <c r="AA571" i="1"/>
  <c r="AA572" i="1"/>
  <c r="AB572" i="1" s="1"/>
  <c r="AC572" i="1" s="1"/>
  <c r="AA573" i="1"/>
  <c r="AB573" i="1" s="1"/>
  <c r="AC573" i="1" s="1"/>
  <c r="AA574" i="1"/>
  <c r="AB574" i="1" s="1"/>
  <c r="AC574" i="1" s="1"/>
  <c r="AA575" i="1"/>
  <c r="AA576" i="1"/>
  <c r="AA577" i="1"/>
  <c r="AB577" i="1" s="1"/>
  <c r="AC577" i="1" s="1"/>
  <c r="AA578" i="1"/>
  <c r="AA579" i="1"/>
  <c r="AA580" i="1"/>
  <c r="AB580" i="1" s="1"/>
  <c r="AC580" i="1" s="1"/>
  <c r="AA581" i="1"/>
  <c r="AA582" i="1"/>
  <c r="AA583" i="1"/>
  <c r="AB583" i="1" s="1"/>
  <c r="AC583" i="1" s="1"/>
  <c r="AA584" i="1"/>
  <c r="AA585" i="1"/>
  <c r="AB585" i="1" s="1"/>
  <c r="AC585" i="1" s="1"/>
  <c r="AA586" i="1"/>
  <c r="AA587" i="1"/>
  <c r="AB587" i="1" s="1"/>
  <c r="AC587" i="1" s="1"/>
  <c r="AA588" i="1"/>
  <c r="AB588" i="1" s="1"/>
  <c r="AC588" i="1" s="1"/>
  <c r="AA589" i="1"/>
  <c r="AA590" i="1"/>
  <c r="AA591" i="1"/>
  <c r="AA592" i="1"/>
  <c r="AB592" i="1" s="1"/>
  <c r="AC592" i="1" s="1"/>
  <c r="AA593" i="1"/>
  <c r="AA594" i="1"/>
  <c r="AA595" i="1"/>
  <c r="AB595" i="1" s="1"/>
  <c r="AC595" i="1" s="1"/>
  <c r="AA596" i="1"/>
  <c r="AA597" i="1"/>
  <c r="AB597" i="1" s="1"/>
  <c r="AC597" i="1" s="1"/>
  <c r="AA598" i="1"/>
  <c r="AB598" i="1" s="1"/>
  <c r="AC598" i="1" s="1"/>
  <c r="AA599" i="1"/>
  <c r="AA600" i="1"/>
  <c r="AA2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421" i="1"/>
  <c r="Z422" i="1"/>
  <c r="Z423" i="1"/>
  <c r="Z424" i="1"/>
  <c r="Z425" i="1"/>
  <c r="Z426" i="1"/>
  <c r="Z427" i="1"/>
  <c r="Z428" i="1"/>
  <c r="Z429" i="1"/>
  <c r="Z430" i="1"/>
  <c r="Z431" i="1"/>
  <c r="Z432" i="1"/>
  <c r="Z433" i="1"/>
  <c r="Z434" i="1"/>
  <c r="Z435" i="1"/>
  <c r="Z436" i="1"/>
  <c r="Z437" i="1"/>
  <c r="Z438" i="1"/>
  <c r="Z439" i="1"/>
  <c r="Z440" i="1"/>
  <c r="Z441" i="1"/>
  <c r="Z442" i="1"/>
  <c r="Z443" i="1"/>
  <c r="Z444" i="1"/>
  <c r="Z445" i="1"/>
  <c r="Z446" i="1"/>
  <c r="Z447" i="1"/>
  <c r="Z448" i="1"/>
  <c r="Z449" i="1"/>
  <c r="Z450" i="1"/>
  <c r="Z451" i="1"/>
  <c r="Z452" i="1"/>
  <c r="Z453" i="1"/>
  <c r="Z454" i="1"/>
  <c r="Z455" i="1"/>
  <c r="Z456" i="1"/>
  <c r="Z457" i="1"/>
  <c r="Z458" i="1"/>
  <c r="Z459" i="1"/>
  <c r="Z460" i="1"/>
  <c r="Z461" i="1"/>
  <c r="Z462" i="1"/>
  <c r="Z463" i="1"/>
  <c r="Z464" i="1"/>
  <c r="Z465" i="1"/>
  <c r="Z466" i="1"/>
  <c r="Z467" i="1"/>
  <c r="Z468" i="1"/>
  <c r="Z469" i="1"/>
  <c r="Z470" i="1"/>
  <c r="Z471" i="1"/>
  <c r="Z472" i="1"/>
  <c r="Z473" i="1"/>
  <c r="Z474" i="1"/>
  <c r="Z475" i="1"/>
  <c r="Z476" i="1"/>
  <c r="Z477" i="1"/>
  <c r="Z478" i="1"/>
  <c r="Z479" i="1"/>
  <c r="Z480" i="1"/>
  <c r="Z481" i="1"/>
  <c r="Z482" i="1"/>
  <c r="Z483" i="1"/>
  <c r="Z484" i="1"/>
  <c r="Z485" i="1"/>
  <c r="Z486" i="1"/>
  <c r="Z487" i="1"/>
  <c r="Z488" i="1"/>
  <c r="Z489" i="1"/>
  <c r="Z490" i="1"/>
  <c r="Z491" i="1"/>
  <c r="Z492" i="1"/>
  <c r="Z493" i="1"/>
  <c r="Z494" i="1"/>
  <c r="Z495" i="1"/>
  <c r="Z496" i="1"/>
  <c r="Z497" i="1"/>
  <c r="Z498" i="1"/>
  <c r="Z499" i="1"/>
  <c r="Z500" i="1"/>
  <c r="Z501" i="1"/>
  <c r="Z502" i="1"/>
  <c r="Z503" i="1"/>
  <c r="Z504" i="1"/>
  <c r="Z505" i="1"/>
  <c r="Z506" i="1"/>
  <c r="Z507" i="1"/>
  <c r="Z508" i="1"/>
  <c r="Z509" i="1"/>
  <c r="Z510" i="1"/>
  <c r="Z511" i="1"/>
  <c r="Z512" i="1"/>
  <c r="Z513" i="1"/>
  <c r="Z514" i="1"/>
  <c r="Z515" i="1"/>
  <c r="Z516" i="1"/>
  <c r="Z517" i="1"/>
  <c r="Z518" i="1"/>
  <c r="Z519" i="1"/>
  <c r="Z520" i="1"/>
  <c r="Z521" i="1"/>
  <c r="Z522" i="1"/>
  <c r="Z523" i="1"/>
  <c r="Z524" i="1"/>
  <c r="Z525" i="1"/>
  <c r="Z526" i="1"/>
  <c r="Z527" i="1"/>
  <c r="Z528" i="1"/>
  <c r="Z529" i="1"/>
  <c r="Z530" i="1"/>
  <c r="Z531" i="1"/>
  <c r="Z532" i="1"/>
  <c r="Z533" i="1"/>
  <c r="Z534" i="1"/>
  <c r="Z535" i="1"/>
  <c r="Z536" i="1"/>
  <c r="Z537" i="1"/>
  <c r="Z538" i="1"/>
  <c r="Z539" i="1"/>
  <c r="Z540" i="1"/>
  <c r="Z541" i="1"/>
  <c r="Z542" i="1"/>
  <c r="Z543" i="1"/>
  <c r="Z544" i="1"/>
  <c r="Z545" i="1"/>
  <c r="Z546" i="1"/>
  <c r="Z547" i="1"/>
  <c r="Z548" i="1"/>
  <c r="Z549" i="1"/>
  <c r="Z550" i="1"/>
  <c r="Z551" i="1"/>
  <c r="Z552" i="1"/>
  <c r="Z553" i="1"/>
  <c r="Z554" i="1"/>
  <c r="Z555" i="1"/>
  <c r="Z556" i="1"/>
  <c r="Z557" i="1"/>
  <c r="Z558" i="1"/>
  <c r="Z559" i="1"/>
  <c r="Z560" i="1"/>
  <c r="Z561" i="1"/>
  <c r="Z562" i="1"/>
  <c r="Z563" i="1"/>
  <c r="Z564" i="1"/>
  <c r="Z565" i="1"/>
  <c r="Z566" i="1"/>
  <c r="Z567" i="1"/>
  <c r="Z568" i="1"/>
  <c r="Z569" i="1"/>
  <c r="Z570" i="1"/>
  <c r="Z571" i="1"/>
  <c r="Z572" i="1"/>
  <c r="Z573" i="1"/>
  <c r="Z574" i="1"/>
  <c r="Z575" i="1"/>
  <c r="Z576" i="1"/>
  <c r="Z577" i="1"/>
  <c r="Z578" i="1"/>
  <c r="Z579" i="1"/>
  <c r="Z580" i="1"/>
  <c r="Z581" i="1"/>
  <c r="Z582" i="1"/>
  <c r="Z583" i="1"/>
  <c r="Z584" i="1"/>
  <c r="Z585" i="1"/>
  <c r="Z586" i="1"/>
  <c r="Z587" i="1"/>
  <c r="Z588" i="1"/>
  <c r="Z589" i="1"/>
  <c r="Z590" i="1"/>
  <c r="Z591" i="1"/>
  <c r="Z592" i="1"/>
  <c r="Z593" i="1"/>
  <c r="Z594" i="1"/>
  <c r="Z595" i="1"/>
  <c r="Z596" i="1"/>
  <c r="Z597" i="1"/>
  <c r="Z598" i="1"/>
  <c r="Z599" i="1"/>
  <c r="Z600" i="1"/>
  <c r="Z2" i="1"/>
  <c r="AB600" i="1" l="1"/>
  <c r="N601" i="4"/>
  <c r="AB584" i="1"/>
  <c r="N585" i="4"/>
  <c r="AB560" i="1"/>
  <c r="N561" i="4"/>
  <c r="AB456" i="1"/>
  <c r="N457" i="4"/>
  <c r="AB599" i="1"/>
  <c r="N600" i="4"/>
  <c r="AB591" i="1"/>
  <c r="N592" i="4"/>
  <c r="AB575" i="1"/>
  <c r="N576" i="4"/>
  <c r="AB567" i="1"/>
  <c r="N568" i="4"/>
  <c r="AB559" i="1"/>
  <c r="N560" i="4"/>
  <c r="AB543" i="1"/>
  <c r="N544" i="4"/>
  <c r="AB535" i="1"/>
  <c r="N536" i="4"/>
  <c r="AB527" i="1"/>
  <c r="N528" i="4"/>
  <c r="AB519" i="1"/>
  <c r="N520" i="4"/>
  <c r="AB511" i="1"/>
  <c r="N512" i="4"/>
  <c r="AB503" i="1"/>
  <c r="N504" i="4"/>
  <c r="AB495" i="1"/>
  <c r="N496" i="4"/>
  <c r="AB487" i="1"/>
  <c r="N488" i="4"/>
  <c r="AB479" i="1"/>
  <c r="N480" i="4"/>
  <c r="AB471" i="1"/>
  <c r="N472" i="4"/>
  <c r="AB463" i="1"/>
  <c r="N464" i="4"/>
  <c r="AB447" i="1"/>
  <c r="N448" i="4"/>
  <c r="AB431" i="1"/>
  <c r="N432" i="4"/>
  <c r="AB423" i="1"/>
  <c r="N424" i="4"/>
  <c r="AB414" i="1"/>
  <c r="N415" i="4"/>
  <c r="AB406" i="1"/>
  <c r="N407" i="4"/>
  <c r="AB398" i="1"/>
  <c r="N399" i="4"/>
  <c r="AB390" i="1"/>
  <c r="N391" i="4"/>
  <c r="AB382" i="1"/>
  <c r="N383" i="4"/>
  <c r="AB366" i="1"/>
  <c r="N465" i="4"/>
  <c r="N367" i="4"/>
  <c r="AB358" i="1"/>
  <c r="N359" i="4"/>
  <c r="AB350" i="1"/>
  <c r="N351" i="4"/>
  <c r="AB342" i="1"/>
  <c r="N343" i="4"/>
  <c r="AB334" i="1"/>
  <c r="N335" i="4"/>
  <c r="AB326" i="1"/>
  <c r="N327" i="4"/>
  <c r="AB318" i="1"/>
  <c r="N319" i="4"/>
  <c r="AB310" i="1"/>
  <c r="N311" i="4"/>
  <c r="AB302" i="1"/>
  <c r="N303" i="4"/>
  <c r="AB294" i="1"/>
  <c r="N295" i="4"/>
  <c r="AB286" i="1"/>
  <c r="N287" i="4"/>
  <c r="AB278" i="1"/>
  <c r="N279" i="4"/>
  <c r="AB270" i="1"/>
  <c r="N271" i="4"/>
  <c r="AB261" i="1"/>
  <c r="N262" i="4"/>
  <c r="AB237" i="1"/>
  <c r="N238" i="4"/>
  <c r="N254" i="4"/>
  <c r="N527" i="4"/>
  <c r="AB229" i="1"/>
  <c r="N230" i="4"/>
  <c r="AB221" i="1"/>
  <c r="N222" i="4"/>
  <c r="N574" i="4"/>
  <c r="AB213" i="1"/>
  <c r="N214" i="4"/>
  <c r="N596" i="4"/>
  <c r="AB205" i="1"/>
  <c r="N206" i="4"/>
  <c r="AB197" i="1"/>
  <c r="N198" i="4"/>
  <c r="N246" i="4"/>
  <c r="AB189" i="1"/>
  <c r="N220" i="4"/>
  <c r="N190" i="4"/>
  <c r="AB181" i="1"/>
  <c r="N182" i="4"/>
  <c r="AB173" i="1"/>
  <c r="N174" i="4"/>
  <c r="AB165" i="1"/>
  <c r="N166" i="4"/>
  <c r="AB157" i="1"/>
  <c r="N158" i="4"/>
  <c r="N259" i="4"/>
  <c r="AB149" i="1"/>
  <c r="N150" i="4"/>
  <c r="AB133" i="1"/>
  <c r="N134" i="4"/>
  <c r="AB124" i="1"/>
  <c r="N125" i="4"/>
  <c r="AB116" i="1"/>
  <c r="N117" i="4"/>
  <c r="AB108" i="1"/>
  <c r="N109" i="4"/>
  <c r="AB100" i="1"/>
  <c r="N101" i="4"/>
  <c r="N586" i="4"/>
  <c r="AB84" i="1"/>
  <c r="N85" i="4"/>
  <c r="AB76" i="1"/>
  <c r="N77" i="4"/>
  <c r="AB68" i="1"/>
  <c r="N131" i="4"/>
  <c r="N69" i="4"/>
  <c r="AB59" i="1"/>
  <c r="N60" i="4"/>
  <c r="AB51" i="1"/>
  <c r="N52" i="4"/>
  <c r="AB43" i="1"/>
  <c r="N44" i="4"/>
  <c r="N93" i="4"/>
  <c r="N322" i="4"/>
  <c r="AB35" i="1"/>
  <c r="N36" i="4"/>
  <c r="AB18" i="1"/>
  <c r="N19" i="4"/>
  <c r="AB10" i="1"/>
  <c r="N123" i="4"/>
  <c r="N11" i="4"/>
  <c r="AB590" i="1"/>
  <c r="N591" i="4"/>
  <c r="AB582" i="1"/>
  <c r="N583" i="4"/>
  <c r="AB558" i="1"/>
  <c r="N573" i="4"/>
  <c r="N559" i="4"/>
  <c r="AB542" i="1"/>
  <c r="N543" i="4"/>
  <c r="AB534" i="1"/>
  <c r="N535" i="4"/>
  <c r="AB518" i="1"/>
  <c r="N519" i="4"/>
  <c r="AB502" i="1"/>
  <c r="N503" i="4"/>
  <c r="AB494" i="1"/>
  <c r="N495" i="4"/>
  <c r="AB486" i="1"/>
  <c r="N487" i="4"/>
  <c r="AB478" i="1"/>
  <c r="N479" i="4"/>
  <c r="AB470" i="1"/>
  <c r="N471" i="4"/>
  <c r="AB462" i="1"/>
  <c r="N463" i="4"/>
  <c r="AB454" i="1"/>
  <c r="N455" i="4"/>
  <c r="AB446" i="1"/>
  <c r="N447" i="4"/>
  <c r="AB438" i="1"/>
  <c r="N439" i="4"/>
  <c r="AB430" i="1"/>
  <c r="N431" i="4"/>
  <c r="AB422" i="1"/>
  <c r="N423" i="4"/>
  <c r="AB405" i="1"/>
  <c r="N406" i="4"/>
  <c r="AB397" i="1"/>
  <c r="N398" i="4"/>
  <c r="AB389" i="1"/>
  <c r="N390" i="4"/>
  <c r="AB381" i="1"/>
  <c r="N382" i="4"/>
  <c r="AB373" i="1"/>
  <c r="N374" i="4"/>
  <c r="AB365" i="1"/>
  <c r="N366" i="4"/>
  <c r="AB357" i="1"/>
  <c r="N358" i="4"/>
  <c r="AB341" i="1"/>
  <c r="N342" i="4"/>
  <c r="AB333" i="1"/>
  <c r="N334" i="4"/>
  <c r="AB317" i="1"/>
  <c r="N318" i="4"/>
  <c r="AB309" i="1"/>
  <c r="N310" i="4"/>
  <c r="AB301" i="1"/>
  <c r="N302" i="4"/>
  <c r="AB293" i="1"/>
  <c r="N294" i="4"/>
  <c r="AB285" i="1"/>
  <c r="N286" i="4"/>
  <c r="AB277" i="1"/>
  <c r="N278" i="4"/>
  <c r="AB269" i="1"/>
  <c r="N270" i="4"/>
  <c r="AB260" i="1"/>
  <c r="N261" i="4"/>
  <c r="N352" i="4"/>
  <c r="AB252" i="1"/>
  <c r="N253" i="4"/>
  <c r="AB244" i="1"/>
  <c r="N257" i="4"/>
  <c r="N245" i="4"/>
  <c r="AB236" i="1"/>
  <c r="N237" i="4"/>
  <c r="AB228" i="1"/>
  <c r="N229" i="4"/>
  <c r="AB220" i="1"/>
  <c r="N221" i="4"/>
  <c r="AB212" i="1"/>
  <c r="N213" i="4"/>
  <c r="AB204" i="1"/>
  <c r="N205" i="4"/>
  <c r="AB188" i="1"/>
  <c r="N189" i="4"/>
  <c r="AB180" i="1"/>
  <c r="N181" i="4"/>
  <c r="AB172" i="1"/>
  <c r="N173" i="4"/>
  <c r="AB164" i="1"/>
  <c r="N165" i="4"/>
  <c r="AB156" i="1"/>
  <c r="N157" i="4"/>
  <c r="AB148" i="1"/>
  <c r="N149" i="4"/>
  <c r="AB140" i="1"/>
  <c r="N141" i="4"/>
  <c r="AB132" i="1"/>
  <c r="N133" i="4"/>
  <c r="N348" i="4"/>
  <c r="AB123" i="1"/>
  <c r="N124" i="4"/>
  <c r="AB115" i="1"/>
  <c r="N116" i="4"/>
  <c r="AB107" i="1"/>
  <c r="N108" i="4"/>
  <c r="AB99" i="1"/>
  <c r="N100" i="4"/>
  <c r="AB91" i="1"/>
  <c r="N92" i="4"/>
  <c r="AB83" i="1"/>
  <c r="N84" i="4"/>
  <c r="N515" i="4"/>
  <c r="N485" i="4"/>
  <c r="AB75" i="1"/>
  <c r="N76" i="4"/>
  <c r="AB67" i="1"/>
  <c r="N68" i="4"/>
  <c r="AB58" i="1"/>
  <c r="N59" i="4"/>
  <c r="AB50" i="1"/>
  <c r="N51" i="4"/>
  <c r="AB42" i="1"/>
  <c r="N43" i="4"/>
  <c r="AB34" i="1"/>
  <c r="N35" i="4"/>
  <c r="AB25" i="1"/>
  <c r="N26" i="4"/>
  <c r="AB17" i="1"/>
  <c r="N18" i="4"/>
  <c r="AB9" i="1"/>
  <c r="N10" i="4"/>
  <c r="AB589" i="1"/>
  <c r="N590" i="4"/>
  <c r="AB581" i="1"/>
  <c r="N582" i="4"/>
  <c r="AB565" i="1"/>
  <c r="N566" i="4"/>
  <c r="AB557" i="1"/>
  <c r="N558" i="4"/>
  <c r="AB549" i="1"/>
  <c r="N550" i="4"/>
  <c r="AB541" i="1"/>
  <c r="N542" i="4"/>
  <c r="AB533" i="1"/>
  <c r="N534" i="4"/>
  <c r="AB525" i="1"/>
  <c r="N526" i="4"/>
  <c r="AB517" i="1"/>
  <c r="N518" i="4"/>
  <c r="AB509" i="1"/>
  <c r="N510" i="4"/>
  <c r="AB501" i="1"/>
  <c r="N502" i="4"/>
  <c r="AB493" i="1"/>
  <c r="N545" i="4"/>
  <c r="N494" i="4"/>
  <c r="AB485" i="1"/>
  <c r="N486" i="4"/>
  <c r="AB477" i="1"/>
  <c r="N478" i="4"/>
  <c r="AB461" i="1"/>
  <c r="N462" i="4"/>
  <c r="AB453" i="1"/>
  <c r="N454" i="4"/>
  <c r="AB445" i="1"/>
  <c r="N446" i="4"/>
  <c r="AB437" i="1"/>
  <c r="N438" i="4"/>
  <c r="AB429" i="1"/>
  <c r="N430" i="4"/>
  <c r="AB421" i="1"/>
  <c r="N422" i="4"/>
  <c r="AB412" i="1"/>
  <c r="N413" i="4"/>
  <c r="AB404" i="1"/>
  <c r="N405" i="4"/>
  <c r="AB396" i="1"/>
  <c r="N397" i="4"/>
  <c r="AB388" i="1"/>
  <c r="N389" i="4"/>
  <c r="AB380" i="1"/>
  <c r="N381" i="4"/>
  <c r="AB372" i="1"/>
  <c r="N373" i="4"/>
  <c r="AB364" i="1"/>
  <c r="N365" i="4"/>
  <c r="AB356" i="1"/>
  <c r="N357" i="4"/>
  <c r="AB340" i="1"/>
  <c r="N341" i="4"/>
  <c r="AB332" i="1"/>
  <c r="N333" i="4"/>
  <c r="AB324" i="1"/>
  <c r="N325" i="4"/>
  <c r="AB316" i="1"/>
  <c r="N599" i="4"/>
  <c r="N317" i="4"/>
  <c r="AB308" i="1"/>
  <c r="N309" i="4"/>
  <c r="AB300" i="1"/>
  <c r="N301" i="4"/>
  <c r="AB292" i="1"/>
  <c r="N293" i="4"/>
  <c r="AB284" i="1"/>
  <c r="N285" i="4"/>
  <c r="AB276" i="1"/>
  <c r="N277" i="4"/>
  <c r="AB268" i="1"/>
  <c r="N269" i="4"/>
  <c r="AB259" i="1"/>
  <c r="N260" i="4"/>
  <c r="AB251" i="1"/>
  <c r="N252" i="4"/>
  <c r="AB243" i="1"/>
  <c r="N244" i="4"/>
  <c r="AB227" i="1"/>
  <c r="N228" i="4"/>
  <c r="AB211" i="1"/>
  <c r="N212" i="4"/>
  <c r="AB203" i="1"/>
  <c r="N204" i="4"/>
  <c r="AB195" i="1"/>
  <c r="N196" i="4"/>
  <c r="AB187" i="1"/>
  <c r="N188" i="4"/>
  <c r="AB179" i="1"/>
  <c r="N180" i="4"/>
  <c r="AB171" i="1"/>
  <c r="N172" i="4"/>
  <c r="AB163" i="1"/>
  <c r="N164" i="4"/>
  <c r="AB155" i="1"/>
  <c r="N156" i="4"/>
  <c r="N191" i="4"/>
  <c r="AB139" i="1"/>
  <c r="N140" i="4"/>
  <c r="AB131" i="1"/>
  <c r="N132" i="4"/>
  <c r="AB114" i="1"/>
  <c r="N115" i="4"/>
  <c r="AB106" i="1"/>
  <c r="N107" i="4"/>
  <c r="AB98" i="1"/>
  <c r="N99" i="4"/>
  <c r="AB90" i="1"/>
  <c r="N91" i="4"/>
  <c r="AB82" i="1"/>
  <c r="N83" i="4"/>
  <c r="AB74" i="1"/>
  <c r="N75" i="4"/>
  <c r="AB66" i="1"/>
  <c r="N67" i="4"/>
  <c r="AB57" i="1"/>
  <c r="N58" i="4"/>
  <c r="N551" i="4"/>
  <c r="AB49" i="1"/>
  <c r="N50" i="4"/>
  <c r="N62" i="4"/>
  <c r="AB41" i="1"/>
  <c r="N42" i="4"/>
  <c r="AB33" i="1"/>
  <c r="N34" i="4"/>
  <c r="AB24" i="1"/>
  <c r="N25" i="4"/>
  <c r="AB16" i="1"/>
  <c r="N17" i="4"/>
  <c r="AB8" i="1"/>
  <c r="N9" i="4"/>
  <c r="AB596" i="1"/>
  <c r="N597" i="4"/>
  <c r="AB564" i="1"/>
  <c r="N565" i="4"/>
  <c r="AB556" i="1"/>
  <c r="N557" i="4"/>
  <c r="AB548" i="1"/>
  <c r="N549" i="4"/>
  <c r="AB540" i="1"/>
  <c r="N541" i="4"/>
  <c r="AB532" i="1"/>
  <c r="N533" i="4"/>
  <c r="AB516" i="1"/>
  <c r="N517" i="4"/>
  <c r="AB508" i="1"/>
  <c r="N509" i="4"/>
  <c r="AB476" i="1"/>
  <c r="N477" i="4"/>
  <c r="AB468" i="1"/>
  <c r="N469" i="4"/>
  <c r="AB460" i="1"/>
  <c r="N461" i="4"/>
  <c r="AB452" i="1"/>
  <c r="N453" i="4"/>
  <c r="AB444" i="1"/>
  <c r="N445" i="4"/>
  <c r="AB436" i="1"/>
  <c r="N437" i="4"/>
  <c r="AB428" i="1"/>
  <c r="N429" i="4"/>
  <c r="AB420" i="1"/>
  <c r="N421" i="4"/>
  <c r="AB411" i="1"/>
  <c r="N412" i="4"/>
  <c r="AB403" i="1"/>
  <c r="N408" i="4"/>
  <c r="N404" i="4"/>
  <c r="AB395" i="1"/>
  <c r="N396" i="4"/>
  <c r="AB387" i="1"/>
  <c r="N388" i="4"/>
  <c r="AB379" i="1"/>
  <c r="N380" i="4"/>
  <c r="AB355" i="1"/>
  <c r="N356" i="4"/>
  <c r="AB339" i="1"/>
  <c r="N340" i="4"/>
  <c r="AB331" i="1"/>
  <c r="N332" i="4"/>
  <c r="AB315" i="1"/>
  <c r="N316" i="4"/>
  <c r="AB307" i="1"/>
  <c r="N308" i="4"/>
  <c r="AB299" i="1"/>
  <c r="N300" i="4"/>
  <c r="AB291" i="1"/>
  <c r="N292" i="4"/>
  <c r="AB283" i="1"/>
  <c r="N284" i="4"/>
  <c r="AB275" i="1"/>
  <c r="N537" i="4"/>
  <c r="N276" i="4"/>
  <c r="AB267" i="1"/>
  <c r="N268" i="4"/>
  <c r="AB242" i="1"/>
  <c r="N243" i="4"/>
  <c r="AB234" i="1"/>
  <c r="N235" i="4"/>
  <c r="AB226" i="1"/>
  <c r="N227" i="4"/>
  <c r="AB218" i="1"/>
  <c r="N219" i="4"/>
  <c r="AB202" i="1"/>
  <c r="N361" i="4"/>
  <c r="N203" i="4"/>
  <c r="AB186" i="1"/>
  <c r="N187" i="4"/>
  <c r="AB178" i="1"/>
  <c r="N179" i="4"/>
  <c r="N290" i="4"/>
  <c r="AB170" i="1"/>
  <c r="N171" i="4"/>
  <c r="AB162" i="1"/>
  <c r="N163" i="4"/>
  <c r="AB154" i="1"/>
  <c r="N155" i="4"/>
  <c r="N588" i="4"/>
  <c r="AB146" i="1"/>
  <c r="N147" i="4"/>
  <c r="AB138" i="1"/>
  <c r="N139" i="4"/>
  <c r="AB121" i="1"/>
  <c r="N122" i="4"/>
  <c r="AB113" i="1"/>
  <c r="N114" i="4"/>
  <c r="AB105" i="1"/>
  <c r="N106" i="4"/>
  <c r="AB97" i="1"/>
  <c r="N98" i="4"/>
  <c r="N552" i="4"/>
  <c r="AB89" i="1"/>
  <c r="N90" i="4"/>
  <c r="AB81" i="1"/>
  <c r="N82" i="4"/>
  <c r="AB73" i="1"/>
  <c r="N74" i="4"/>
  <c r="AB65" i="1"/>
  <c r="N66" i="4"/>
  <c r="AB56" i="1"/>
  <c r="N57" i="4"/>
  <c r="AB48" i="1"/>
  <c r="N49" i="4"/>
  <c r="N368" i="4"/>
  <c r="AB40" i="1"/>
  <c r="N41" i="4"/>
  <c r="N372" i="4"/>
  <c r="N195" i="4"/>
  <c r="AB32" i="1"/>
  <c r="N33" i="4"/>
  <c r="N197" i="4"/>
  <c r="AB23" i="1"/>
  <c r="N24" i="4"/>
  <c r="AB15" i="1"/>
  <c r="N16" i="4"/>
  <c r="N344" i="4"/>
  <c r="AB7" i="1"/>
  <c r="N8" i="4"/>
  <c r="AB579" i="1"/>
  <c r="N580" i="4"/>
  <c r="AB571" i="1"/>
  <c r="N572" i="4"/>
  <c r="AB563" i="1"/>
  <c r="N564" i="4"/>
  <c r="AB555" i="1"/>
  <c r="N556" i="4"/>
  <c r="AB547" i="1"/>
  <c r="N548" i="4"/>
  <c r="AB539" i="1"/>
  <c r="N540" i="4"/>
  <c r="AB531" i="1"/>
  <c r="N532" i="4"/>
  <c r="AB523" i="1"/>
  <c r="N524" i="4"/>
  <c r="AB515" i="1"/>
  <c r="N516" i="4"/>
  <c r="AB499" i="1"/>
  <c r="N500" i="4"/>
  <c r="AB491" i="1"/>
  <c r="N492" i="4"/>
  <c r="AB483" i="1"/>
  <c r="N484" i="4"/>
  <c r="AB475" i="1"/>
  <c r="N476" i="4"/>
  <c r="AB467" i="1"/>
  <c r="N468" i="4"/>
  <c r="AB459" i="1"/>
  <c r="N460" i="4"/>
  <c r="AB451" i="1"/>
  <c r="N452" i="4"/>
  <c r="N493" i="4"/>
  <c r="AB443" i="1"/>
  <c r="N444" i="4"/>
  <c r="AB435" i="1"/>
  <c r="N436" i="4"/>
  <c r="AB427" i="1"/>
  <c r="N428" i="4"/>
  <c r="N562" i="4"/>
  <c r="AB419" i="1"/>
  <c r="N420" i="4"/>
  <c r="AB410" i="1"/>
  <c r="N411" i="4"/>
  <c r="AB402" i="1"/>
  <c r="N403" i="4"/>
  <c r="AB394" i="1"/>
  <c r="N395" i="4"/>
  <c r="AB386" i="1"/>
  <c r="N387" i="4"/>
  <c r="AB378" i="1"/>
  <c r="N379" i="4"/>
  <c r="AB370" i="1"/>
  <c r="N371" i="4"/>
  <c r="AB362" i="1"/>
  <c r="N363" i="4"/>
  <c r="N364" i="4"/>
  <c r="AB338" i="1"/>
  <c r="N339" i="4"/>
  <c r="AB330" i="1"/>
  <c r="N331" i="4"/>
  <c r="AB322" i="1"/>
  <c r="N323" i="4"/>
  <c r="AB314" i="1"/>
  <c r="N315" i="4"/>
  <c r="N567" i="4"/>
  <c r="AB306" i="1"/>
  <c r="N307" i="4"/>
  <c r="N481" i="4"/>
  <c r="AB298" i="1"/>
  <c r="N326" i="4"/>
  <c r="N299" i="4"/>
  <c r="AB290" i="1"/>
  <c r="N291" i="4"/>
  <c r="AB282" i="1"/>
  <c r="N283" i="4"/>
  <c r="AB274" i="1"/>
  <c r="N275" i="4"/>
  <c r="AB266" i="1"/>
  <c r="N267" i="4"/>
  <c r="AB257" i="1"/>
  <c r="N258" i="4"/>
  <c r="AB249" i="1"/>
  <c r="N250" i="4"/>
  <c r="AB241" i="1"/>
  <c r="N242" i="4"/>
  <c r="AB233" i="1"/>
  <c r="N234" i="4"/>
  <c r="AB225" i="1"/>
  <c r="N226" i="4"/>
  <c r="AB217" i="1"/>
  <c r="N218" i="4"/>
  <c r="AB209" i="1"/>
  <c r="N210" i="4"/>
  <c r="AB201" i="1"/>
  <c r="N202" i="4"/>
  <c r="AB193" i="1"/>
  <c r="N194" i="4"/>
  <c r="N251" i="4"/>
  <c r="AB185" i="1"/>
  <c r="N186" i="4"/>
  <c r="AB177" i="1"/>
  <c r="N178" i="4"/>
  <c r="AB169" i="1"/>
  <c r="N170" i="4"/>
  <c r="AB161" i="1"/>
  <c r="N162" i="4"/>
  <c r="AB153" i="1"/>
  <c r="N154" i="4"/>
  <c r="AB145" i="1"/>
  <c r="N146" i="4"/>
  <c r="AB137" i="1"/>
  <c r="N138" i="4"/>
  <c r="AB129" i="1"/>
  <c r="N324" i="4"/>
  <c r="N581" i="4"/>
  <c r="N130" i="4"/>
  <c r="AB120" i="1"/>
  <c r="N121" i="4"/>
  <c r="AB112" i="1"/>
  <c r="N113" i="4"/>
  <c r="AB104" i="1"/>
  <c r="N105" i="4"/>
  <c r="AB96" i="1"/>
  <c r="N97" i="4"/>
  <c r="N224" i="4"/>
  <c r="AB88" i="1"/>
  <c r="N89" i="4"/>
  <c r="N393" i="4"/>
  <c r="AB80" i="1"/>
  <c r="N81" i="4"/>
  <c r="AB72" i="1"/>
  <c r="N73" i="4"/>
  <c r="AB64" i="1"/>
  <c r="N65" i="4"/>
  <c r="AB55" i="1"/>
  <c r="N56" i="4"/>
  <c r="AB47" i="1"/>
  <c r="N48" i="4"/>
  <c r="AB39" i="1"/>
  <c r="N40" i="4"/>
  <c r="AB31" i="1"/>
  <c r="N32" i="4"/>
  <c r="N143" i="4"/>
  <c r="AB22" i="1"/>
  <c r="N23" i="4"/>
  <c r="AB14" i="1"/>
  <c r="N15" i="4"/>
  <c r="AB6" i="1"/>
  <c r="N7" i="4"/>
  <c r="AB594" i="1"/>
  <c r="N595" i="4"/>
  <c r="AB586" i="1"/>
  <c r="N587" i="4"/>
  <c r="AB578" i="1"/>
  <c r="N579" i="4"/>
  <c r="AB570" i="1"/>
  <c r="N571" i="4"/>
  <c r="AB562" i="1"/>
  <c r="N563" i="4"/>
  <c r="AB554" i="1"/>
  <c r="N555" i="4"/>
  <c r="AB546" i="1"/>
  <c r="N547" i="4"/>
  <c r="AB538" i="1"/>
  <c r="N539" i="4"/>
  <c r="AB530" i="1"/>
  <c r="N531" i="4"/>
  <c r="AB522" i="1"/>
  <c r="N523" i="4"/>
  <c r="AB506" i="1"/>
  <c r="N507" i="4"/>
  <c r="AB498" i="1"/>
  <c r="N593" i="4"/>
  <c r="N499" i="4"/>
  <c r="AB490" i="1"/>
  <c r="N491" i="4"/>
  <c r="AB482" i="1"/>
  <c r="N483" i="4"/>
  <c r="AB474" i="1"/>
  <c r="N475" i="4"/>
  <c r="AB466" i="1"/>
  <c r="N467" i="4"/>
  <c r="AB458" i="1"/>
  <c r="N459" i="4"/>
  <c r="AB450" i="1"/>
  <c r="N451" i="4"/>
  <c r="AB442" i="1"/>
  <c r="N443" i="4"/>
  <c r="AB434" i="1"/>
  <c r="N435" i="4"/>
  <c r="AB426" i="1"/>
  <c r="N427" i="4"/>
  <c r="AB409" i="1"/>
  <c r="N410" i="4"/>
  <c r="AB393" i="1"/>
  <c r="N394" i="4"/>
  <c r="AB385" i="1"/>
  <c r="N386" i="4"/>
  <c r="AB377" i="1"/>
  <c r="N378" i="4"/>
  <c r="AB369" i="1"/>
  <c r="N370" i="4"/>
  <c r="AB361" i="1"/>
  <c r="N362" i="4"/>
  <c r="AB353" i="1"/>
  <c r="N354" i="4"/>
  <c r="AB345" i="1"/>
  <c r="N346" i="4"/>
  <c r="AB337" i="1"/>
  <c r="N338" i="4"/>
  <c r="AB329" i="1"/>
  <c r="N330" i="4"/>
  <c r="AB313" i="1"/>
  <c r="N314" i="4"/>
  <c r="N530" i="4"/>
  <c r="AB305" i="1"/>
  <c r="N306" i="4"/>
  <c r="AB297" i="1"/>
  <c r="N470" i="4"/>
  <c r="N298" i="4"/>
  <c r="AB281" i="1"/>
  <c r="N282" i="4"/>
  <c r="AB273" i="1"/>
  <c r="N274" i="4"/>
  <c r="AB248" i="1"/>
  <c r="N249" i="4"/>
  <c r="AB240" i="1"/>
  <c r="N241" i="4"/>
  <c r="AB232" i="1"/>
  <c r="N236" i="4"/>
  <c r="N233" i="4"/>
  <c r="AB224" i="1"/>
  <c r="N225" i="4"/>
  <c r="AB208" i="1"/>
  <c r="N209" i="4"/>
  <c r="AB200" i="1"/>
  <c r="N201" i="4"/>
  <c r="AB192" i="1"/>
  <c r="N193" i="4"/>
  <c r="AB184" i="1"/>
  <c r="N185" i="4"/>
  <c r="AB176" i="1"/>
  <c r="N177" i="4"/>
  <c r="AB168" i="1"/>
  <c r="N169" i="4"/>
  <c r="AB160" i="1"/>
  <c r="N161" i="4"/>
  <c r="AB152" i="1"/>
  <c r="N153" i="4"/>
  <c r="AB144" i="1"/>
  <c r="N145" i="4"/>
  <c r="AB136" i="1"/>
  <c r="N137" i="4"/>
  <c r="AB128" i="1"/>
  <c r="N129" i="4"/>
  <c r="N508" i="4"/>
  <c r="N211" i="4"/>
  <c r="AB119" i="1"/>
  <c r="N120" i="4"/>
  <c r="AB111" i="1"/>
  <c r="N112" i="4"/>
  <c r="AB103" i="1"/>
  <c r="N104" i="4"/>
  <c r="AB95" i="1"/>
  <c r="N96" i="4"/>
  <c r="AB87" i="1"/>
  <c r="N88" i="4"/>
  <c r="AB79" i="1"/>
  <c r="N80" i="4"/>
  <c r="AB71" i="1"/>
  <c r="N72" i="4"/>
  <c r="AB63" i="1"/>
  <c r="N64" i="4"/>
  <c r="AB54" i="1"/>
  <c r="N55" i="4"/>
  <c r="AB46" i="1"/>
  <c r="N47" i="4"/>
  <c r="N522" i="4"/>
  <c r="AB38" i="1"/>
  <c r="N39" i="4"/>
  <c r="AB29" i="1"/>
  <c r="N30" i="4"/>
  <c r="N402" i="4"/>
  <c r="AB21" i="1"/>
  <c r="N22" i="4"/>
  <c r="AB13" i="1"/>
  <c r="N14" i="4"/>
  <c r="AB5" i="1"/>
  <c r="N27" i="4"/>
  <c r="N6" i="4"/>
  <c r="AB2" i="1"/>
  <c r="N3" i="4"/>
  <c r="AB593" i="1"/>
  <c r="N594" i="4"/>
  <c r="AB569" i="1"/>
  <c r="N570" i="4"/>
  <c r="AB553" i="1"/>
  <c r="N554" i="4"/>
  <c r="AB545" i="1"/>
  <c r="N546" i="4"/>
  <c r="AB537" i="1"/>
  <c r="N538" i="4"/>
  <c r="AB513" i="1"/>
  <c r="N514" i="4"/>
  <c r="AB505" i="1"/>
  <c r="N506" i="4"/>
  <c r="AB497" i="1"/>
  <c r="N498" i="4"/>
  <c r="AB489" i="1"/>
  <c r="N490" i="4"/>
  <c r="AB481" i="1"/>
  <c r="N482" i="4"/>
  <c r="AB473" i="1"/>
  <c r="N474" i="4"/>
  <c r="AB465" i="1"/>
  <c r="N466" i="4"/>
  <c r="AB457" i="1"/>
  <c r="N458" i="4"/>
  <c r="AB449" i="1"/>
  <c r="N450" i="4"/>
  <c r="AB441" i="1"/>
  <c r="N442" i="4"/>
  <c r="AB425" i="1"/>
  <c r="N426" i="4"/>
  <c r="AB416" i="1"/>
  <c r="N417" i="4"/>
  <c r="AB408" i="1"/>
  <c r="N598" i="4"/>
  <c r="N409" i="4"/>
  <c r="AB400" i="1"/>
  <c r="N401" i="4"/>
  <c r="AB384" i="1"/>
  <c r="N385" i="4"/>
  <c r="AB376" i="1"/>
  <c r="N377" i="4"/>
  <c r="AB368" i="1"/>
  <c r="N369" i="4"/>
  <c r="AB352" i="1"/>
  <c r="N353" i="4"/>
  <c r="N355" i="4"/>
  <c r="N414" i="4"/>
  <c r="N440" i="4"/>
  <c r="AB336" i="1"/>
  <c r="N337" i="4"/>
  <c r="N575" i="4"/>
  <c r="AB328" i="1"/>
  <c r="N329" i="4"/>
  <c r="AB320" i="1"/>
  <c r="N321" i="4"/>
  <c r="AB312" i="1"/>
  <c r="N313" i="4"/>
  <c r="AB304" i="1"/>
  <c r="N305" i="4"/>
  <c r="AB296" i="1"/>
  <c r="N297" i="4"/>
  <c r="N418" i="4"/>
  <c r="AB288" i="1"/>
  <c r="N289" i="4"/>
  <c r="AB280" i="1"/>
  <c r="N281" i="4"/>
  <c r="AB272" i="1"/>
  <c r="N273" i="4"/>
  <c r="AB263" i="1"/>
  <c r="N264" i="4"/>
  <c r="AB255" i="1"/>
  <c r="N256" i="4"/>
  <c r="AB247" i="1"/>
  <c r="N248" i="4"/>
  <c r="AB239" i="1"/>
  <c r="N240" i="4"/>
  <c r="AB231" i="1"/>
  <c r="N232" i="4"/>
  <c r="AB215" i="1"/>
  <c r="N216" i="4"/>
  <c r="AB207" i="1"/>
  <c r="N208" i="4"/>
  <c r="AB199" i="1"/>
  <c r="N200" i="4"/>
  <c r="AB191" i="1"/>
  <c r="N192" i="4"/>
  <c r="AB183" i="1"/>
  <c r="N433" i="4"/>
  <c r="N184" i="4"/>
  <c r="N434" i="4"/>
  <c r="AB175" i="1"/>
  <c r="N176" i="4"/>
  <c r="AB167" i="1"/>
  <c r="N168" i="4"/>
  <c r="N265" i="4"/>
  <c r="AB143" i="1"/>
  <c r="N144" i="4"/>
  <c r="AB135" i="1"/>
  <c r="N136" i="4"/>
  <c r="AB127" i="1"/>
  <c r="N128" i="4"/>
  <c r="AB118" i="1"/>
  <c r="N119" i="4"/>
  <c r="AB110" i="1"/>
  <c r="N111" i="4"/>
  <c r="AB102" i="1"/>
  <c r="N103" i="4"/>
  <c r="AB94" i="1"/>
  <c r="N95" i="4"/>
  <c r="AB86" i="1"/>
  <c r="N148" i="4"/>
  <c r="N87" i="4"/>
  <c r="AB78" i="1"/>
  <c r="N79" i="4"/>
  <c r="AB70" i="1"/>
  <c r="N71" i="4"/>
  <c r="AB62" i="1"/>
  <c r="N63" i="4"/>
  <c r="AB53" i="1"/>
  <c r="N142" i="4"/>
  <c r="N54" i="4"/>
  <c r="AB45" i="1"/>
  <c r="N46" i="4"/>
  <c r="AB37" i="1"/>
  <c r="N38" i="4"/>
  <c r="N584" i="4"/>
  <c r="AB28" i="1"/>
  <c r="N29" i="4"/>
  <c r="AB20" i="1"/>
  <c r="N21" i="4"/>
  <c r="AB12" i="1"/>
  <c r="N13" i="4"/>
  <c r="N456" i="4"/>
  <c r="AB4" i="1"/>
  <c r="N5" i="4"/>
  <c r="AB576" i="1"/>
  <c r="N577" i="4"/>
  <c r="AB568" i="1"/>
  <c r="N569" i="4"/>
  <c r="N578" i="4"/>
  <c r="AB552" i="1"/>
  <c r="N553" i="4"/>
  <c r="AB528" i="1"/>
  <c r="N529" i="4"/>
  <c r="AB520" i="1"/>
  <c r="N521" i="4"/>
  <c r="AB512" i="1"/>
  <c r="N513" i="4"/>
  <c r="AB504" i="1"/>
  <c r="N505" i="4"/>
  <c r="AB496" i="1"/>
  <c r="N497" i="4"/>
  <c r="N525" i="4"/>
  <c r="AB488" i="1"/>
  <c r="N489" i="4"/>
  <c r="AB472" i="1"/>
  <c r="N473" i="4"/>
  <c r="AB448" i="1"/>
  <c r="N449" i="4"/>
  <c r="AB440" i="1"/>
  <c r="N441" i="4"/>
  <c r="AB424" i="1"/>
  <c r="N425" i="4"/>
  <c r="AB415" i="1"/>
  <c r="N416" i="4"/>
  <c r="N589" i="4"/>
  <c r="AB399" i="1"/>
  <c r="N400" i="4"/>
  <c r="AB391" i="1"/>
  <c r="N392" i="4"/>
  <c r="AB383" i="1"/>
  <c r="N384" i="4"/>
  <c r="AB375" i="1"/>
  <c r="N376" i="4"/>
  <c r="AB359" i="1"/>
  <c r="N360" i="4"/>
  <c r="AB335" i="1"/>
  <c r="N336" i="4"/>
  <c r="N375" i="4"/>
  <c r="AB327" i="1"/>
  <c r="N328" i="4"/>
  <c r="AB319" i="1"/>
  <c r="N320" i="4"/>
  <c r="N501" i="4"/>
  <c r="AB311" i="1"/>
  <c r="N312" i="4"/>
  <c r="AB303" i="1"/>
  <c r="N304" i="4"/>
  <c r="AB295" i="1"/>
  <c r="N296" i="4"/>
  <c r="AB287" i="1"/>
  <c r="N288" i="4"/>
  <c r="AB279" i="1"/>
  <c r="N280" i="4"/>
  <c r="AB271" i="1"/>
  <c r="N272" i="4"/>
  <c r="AB262" i="1"/>
  <c r="N263" i="4"/>
  <c r="AB254" i="1"/>
  <c r="N255" i="4"/>
  <c r="N511" i="4"/>
  <c r="AB238" i="1"/>
  <c r="N239" i="4"/>
  <c r="AB230" i="1"/>
  <c r="N231" i="4"/>
  <c r="AB222" i="1"/>
  <c r="N223" i="4"/>
  <c r="AB214" i="1"/>
  <c r="N215" i="4"/>
  <c r="AB206" i="1"/>
  <c r="N207" i="4"/>
  <c r="AB198" i="1"/>
  <c r="N199" i="4"/>
  <c r="N349" i="4"/>
  <c r="AB182" i="1"/>
  <c r="N183" i="4"/>
  <c r="AB174" i="1"/>
  <c r="N175" i="4"/>
  <c r="AB166" i="1"/>
  <c r="N167" i="4"/>
  <c r="AB158" i="1"/>
  <c r="N159" i="4"/>
  <c r="AB150" i="1"/>
  <c r="N151" i="4"/>
  <c r="AB134" i="1"/>
  <c r="N345" i="4"/>
  <c r="N135" i="4"/>
  <c r="AB125" i="1"/>
  <c r="N126" i="4"/>
  <c r="AB117" i="1"/>
  <c r="N118" i="4"/>
  <c r="AB109" i="1"/>
  <c r="N217" i="4"/>
  <c r="N110" i="4"/>
  <c r="AB101" i="1"/>
  <c r="N102" i="4"/>
  <c r="AB93" i="1"/>
  <c r="N94" i="4"/>
  <c r="AB85" i="1"/>
  <c r="N86" i="4"/>
  <c r="AB77" i="1"/>
  <c r="N78" i="4"/>
  <c r="AB69" i="1"/>
  <c r="N70" i="4"/>
  <c r="AB60" i="1"/>
  <c r="N61" i="4"/>
  <c r="AB52" i="1"/>
  <c r="N53" i="4"/>
  <c r="AB44" i="1"/>
  <c r="N45" i="4"/>
  <c r="AB36" i="1"/>
  <c r="N350" i="4"/>
  <c r="N37" i="4"/>
  <c r="AB27" i="1"/>
  <c r="N28" i="4"/>
  <c r="AB19" i="1"/>
  <c r="N20" i="4"/>
  <c r="N347" i="4"/>
  <c r="AB11" i="1"/>
  <c r="N12" i="4"/>
  <c r="AB3" i="1"/>
  <c r="N4" i="4"/>
  <c r="N152" i="4"/>
  <c r="Y3" i="1"/>
  <c r="Y4" i="1"/>
  <c r="L5" i="4" s="1"/>
  <c r="Y5" i="1"/>
  <c r="Y6" i="1"/>
  <c r="L7" i="4" s="1"/>
  <c r="Y7" i="1"/>
  <c r="L8" i="4" s="1"/>
  <c r="Y8" i="1"/>
  <c r="L9" i="4" s="1"/>
  <c r="Y9" i="1"/>
  <c r="L10" i="4" s="1"/>
  <c r="Y10" i="1"/>
  <c r="Y11" i="1"/>
  <c r="L12" i="4" s="1"/>
  <c r="Y12" i="1"/>
  <c r="Y13" i="1"/>
  <c r="L14" i="4" s="1"/>
  <c r="Y14" i="1"/>
  <c r="L15" i="4" s="1"/>
  <c r="Y15" i="1"/>
  <c r="Y16" i="1"/>
  <c r="L17" i="4" s="1"/>
  <c r="Y17" i="1"/>
  <c r="L18" i="4" s="1"/>
  <c r="Y18" i="1"/>
  <c r="L19" i="4" s="1"/>
  <c r="Y19" i="1"/>
  <c r="Y20" i="1"/>
  <c r="L21" i="4" s="1"/>
  <c r="Y21" i="1"/>
  <c r="L22" i="4" s="1"/>
  <c r="Y22" i="1"/>
  <c r="L23" i="4" s="1"/>
  <c r="Y23" i="1"/>
  <c r="L24" i="4" s="1"/>
  <c r="Y24" i="1"/>
  <c r="L25" i="4" s="1"/>
  <c r="Y25" i="1"/>
  <c r="L26" i="4" s="1"/>
  <c r="Y26" i="1"/>
  <c r="Y27" i="1"/>
  <c r="L28" i="4" s="1"/>
  <c r="Y28" i="1"/>
  <c r="L29" i="4" s="1"/>
  <c r="Y29" i="1"/>
  <c r="Y30" i="1"/>
  <c r="L31" i="4" s="1"/>
  <c r="Y31" i="1"/>
  <c r="Y32" i="1"/>
  <c r="Y33" i="1"/>
  <c r="L34" i="4" s="1"/>
  <c r="Y34" i="1"/>
  <c r="L35" i="4" s="1"/>
  <c r="Y35" i="1"/>
  <c r="L36" i="4" s="1"/>
  <c r="Y36" i="1"/>
  <c r="Y37" i="1"/>
  <c r="Y38" i="1"/>
  <c r="L39" i="4" s="1"/>
  <c r="Y39" i="1"/>
  <c r="L40" i="4" s="1"/>
  <c r="Y40" i="1"/>
  <c r="Y41" i="1"/>
  <c r="L42" i="4" s="1"/>
  <c r="Y42" i="1"/>
  <c r="L43" i="4" s="1"/>
  <c r="Y43" i="1"/>
  <c r="Y44" i="1"/>
  <c r="L45" i="4" s="1"/>
  <c r="Y45" i="1"/>
  <c r="L46" i="4" s="1"/>
  <c r="Y46" i="1"/>
  <c r="Y47" i="1"/>
  <c r="L48" i="4" s="1"/>
  <c r="Y48" i="1"/>
  <c r="Y49" i="1"/>
  <c r="Y50" i="1"/>
  <c r="L51" i="4" s="1"/>
  <c r="Y51" i="1"/>
  <c r="L52" i="4" s="1"/>
  <c r="Y52" i="1"/>
  <c r="L53" i="4" s="1"/>
  <c r="Y53" i="1"/>
  <c r="Y54" i="1"/>
  <c r="L55" i="4" s="1"/>
  <c r="Y55" i="1"/>
  <c r="L56" i="4" s="1"/>
  <c r="Y56" i="1"/>
  <c r="L57" i="4" s="1"/>
  <c r="Y57" i="1"/>
  <c r="Y58" i="1"/>
  <c r="L59" i="4" s="1"/>
  <c r="Y59" i="1"/>
  <c r="L60" i="4" s="1"/>
  <c r="Y60" i="1"/>
  <c r="L61" i="4" s="1"/>
  <c r="Y61" i="1"/>
  <c r="Y62" i="1"/>
  <c r="L63" i="4" s="1"/>
  <c r="Y63" i="1"/>
  <c r="L64" i="4" s="1"/>
  <c r="Y64" i="1"/>
  <c r="L65" i="4" s="1"/>
  <c r="Y65" i="1"/>
  <c r="L66" i="4" s="1"/>
  <c r="Y66" i="1"/>
  <c r="L67" i="4" s="1"/>
  <c r="Y67" i="1"/>
  <c r="L68" i="4" s="1"/>
  <c r="Y68" i="1"/>
  <c r="Y69" i="1"/>
  <c r="L70" i="4" s="1"/>
  <c r="Y70" i="1"/>
  <c r="L71" i="4" s="1"/>
  <c r="Y71" i="1"/>
  <c r="L72" i="4" s="1"/>
  <c r="Y72" i="1"/>
  <c r="L73" i="4" s="1"/>
  <c r="Y73" i="1"/>
  <c r="L74" i="4" s="1"/>
  <c r="Y74" i="1"/>
  <c r="L75" i="4" s="1"/>
  <c r="Y75" i="1"/>
  <c r="L76" i="4" s="1"/>
  <c r="Y76" i="1"/>
  <c r="L77" i="4" s="1"/>
  <c r="Y77" i="1"/>
  <c r="L78" i="4" s="1"/>
  <c r="Y78" i="1"/>
  <c r="L79" i="4" s="1"/>
  <c r="Y79" i="1"/>
  <c r="L80" i="4" s="1"/>
  <c r="Y80" i="1"/>
  <c r="L81" i="4" s="1"/>
  <c r="Y81" i="1"/>
  <c r="L82" i="4" s="1"/>
  <c r="Y82" i="1"/>
  <c r="L83" i="4" s="1"/>
  <c r="Y83" i="1"/>
  <c r="Y84" i="1"/>
  <c r="L85" i="4" s="1"/>
  <c r="Y85" i="1"/>
  <c r="L86" i="4" s="1"/>
  <c r="Y86" i="1"/>
  <c r="Y87" i="1"/>
  <c r="L88" i="4" s="1"/>
  <c r="Y88" i="1"/>
  <c r="Y89" i="1"/>
  <c r="L90" i="4" s="1"/>
  <c r="Y90" i="1"/>
  <c r="L91" i="4" s="1"/>
  <c r="Y91" i="1"/>
  <c r="L92" i="4" s="1"/>
  <c r="Y92" i="1"/>
  <c r="Y93" i="1"/>
  <c r="L94" i="4" s="1"/>
  <c r="Y94" i="1"/>
  <c r="L95" i="4" s="1"/>
  <c r="Y95" i="1"/>
  <c r="L96" i="4" s="1"/>
  <c r="Y96" i="1"/>
  <c r="Y97" i="1"/>
  <c r="Y98" i="1"/>
  <c r="L99" i="4" s="1"/>
  <c r="Y99" i="1"/>
  <c r="L100" i="4" s="1"/>
  <c r="Y100" i="1"/>
  <c r="Y101" i="1"/>
  <c r="L102" i="4" s="1"/>
  <c r="Y102" i="1"/>
  <c r="L103" i="4" s="1"/>
  <c r="Y103" i="1"/>
  <c r="L104" i="4" s="1"/>
  <c r="Y104" i="1"/>
  <c r="L105" i="4" s="1"/>
  <c r="Y105" i="1"/>
  <c r="L106" i="4" s="1"/>
  <c r="Y106" i="1"/>
  <c r="L107" i="4" s="1"/>
  <c r="Y107" i="1"/>
  <c r="L108" i="4" s="1"/>
  <c r="Y108" i="1"/>
  <c r="L109" i="4" s="1"/>
  <c r="Y109" i="1"/>
  <c r="Y110" i="1"/>
  <c r="L111" i="4" s="1"/>
  <c r="Y111" i="1"/>
  <c r="L112" i="4" s="1"/>
  <c r="Y112" i="1"/>
  <c r="L113" i="4" s="1"/>
  <c r="Y113" i="1"/>
  <c r="L114" i="4" s="1"/>
  <c r="Y114" i="1"/>
  <c r="L115" i="4" s="1"/>
  <c r="Y115" i="1"/>
  <c r="L116" i="4" s="1"/>
  <c r="Y116" i="1"/>
  <c r="L117" i="4" s="1"/>
  <c r="Y117" i="1"/>
  <c r="L118" i="4" s="1"/>
  <c r="Y118" i="1"/>
  <c r="L119" i="4" s="1"/>
  <c r="Y119" i="1"/>
  <c r="L120" i="4" s="1"/>
  <c r="Y120" i="1"/>
  <c r="L121" i="4" s="1"/>
  <c r="Y121" i="1"/>
  <c r="L122" i="4" s="1"/>
  <c r="Y122" i="1"/>
  <c r="Y123" i="1"/>
  <c r="L124" i="4" s="1"/>
  <c r="Y124" i="1"/>
  <c r="L125" i="4" s="1"/>
  <c r="Y125" i="1"/>
  <c r="L126" i="4" s="1"/>
  <c r="Y126" i="1"/>
  <c r="Y127" i="1"/>
  <c r="L128" i="4" s="1"/>
  <c r="Y128" i="1"/>
  <c r="Y129" i="1"/>
  <c r="Y130" i="1"/>
  <c r="Y131" i="1"/>
  <c r="L132" i="4" s="1"/>
  <c r="Y132" i="1"/>
  <c r="Y133" i="1"/>
  <c r="L134" i="4" s="1"/>
  <c r="Y134" i="1"/>
  <c r="Y135" i="1"/>
  <c r="L136" i="4" s="1"/>
  <c r="Y136" i="1"/>
  <c r="L137" i="4" s="1"/>
  <c r="Y137" i="1"/>
  <c r="L138" i="4" s="1"/>
  <c r="Y138" i="1"/>
  <c r="L139" i="4" s="1"/>
  <c r="Y139" i="1"/>
  <c r="L140" i="4" s="1"/>
  <c r="Y140" i="1"/>
  <c r="L141" i="4" s="1"/>
  <c r="Y141" i="1"/>
  <c r="Y142" i="1"/>
  <c r="Y143" i="1"/>
  <c r="L144" i="4" s="1"/>
  <c r="Y144" i="1"/>
  <c r="L145" i="4" s="1"/>
  <c r="Y145" i="1"/>
  <c r="L146" i="4" s="1"/>
  <c r="Y146" i="1"/>
  <c r="L147" i="4" s="1"/>
  <c r="Y147" i="1"/>
  <c r="Y148" i="1"/>
  <c r="L149" i="4" s="1"/>
  <c r="Y149" i="1"/>
  <c r="L150" i="4" s="1"/>
  <c r="Y150" i="1"/>
  <c r="L151" i="4" s="1"/>
  <c r="Y151" i="1"/>
  <c r="Y152" i="1"/>
  <c r="L153" i="4" s="1"/>
  <c r="Y153" i="1"/>
  <c r="L154" i="4" s="1"/>
  <c r="Y154" i="1"/>
  <c r="Y155" i="1"/>
  <c r="Y156" i="1"/>
  <c r="L157" i="4" s="1"/>
  <c r="Y157" i="1"/>
  <c r="Y158" i="1"/>
  <c r="L159" i="4" s="1"/>
  <c r="Y159" i="1"/>
  <c r="Y160" i="1"/>
  <c r="L161" i="4" s="1"/>
  <c r="Y161" i="1"/>
  <c r="L162" i="4" s="1"/>
  <c r="Y162" i="1"/>
  <c r="L163" i="4" s="1"/>
  <c r="Y163" i="1"/>
  <c r="L164" i="4" s="1"/>
  <c r="Y164" i="1"/>
  <c r="L165" i="4" s="1"/>
  <c r="Y165" i="1"/>
  <c r="L166" i="4" s="1"/>
  <c r="Y166" i="1"/>
  <c r="L167" i="4" s="1"/>
  <c r="Y167" i="1"/>
  <c r="Y168" i="1"/>
  <c r="L169" i="4" s="1"/>
  <c r="Y169" i="1"/>
  <c r="L170" i="4" s="1"/>
  <c r="Y170" i="1"/>
  <c r="L171" i="4" s="1"/>
  <c r="Y171" i="1"/>
  <c r="L172" i="4" s="1"/>
  <c r="Y172" i="1"/>
  <c r="L173" i="4" s="1"/>
  <c r="Y173" i="1"/>
  <c r="L174" i="4" s="1"/>
  <c r="Y174" i="1"/>
  <c r="L175" i="4" s="1"/>
  <c r="Y175" i="1"/>
  <c r="L176" i="4" s="1"/>
  <c r="Y176" i="1"/>
  <c r="L177" i="4" s="1"/>
  <c r="Y177" i="1"/>
  <c r="L178" i="4" s="1"/>
  <c r="Y178" i="1"/>
  <c r="Y179" i="1"/>
  <c r="L180" i="4" s="1"/>
  <c r="Y180" i="1"/>
  <c r="L181" i="4" s="1"/>
  <c r="Y181" i="1"/>
  <c r="L182" i="4" s="1"/>
  <c r="Y182" i="1"/>
  <c r="L183" i="4" s="1"/>
  <c r="Y183" i="1"/>
  <c r="Y184" i="1"/>
  <c r="L185" i="4" s="1"/>
  <c r="Y185" i="1"/>
  <c r="L186" i="4" s="1"/>
  <c r="Y186" i="1"/>
  <c r="L187" i="4" s="1"/>
  <c r="Y187" i="1"/>
  <c r="L188" i="4" s="1"/>
  <c r="Y188" i="1"/>
  <c r="L189" i="4" s="1"/>
  <c r="Y189" i="1"/>
  <c r="Y190" i="1"/>
  <c r="Y191" i="1"/>
  <c r="L192" i="4" s="1"/>
  <c r="Y192" i="1"/>
  <c r="L193" i="4" s="1"/>
  <c r="Y193" i="1"/>
  <c r="Y194" i="1"/>
  <c r="Y195" i="1"/>
  <c r="L196" i="4" s="1"/>
  <c r="Y196" i="1"/>
  <c r="Y197" i="1"/>
  <c r="Y198" i="1"/>
  <c r="Y199" i="1"/>
  <c r="L200" i="4" s="1"/>
  <c r="Y200" i="1"/>
  <c r="L201" i="4" s="1"/>
  <c r="Y201" i="1"/>
  <c r="L202" i="4" s="1"/>
  <c r="Y202" i="1"/>
  <c r="Y203" i="1"/>
  <c r="L204" i="4" s="1"/>
  <c r="Y204" i="1"/>
  <c r="L205" i="4" s="1"/>
  <c r="Y205" i="1"/>
  <c r="L206" i="4" s="1"/>
  <c r="Y206" i="1"/>
  <c r="L207" i="4" s="1"/>
  <c r="Y207" i="1"/>
  <c r="L208" i="4" s="1"/>
  <c r="Y208" i="1"/>
  <c r="L209" i="4" s="1"/>
  <c r="Y209" i="1"/>
  <c r="L210" i="4" s="1"/>
  <c r="Y210" i="1"/>
  <c r="Y211" i="1"/>
  <c r="L212" i="4" s="1"/>
  <c r="Y212" i="1"/>
  <c r="L213" i="4" s="1"/>
  <c r="Y213" i="1"/>
  <c r="Y214" i="1"/>
  <c r="L215" i="4" s="1"/>
  <c r="Y215" i="1"/>
  <c r="L216" i="4" s="1"/>
  <c r="Y216" i="1"/>
  <c r="Y217" i="1"/>
  <c r="L218" i="4" s="1"/>
  <c r="Y218" i="1"/>
  <c r="L219" i="4" s="1"/>
  <c r="Y219" i="1"/>
  <c r="Y220" i="1"/>
  <c r="L221" i="4" s="1"/>
  <c r="Y221" i="1"/>
  <c r="Y222" i="1"/>
  <c r="L223" i="4" s="1"/>
  <c r="Y223" i="1"/>
  <c r="Y224" i="1"/>
  <c r="L225" i="4" s="1"/>
  <c r="Y225" i="1"/>
  <c r="L226" i="4" s="1"/>
  <c r="Y226" i="1"/>
  <c r="L227" i="4" s="1"/>
  <c r="Y227" i="1"/>
  <c r="L228" i="4" s="1"/>
  <c r="Y228" i="1"/>
  <c r="L229" i="4" s="1"/>
  <c r="Y229" i="1"/>
  <c r="L230" i="4" s="1"/>
  <c r="Y230" i="1"/>
  <c r="L231" i="4" s="1"/>
  <c r="Y231" i="1"/>
  <c r="L232" i="4" s="1"/>
  <c r="Y232" i="1"/>
  <c r="Y233" i="1"/>
  <c r="L234" i="4" s="1"/>
  <c r="Y234" i="1"/>
  <c r="L235" i="4" s="1"/>
  <c r="Y235" i="1"/>
  <c r="Y236" i="1"/>
  <c r="L237" i="4" s="1"/>
  <c r="Y237" i="1"/>
  <c r="Y238" i="1"/>
  <c r="L239" i="4" s="1"/>
  <c r="Y239" i="1"/>
  <c r="L240" i="4" s="1"/>
  <c r="Y240" i="1"/>
  <c r="L241" i="4" s="1"/>
  <c r="Y241" i="1"/>
  <c r="L242" i="4" s="1"/>
  <c r="Y242" i="1"/>
  <c r="L243" i="4" s="1"/>
  <c r="Y243" i="1"/>
  <c r="L244" i="4" s="1"/>
  <c r="Y244" i="1"/>
  <c r="Y245" i="1"/>
  <c r="Y246" i="1"/>
  <c r="Y247" i="1"/>
  <c r="L248" i="4" s="1"/>
  <c r="Y248" i="1"/>
  <c r="L249" i="4" s="1"/>
  <c r="Y249" i="1"/>
  <c r="L250" i="4" s="1"/>
  <c r="Y250" i="1"/>
  <c r="Y251" i="1"/>
  <c r="L252" i="4" s="1"/>
  <c r="Y252" i="1"/>
  <c r="L253" i="4" s="1"/>
  <c r="Y253" i="1"/>
  <c r="Y254" i="1"/>
  <c r="Y255" i="1"/>
  <c r="L256" i="4" s="1"/>
  <c r="Y256" i="1"/>
  <c r="Y257" i="1"/>
  <c r="L258" i="4" s="1"/>
  <c r="Y258" i="1"/>
  <c r="Y259" i="1"/>
  <c r="L260" i="4" s="1"/>
  <c r="Y260" i="1"/>
  <c r="Y261" i="1"/>
  <c r="L262" i="4" s="1"/>
  <c r="Y262" i="1"/>
  <c r="L263" i="4" s="1"/>
  <c r="Y263" i="1"/>
  <c r="L264" i="4" s="1"/>
  <c r="Y264" i="1"/>
  <c r="Y265" i="1"/>
  <c r="L266" i="4" s="1"/>
  <c r="Y266" i="1"/>
  <c r="L267" i="4" s="1"/>
  <c r="Y267" i="1"/>
  <c r="L268" i="4" s="1"/>
  <c r="Y268" i="1"/>
  <c r="L269" i="4" s="1"/>
  <c r="Y269" i="1"/>
  <c r="L270" i="4" s="1"/>
  <c r="Y270" i="1"/>
  <c r="L271" i="4" s="1"/>
  <c r="Y271" i="1"/>
  <c r="L272" i="4" s="1"/>
  <c r="Y272" i="1"/>
  <c r="L273" i="4" s="1"/>
  <c r="Y273" i="1"/>
  <c r="L274" i="4" s="1"/>
  <c r="Y274" i="1"/>
  <c r="L275" i="4" s="1"/>
  <c r="Y275" i="1"/>
  <c r="Y276" i="1"/>
  <c r="L277" i="4" s="1"/>
  <c r="Y277" i="1"/>
  <c r="L278" i="4" s="1"/>
  <c r="Y278" i="1"/>
  <c r="L279" i="4" s="1"/>
  <c r="Y279" i="1"/>
  <c r="L280" i="4" s="1"/>
  <c r="Y280" i="1"/>
  <c r="L281" i="4" s="1"/>
  <c r="Y281" i="1"/>
  <c r="L282" i="4" s="1"/>
  <c r="Y282" i="1"/>
  <c r="L283" i="4" s="1"/>
  <c r="Y283" i="1"/>
  <c r="L284" i="4" s="1"/>
  <c r="Y284" i="1"/>
  <c r="L285" i="4" s="1"/>
  <c r="Y285" i="1"/>
  <c r="L286" i="4" s="1"/>
  <c r="Y286" i="1"/>
  <c r="L287" i="4" s="1"/>
  <c r="Y287" i="1"/>
  <c r="L288" i="4" s="1"/>
  <c r="Y288" i="1"/>
  <c r="L289" i="4" s="1"/>
  <c r="Y289" i="1"/>
  <c r="Y290" i="1"/>
  <c r="L291" i="4" s="1"/>
  <c r="Y291" i="1"/>
  <c r="L292" i="4" s="1"/>
  <c r="Y292" i="1"/>
  <c r="L293" i="4" s="1"/>
  <c r="Y293" i="1"/>
  <c r="L294" i="4" s="1"/>
  <c r="Y294" i="1"/>
  <c r="L295" i="4" s="1"/>
  <c r="Y295" i="1"/>
  <c r="L296" i="4" s="1"/>
  <c r="Y296" i="1"/>
  <c r="Y297" i="1"/>
  <c r="Y298" i="1"/>
  <c r="Y299" i="1"/>
  <c r="L300" i="4" s="1"/>
  <c r="Y300" i="1"/>
  <c r="L301" i="4" s="1"/>
  <c r="Y301" i="1"/>
  <c r="L302" i="4" s="1"/>
  <c r="Y302" i="1"/>
  <c r="L303" i="4" s="1"/>
  <c r="Y303" i="1"/>
  <c r="L304" i="4" s="1"/>
  <c r="Y304" i="1"/>
  <c r="L305" i="4" s="1"/>
  <c r="Y305" i="1"/>
  <c r="L306" i="4" s="1"/>
  <c r="Y306" i="1"/>
  <c r="Y307" i="1"/>
  <c r="L308" i="4" s="1"/>
  <c r="Y308" i="1"/>
  <c r="L309" i="4" s="1"/>
  <c r="Y309" i="1"/>
  <c r="L310" i="4" s="1"/>
  <c r="Y310" i="1"/>
  <c r="L311" i="4" s="1"/>
  <c r="Y311" i="1"/>
  <c r="L312" i="4" s="1"/>
  <c r="Y312" i="1"/>
  <c r="L313" i="4" s="1"/>
  <c r="Y313" i="1"/>
  <c r="Y314" i="1"/>
  <c r="Y315" i="1"/>
  <c r="L316" i="4" s="1"/>
  <c r="Y316" i="1"/>
  <c r="Y317" i="1"/>
  <c r="L318" i="4" s="1"/>
  <c r="Y318" i="1"/>
  <c r="L319" i="4" s="1"/>
  <c r="Y319" i="1"/>
  <c r="Y320" i="1"/>
  <c r="L321" i="4" s="1"/>
  <c r="Y321" i="1"/>
  <c r="Y322" i="1"/>
  <c r="L323" i="4" s="1"/>
  <c r="Y323" i="1"/>
  <c r="Y324" i="1"/>
  <c r="L325" i="4" s="1"/>
  <c r="Y325" i="1"/>
  <c r="Y326" i="1"/>
  <c r="L327" i="4" s="1"/>
  <c r="Y327" i="1"/>
  <c r="L328" i="4" s="1"/>
  <c r="Y328" i="1"/>
  <c r="L329" i="4" s="1"/>
  <c r="Y329" i="1"/>
  <c r="L330" i="4" s="1"/>
  <c r="Y330" i="1"/>
  <c r="L331" i="4" s="1"/>
  <c r="Y331" i="1"/>
  <c r="L332" i="4" s="1"/>
  <c r="Y332" i="1"/>
  <c r="L333" i="4" s="1"/>
  <c r="Y333" i="1"/>
  <c r="L334" i="4" s="1"/>
  <c r="Y334" i="1"/>
  <c r="L335" i="4" s="1"/>
  <c r="Y335" i="1"/>
  <c r="Y336" i="1"/>
  <c r="Y337" i="1"/>
  <c r="L338" i="4" s="1"/>
  <c r="Y338" i="1"/>
  <c r="L339" i="4" s="1"/>
  <c r="Y339" i="1"/>
  <c r="L340" i="4" s="1"/>
  <c r="Y340" i="1"/>
  <c r="L341" i="4" s="1"/>
  <c r="Y341" i="1"/>
  <c r="L342" i="4" s="1"/>
  <c r="Y342" i="1"/>
  <c r="L343" i="4" s="1"/>
  <c r="Y343" i="1"/>
  <c r="Y344" i="1"/>
  <c r="Y345" i="1"/>
  <c r="L346" i="4" s="1"/>
  <c r="Y346" i="1"/>
  <c r="Y347" i="1"/>
  <c r="Y348" i="1"/>
  <c r="Y349" i="1"/>
  <c r="Y350" i="1"/>
  <c r="L351" i="4" s="1"/>
  <c r="Y351" i="1"/>
  <c r="Y352" i="1"/>
  <c r="Y353" i="1"/>
  <c r="L354" i="4" s="1"/>
  <c r="Y354" i="1"/>
  <c r="Y355" i="1"/>
  <c r="L356" i="4" s="1"/>
  <c r="Y356" i="1"/>
  <c r="L357" i="4" s="1"/>
  <c r="Y357" i="1"/>
  <c r="L358" i="4" s="1"/>
  <c r="Y358" i="1"/>
  <c r="L359" i="4" s="1"/>
  <c r="Y359" i="1"/>
  <c r="L360" i="4" s="1"/>
  <c r="Y360" i="1"/>
  <c r="Y361" i="1"/>
  <c r="L362" i="4" s="1"/>
  <c r="Y362" i="1"/>
  <c r="Y363" i="1"/>
  <c r="Y364" i="1"/>
  <c r="L365" i="4" s="1"/>
  <c r="Y365" i="1"/>
  <c r="L366" i="4" s="1"/>
  <c r="Y366" i="1"/>
  <c r="Y367" i="1"/>
  <c r="Y368" i="1"/>
  <c r="L369" i="4" s="1"/>
  <c r="Y369" i="1"/>
  <c r="L370" i="4" s="1"/>
  <c r="Y370" i="1"/>
  <c r="L371" i="4" s="1"/>
  <c r="Y371" i="1"/>
  <c r="Y372" i="1"/>
  <c r="L373" i="4" s="1"/>
  <c r="Y373" i="1"/>
  <c r="L374" i="4" s="1"/>
  <c r="Y374" i="1"/>
  <c r="Y375" i="1"/>
  <c r="L376" i="4" s="1"/>
  <c r="Y376" i="1"/>
  <c r="L377" i="4" s="1"/>
  <c r="Y377" i="1"/>
  <c r="L378" i="4" s="1"/>
  <c r="Y378" i="1"/>
  <c r="L379" i="4" s="1"/>
  <c r="Y379" i="1"/>
  <c r="L380" i="4" s="1"/>
  <c r="Y380" i="1"/>
  <c r="L381" i="4" s="1"/>
  <c r="Y381" i="1"/>
  <c r="L382" i="4" s="1"/>
  <c r="Y382" i="1"/>
  <c r="L383" i="4" s="1"/>
  <c r="Y383" i="1"/>
  <c r="L384" i="4" s="1"/>
  <c r="Y384" i="1"/>
  <c r="L385" i="4" s="1"/>
  <c r="Y385" i="1"/>
  <c r="L386" i="4" s="1"/>
  <c r="Y386" i="1"/>
  <c r="L387" i="4" s="1"/>
  <c r="Y387" i="1"/>
  <c r="L388" i="4" s="1"/>
  <c r="Y388" i="1"/>
  <c r="L389" i="4" s="1"/>
  <c r="Y389" i="1"/>
  <c r="L390" i="4" s="1"/>
  <c r="Y390" i="1"/>
  <c r="L391" i="4" s="1"/>
  <c r="Y391" i="1"/>
  <c r="L392" i="4" s="1"/>
  <c r="Y392" i="1"/>
  <c r="Y393" i="1"/>
  <c r="L394" i="4" s="1"/>
  <c r="Y394" i="1"/>
  <c r="L395" i="4" s="1"/>
  <c r="Y395" i="1"/>
  <c r="L396" i="4" s="1"/>
  <c r="Y396" i="1"/>
  <c r="L397" i="4" s="1"/>
  <c r="Y397" i="1"/>
  <c r="L398" i="4" s="1"/>
  <c r="Y398" i="1"/>
  <c r="L399" i="4" s="1"/>
  <c r="Y399" i="1"/>
  <c r="L400" i="4" s="1"/>
  <c r="Y400" i="1"/>
  <c r="L401" i="4" s="1"/>
  <c r="Y401" i="1"/>
  <c r="Y402" i="1"/>
  <c r="L403" i="4" s="1"/>
  <c r="Y403" i="1"/>
  <c r="Y404" i="1"/>
  <c r="L405" i="4" s="1"/>
  <c r="Y405" i="1"/>
  <c r="L406" i="4" s="1"/>
  <c r="Y406" i="1"/>
  <c r="L407" i="4" s="1"/>
  <c r="Y407" i="1"/>
  <c r="Y408" i="1"/>
  <c r="Y409" i="1"/>
  <c r="L410" i="4" s="1"/>
  <c r="Y410" i="1"/>
  <c r="L411" i="4" s="1"/>
  <c r="Y411" i="1"/>
  <c r="L412" i="4" s="1"/>
  <c r="Y412" i="1"/>
  <c r="L413" i="4" s="1"/>
  <c r="Y413" i="1"/>
  <c r="Y414" i="1"/>
  <c r="L415" i="4" s="1"/>
  <c r="Y415" i="1"/>
  <c r="Y416" i="1"/>
  <c r="L417" i="4" s="1"/>
  <c r="Y417" i="1"/>
  <c r="Y418" i="1"/>
  <c r="L419" i="4" s="1"/>
  <c r="Y419" i="1"/>
  <c r="L420" i="4" s="1"/>
  <c r="Y420" i="1"/>
  <c r="L421" i="4" s="1"/>
  <c r="Y421" i="1"/>
  <c r="L422" i="4" s="1"/>
  <c r="Y422" i="1"/>
  <c r="L423" i="4" s="1"/>
  <c r="Y423" i="1"/>
  <c r="L424" i="4" s="1"/>
  <c r="Y424" i="1"/>
  <c r="L425" i="4" s="1"/>
  <c r="Y425" i="1"/>
  <c r="L426" i="4" s="1"/>
  <c r="Y426" i="1"/>
  <c r="L427" i="4" s="1"/>
  <c r="Y427" i="1"/>
  <c r="Y428" i="1"/>
  <c r="L429" i="4" s="1"/>
  <c r="Y429" i="1"/>
  <c r="L430" i="4" s="1"/>
  <c r="Y430" i="1"/>
  <c r="L431" i="4" s="1"/>
  <c r="Y431" i="1"/>
  <c r="L432" i="4" s="1"/>
  <c r="Y432" i="1"/>
  <c r="Y433" i="1"/>
  <c r="Y434" i="1"/>
  <c r="L435" i="4" s="1"/>
  <c r="Y435" i="1"/>
  <c r="L436" i="4" s="1"/>
  <c r="Y436" i="1"/>
  <c r="L437" i="4" s="1"/>
  <c r="Y437" i="1"/>
  <c r="L438" i="4" s="1"/>
  <c r="Y438" i="1"/>
  <c r="L439" i="4" s="1"/>
  <c r="Y439" i="1"/>
  <c r="Y440" i="1"/>
  <c r="L441" i="4" s="1"/>
  <c r="Y441" i="1"/>
  <c r="L442" i="4" s="1"/>
  <c r="Y442" i="1"/>
  <c r="L443" i="4" s="1"/>
  <c r="Y443" i="1"/>
  <c r="L444" i="4" s="1"/>
  <c r="Y444" i="1"/>
  <c r="L445" i="4" s="1"/>
  <c r="Y445" i="1"/>
  <c r="L446" i="4" s="1"/>
  <c r="Y446" i="1"/>
  <c r="L447" i="4" s="1"/>
  <c r="Y447" i="1"/>
  <c r="L448" i="4" s="1"/>
  <c r="Y448" i="1"/>
  <c r="L449" i="4" s="1"/>
  <c r="Y449" i="1"/>
  <c r="L450" i="4" s="1"/>
  <c r="Y450" i="1"/>
  <c r="L451" i="4" s="1"/>
  <c r="Y451" i="1"/>
  <c r="Y452" i="1"/>
  <c r="L453" i="4" s="1"/>
  <c r="Y453" i="1"/>
  <c r="L454" i="4" s="1"/>
  <c r="Y454" i="1"/>
  <c r="L455" i="4" s="1"/>
  <c r="Y455" i="1"/>
  <c r="Y456" i="1"/>
  <c r="L457" i="4" s="1"/>
  <c r="Y457" i="1"/>
  <c r="L458" i="4" s="1"/>
  <c r="Y458" i="1"/>
  <c r="L459" i="4" s="1"/>
  <c r="Y459" i="1"/>
  <c r="L460" i="4" s="1"/>
  <c r="Y460" i="1"/>
  <c r="L461" i="4" s="1"/>
  <c r="Y461" i="1"/>
  <c r="L462" i="4" s="1"/>
  <c r="Y462" i="1"/>
  <c r="L463" i="4" s="1"/>
  <c r="Y463" i="1"/>
  <c r="L464" i="4" s="1"/>
  <c r="Y464" i="1"/>
  <c r="Y465" i="1"/>
  <c r="L466" i="4" s="1"/>
  <c r="Y466" i="1"/>
  <c r="L467" i="4" s="1"/>
  <c r="Y467" i="1"/>
  <c r="L468" i="4" s="1"/>
  <c r="Y468" i="1"/>
  <c r="L469" i="4" s="1"/>
  <c r="Y469" i="1"/>
  <c r="Y470" i="1"/>
  <c r="L471" i="4" s="1"/>
  <c r="Y471" i="1"/>
  <c r="L472" i="4" s="1"/>
  <c r="Y472" i="1"/>
  <c r="L473" i="4" s="1"/>
  <c r="Y473" i="1"/>
  <c r="L474" i="4" s="1"/>
  <c r="Y474" i="1"/>
  <c r="L475" i="4" s="1"/>
  <c r="Y475" i="1"/>
  <c r="L476" i="4" s="1"/>
  <c r="Y476" i="1"/>
  <c r="L477" i="4" s="1"/>
  <c r="Y477" i="1"/>
  <c r="L478" i="4" s="1"/>
  <c r="Y478" i="1"/>
  <c r="L479" i="4" s="1"/>
  <c r="Y479" i="1"/>
  <c r="L480" i="4" s="1"/>
  <c r="Y480" i="1"/>
  <c r="Y481" i="1"/>
  <c r="L482" i="4" s="1"/>
  <c r="Y482" i="1"/>
  <c r="L483" i="4" s="1"/>
  <c r="Y483" i="1"/>
  <c r="L484" i="4" s="1"/>
  <c r="Y484" i="1"/>
  <c r="Y485" i="1"/>
  <c r="L486" i="4" s="1"/>
  <c r="Y486" i="1"/>
  <c r="L487" i="4" s="1"/>
  <c r="Y487" i="1"/>
  <c r="L488" i="4" s="1"/>
  <c r="Y488" i="1"/>
  <c r="L489" i="4" s="1"/>
  <c r="Y489" i="1"/>
  <c r="L490" i="4" s="1"/>
  <c r="Y490" i="1"/>
  <c r="L491" i="4" s="1"/>
  <c r="Y491" i="1"/>
  <c r="L492" i="4" s="1"/>
  <c r="Y492" i="1"/>
  <c r="Y493" i="1"/>
  <c r="Y494" i="1"/>
  <c r="L495" i="4" s="1"/>
  <c r="Y495" i="1"/>
  <c r="L496" i="4" s="1"/>
  <c r="Y496" i="1"/>
  <c r="Y497" i="1"/>
  <c r="L498" i="4" s="1"/>
  <c r="Y498" i="1"/>
  <c r="Y499" i="1"/>
  <c r="L500" i="4" s="1"/>
  <c r="Y500" i="1"/>
  <c r="Y501" i="1"/>
  <c r="L502" i="4" s="1"/>
  <c r="Y502" i="1"/>
  <c r="L503" i="4" s="1"/>
  <c r="Y503" i="1"/>
  <c r="L504" i="4" s="1"/>
  <c r="Y504" i="1"/>
  <c r="L505" i="4" s="1"/>
  <c r="Y505" i="1"/>
  <c r="L506" i="4" s="1"/>
  <c r="Y506" i="1"/>
  <c r="L507" i="4" s="1"/>
  <c r="Y507" i="1"/>
  <c r="Y508" i="1"/>
  <c r="L509" i="4" s="1"/>
  <c r="Y509" i="1"/>
  <c r="L510" i="4" s="1"/>
  <c r="Y510" i="1"/>
  <c r="Y511" i="1"/>
  <c r="L512" i="4" s="1"/>
  <c r="Y512" i="1"/>
  <c r="L513" i="4" s="1"/>
  <c r="Y513" i="1"/>
  <c r="L514" i="4" s="1"/>
  <c r="Y514" i="1"/>
  <c r="Y515" i="1"/>
  <c r="L516" i="4" s="1"/>
  <c r="Y516" i="1"/>
  <c r="L517" i="4" s="1"/>
  <c r="Y517" i="1"/>
  <c r="L518" i="4" s="1"/>
  <c r="Y518" i="1"/>
  <c r="L519" i="4" s="1"/>
  <c r="Y519" i="1"/>
  <c r="L520" i="4" s="1"/>
  <c r="Y520" i="1"/>
  <c r="L521" i="4" s="1"/>
  <c r="Y521" i="1"/>
  <c r="Y522" i="1"/>
  <c r="L523" i="4" s="1"/>
  <c r="Y523" i="1"/>
  <c r="L524" i="4" s="1"/>
  <c r="Y524" i="1"/>
  <c r="Y525" i="1"/>
  <c r="L526" i="4" s="1"/>
  <c r="Y526" i="1"/>
  <c r="Y527" i="1"/>
  <c r="L528" i="4" s="1"/>
  <c r="Y528" i="1"/>
  <c r="L529" i="4" s="1"/>
  <c r="Y529" i="1"/>
  <c r="Y530" i="1"/>
  <c r="L531" i="4" s="1"/>
  <c r="Y531" i="1"/>
  <c r="L532" i="4" s="1"/>
  <c r="Y532" i="1"/>
  <c r="L533" i="4" s="1"/>
  <c r="Y533" i="1"/>
  <c r="L534" i="4" s="1"/>
  <c r="Y534" i="1"/>
  <c r="L535" i="4" s="1"/>
  <c r="Y535" i="1"/>
  <c r="L536" i="4" s="1"/>
  <c r="Y536" i="1"/>
  <c r="Y537" i="1"/>
  <c r="L538" i="4" s="1"/>
  <c r="Y538" i="1"/>
  <c r="L539" i="4" s="1"/>
  <c r="Y539" i="1"/>
  <c r="L540" i="4" s="1"/>
  <c r="Y540" i="1"/>
  <c r="L541" i="4" s="1"/>
  <c r="Y541" i="1"/>
  <c r="L542" i="4" s="1"/>
  <c r="Y542" i="1"/>
  <c r="L543" i="4" s="1"/>
  <c r="Y543" i="1"/>
  <c r="L544" i="4" s="1"/>
  <c r="Y544" i="1"/>
  <c r="Y545" i="1"/>
  <c r="L546" i="4" s="1"/>
  <c r="Y546" i="1"/>
  <c r="L547" i="4" s="1"/>
  <c r="Y547" i="1"/>
  <c r="L548" i="4" s="1"/>
  <c r="Y548" i="1"/>
  <c r="L549" i="4" s="1"/>
  <c r="Y549" i="1"/>
  <c r="L550" i="4" s="1"/>
  <c r="Y550" i="1"/>
  <c r="Y551" i="1"/>
  <c r="Y552" i="1"/>
  <c r="L553" i="4" s="1"/>
  <c r="Y553" i="1"/>
  <c r="L554" i="4" s="1"/>
  <c r="Y554" i="1"/>
  <c r="L555" i="4" s="1"/>
  <c r="Y555" i="1"/>
  <c r="L556" i="4" s="1"/>
  <c r="Y556" i="1"/>
  <c r="L557" i="4" s="1"/>
  <c r="Y557" i="1"/>
  <c r="L558" i="4" s="1"/>
  <c r="Y558" i="1"/>
  <c r="Y559" i="1"/>
  <c r="L560" i="4" s="1"/>
  <c r="Y560" i="1"/>
  <c r="L561" i="4" s="1"/>
  <c r="Y561" i="1"/>
  <c r="Y562" i="1"/>
  <c r="L563" i="4" s="1"/>
  <c r="Y563" i="1"/>
  <c r="L564" i="4" s="1"/>
  <c r="Y564" i="1"/>
  <c r="L565" i="4" s="1"/>
  <c r="Y565" i="1"/>
  <c r="L566" i="4" s="1"/>
  <c r="Y566" i="1"/>
  <c r="Y567" i="1"/>
  <c r="L568" i="4" s="1"/>
  <c r="Y568" i="1"/>
  <c r="Y569" i="1"/>
  <c r="L570" i="4" s="1"/>
  <c r="Y570" i="1"/>
  <c r="L571" i="4" s="1"/>
  <c r="Y571" i="1"/>
  <c r="L572" i="4" s="1"/>
  <c r="Y572" i="1"/>
  <c r="Y573" i="1"/>
  <c r="Y574" i="1"/>
  <c r="Y575" i="1"/>
  <c r="L576" i="4" s="1"/>
  <c r="Y576" i="1"/>
  <c r="L577" i="4" s="1"/>
  <c r="Y577" i="1"/>
  <c r="Y578" i="1"/>
  <c r="L579" i="4" s="1"/>
  <c r="Y579" i="1"/>
  <c r="L580" i="4" s="1"/>
  <c r="Y580" i="1"/>
  <c r="Y581" i="1"/>
  <c r="L582" i="4" s="1"/>
  <c r="Y582" i="1"/>
  <c r="L583" i="4" s="1"/>
  <c r="Y583" i="1"/>
  <c r="Y584" i="1"/>
  <c r="L585" i="4" s="1"/>
  <c r="Y585" i="1"/>
  <c r="Y586" i="1"/>
  <c r="L587" i="4" s="1"/>
  <c r="Y587" i="1"/>
  <c r="Y588" i="1"/>
  <c r="Y589" i="1"/>
  <c r="L590" i="4" s="1"/>
  <c r="Y590" i="1"/>
  <c r="L591" i="4" s="1"/>
  <c r="Y591" i="1"/>
  <c r="L592" i="4" s="1"/>
  <c r="Y592" i="1"/>
  <c r="Y593" i="1"/>
  <c r="L594" i="4" s="1"/>
  <c r="Y594" i="1"/>
  <c r="L595" i="4" s="1"/>
  <c r="Y595" i="1"/>
  <c r="Y596" i="1"/>
  <c r="L597" i="4" s="1"/>
  <c r="Y597" i="1"/>
  <c r="Y598" i="1"/>
  <c r="Y599" i="1"/>
  <c r="L600" i="4" s="1"/>
  <c r="Y600" i="1"/>
  <c r="L601" i="4" s="1"/>
  <c r="Y2" i="1"/>
  <c r="L3" i="4" s="1"/>
  <c r="X3" i="1"/>
  <c r="X4" i="1"/>
  <c r="X5" i="1"/>
  <c r="X6" i="1"/>
  <c r="I7" i="4" s="1"/>
  <c r="X7" i="1"/>
  <c r="X8" i="1"/>
  <c r="I9" i="4" s="1"/>
  <c r="X9" i="1"/>
  <c r="I10" i="4" s="1"/>
  <c r="X10" i="1"/>
  <c r="X11" i="1"/>
  <c r="I12" i="4" s="1"/>
  <c r="X12" i="1"/>
  <c r="X13" i="1"/>
  <c r="I14" i="4" s="1"/>
  <c r="X14" i="1"/>
  <c r="X15" i="1"/>
  <c r="X16" i="1"/>
  <c r="X17" i="1"/>
  <c r="I18" i="4" s="1"/>
  <c r="X18" i="1"/>
  <c r="X19" i="1"/>
  <c r="X20" i="1"/>
  <c r="X21" i="1"/>
  <c r="I22" i="4" s="1"/>
  <c r="X22" i="1"/>
  <c r="I23" i="4" s="1"/>
  <c r="X23" i="1"/>
  <c r="X24" i="1"/>
  <c r="I25" i="4" s="1"/>
  <c r="X25" i="1"/>
  <c r="X26" i="1"/>
  <c r="X27" i="1"/>
  <c r="X28" i="1"/>
  <c r="I29" i="4" s="1"/>
  <c r="X29" i="1"/>
  <c r="X30" i="1"/>
  <c r="I31" i="4" s="1"/>
  <c r="X31" i="1"/>
  <c r="X32" i="1"/>
  <c r="X33" i="1"/>
  <c r="I34" i="4" s="1"/>
  <c r="X34" i="1"/>
  <c r="I35" i="4" s="1"/>
  <c r="X35" i="1"/>
  <c r="I36" i="4" s="1"/>
  <c r="X36" i="1"/>
  <c r="X37" i="1"/>
  <c r="X38" i="1"/>
  <c r="I39" i="4" s="1"/>
  <c r="X39" i="1"/>
  <c r="X40" i="1"/>
  <c r="X41" i="1"/>
  <c r="I42" i="4" s="1"/>
  <c r="X42" i="1"/>
  <c r="I43" i="4" s="1"/>
  <c r="X43" i="1"/>
  <c r="X44" i="1"/>
  <c r="X45" i="1"/>
  <c r="X46" i="1"/>
  <c r="X47" i="1"/>
  <c r="I48" i="4" s="1"/>
  <c r="X48" i="1"/>
  <c r="X49" i="1"/>
  <c r="X50" i="1"/>
  <c r="I51" i="4" s="1"/>
  <c r="X51" i="1"/>
  <c r="X52" i="1"/>
  <c r="I53" i="4" s="1"/>
  <c r="X53" i="1"/>
  <c r="X54" i="1"/>
  <c r="I55" i="4" s="1"/>
  <c r="X55" i="1"/>
  <c r="X56" i="1"/>
  <c r="I57" i="4" s="1"/>
  <c r="X57" i="1"/>
  <c r="X58" i="1"/>
  <c r="I59" i="4" s="1"/>
  <c r="X59" i="1"/>
  <c r="I60" i="4" s="1"/>
  <c r="X60" i="1"/>
  <c r="I61" i="4" s="1"/>
  <c r="X61" i="1"/>
  <c r="X62" i="1"/>
  <c r="I63" i="4" s="1"/>
  <c r="X63" i="1"/>
  <c r="I64" i="4" s="1"/>
  <c r="X64" i="1"/>
  <c r="X65" i="1"/>
  <c r="I66" i="4" s="1"/>
  <c r="X66" i="1"/>
  <c r="I67" i="4" s="1"/>
  <c r="X67" i="1"/>
  <c r="I68" i="4" s="1"/>
  <c r="X68" i="1"/>
  <c r="X69" i="1"/>
  <c r="X70" i="1"/>
  <c r="I71" i="4" s="1"/>
  <c r="X71" i="1"/>
  <c r="X72" i="1"/>
  <c r="X73" i="1"/>
  <c r="X74" i="1"/>
  <c r="X75" i="1"/>
  <c r="I76" i="4" s="1"/>
  <c r="X76" i="1"/>
  <c r="I77" i="4" s="1"/>
  <c r="X77" i="1"/>
  <c r="X78" i="1"/>
  <c r="I79" i="4" s="1"/>
  <c r="X79" i="1"/>
  <c r="I80" i="4" s="1"/>
  <c r="X80" i="1"/>
  <c r="X81" i="1"/>
  <c r="X82" i="1"/>
  <c r="I83" i="4" s="1"/>
  <c r="X83" i="1"/>
  <c r="X84" i="1"/>
  <c r="I85" i="4" s="1"/>
  <c r="X85" i="1"/>
  <c r="X86" i="1"/>
  <c r="X87" i="1"/>
  <c r="X88" i="1"/>
  <c r="X89" i="1"/>
  <c r="I90" i="4" s="1"/>
  <c r="X90" i="1"/>
  <c r="X91" i="1"/>
  <c r="X92" i="1"/>
  <c r="X93" i="1"/>
  <c r="I94" i="4" s="1"/>
  <c r="X94" i="1"/>
  <c r="X95" i="1"/>
  <c r="I96" i="4" s="1"/>
  <c r="X96" i="1"/>
  <c r="X97" i="1"/>
  <c r="X98" i="1"/>
  <c r="X99" i="1"/>
  <c r="X100" i="1"/>
  <c r="X101" i="1"/>
  <c r="X102" i="1"/>
  <c r="I103" i="4" s="1"/>
  <c r="X103" i="1"/>
  <c r="I104" i="4" s="1"/>
  <c r="X104" i="1"/>
  <c r="X105" i="1"/>
  <c r="X106" i="1"/>
  <c r="I107" i="4" s="1"/>
  <c r="X107" i="1"/>
  <c r="I108" i="4" s="1"/>
  <c r="X108" i="1"/>
  <c r="X109" i="1"/>
  <c r="X110" i="1"/>
  <c r="I111" i="4" s="1"/>
  <c r="X111" i="1"/>
  <c r="X112" i="1"/>
  <c r="X113" i="1"/>
  <c r="X114" i="1"/>
  <c r="I115" i="4" s="1"/>
  <c r="X115" i="1"/>
  <c r="X116" i="1"/>
  <c r="I117" i="4" s="1"/>
  <c r="X117" i="1"/>
  <c r="I118" i="4" s="1"/>
  <c r="X118" i="1"/>
  <c r="I119" i="4" s="1"/>
  <c r="X119" i="1"/>
  <c r="X120" i="1"/>
  <c r="X121" i="1"/>
  <c r="X122" i="1"/>
  <c r="X123" i="1"/>
  <c r="I124" i="4" s="1"/>
  <c r="X124" i="1"/>
  <c r="I125" i="4" s="1"/>
  <c r="X125" i="1"/>
  <c r="I126" i="4" s="1"/>
  <c r="X126" i="1"/>
  <c r="X127" i="1"/>
  <c r="X128" i="1"/>
  <c r="X129" i="1"/>
  <c r="X130" i="1"/>
  <c r="X131" i="1"/>
  <c r="I132" i="4" s="1"/>
  <c r="X132" i="1"/>
  <c r="X133" i="1"/>
  <c r="I134" i="4" s="1"/>
  <c r="X134" i="1"/>
  <c r="X135" i="1"/>
  <c r="X136" i="1"/>
  <c r="I137" i="4" s="1"/>
  <c r="X137" i="1"/>
  <c r="I138" i="4" s="1"/>
  <c r="X138" i="1"/>
  <c r="I139" i="4" s="1"/>
  <c r="X139" i="1"/>
  <c r="I140" i="4" s="1"/>
  <c r="X140" i="1"/>
  <c r="I141" i="4" s="1"/>
  <c r="X141" i="1"/>
  <c r="X142" i="1"/>
  <c r="X143" i="1"/>
  <c r="X144" i="1"/>
  <c r="I145" i="4" s="1"/>
  <c r="X145" i="1"/>
  <c r="I146" i="4" s="1"/>
  <c r="X146" i="1"/>
  <c r="X147" i="1"/>
  <c r="X148" i="1"/>
  <c r="X149" i="1"/>
  <c r="X150" i="1"/>
  <c r="I151" i="4" s="1"/>
  <c r="X151" i="1"/>
  <c r="X152" i="1"/>
  <c r="I153" i="4" s="1"/>
  <c r="X153" i="1"/>
  <c r="X154" i="1"/>
  <c r="X155" i="1"/>
  <c r="X156" i="1"/>
  <c r="I157" i="4" s="1"/>
  <c r="X157" i="1"/>
  <c r="X158" i="1"/>
  <c r="X159" i="1"/>
  <c r="X160" i="1"/>
  <c r="X161" i="1"/>
  <c r="I162" i="4" s="1"/>
  <c r="X162" i="1"/>
  <c r="X163" i="1"/>
  <c r="X164" i="1"/>
  <c r="X165" i="1"/>
  <c r="X166" i="1"/>
  <c r="X167" i="1"/>
  <c r="X168" i="1"/>
  <c r="I169" i="4" s="1"/>
  <c r="X169" i="1"/>
  <c r="I170" i="4" s="1"/>
  <c r="X170" i="1"/>
  <c r="I171" i="4" s="1"/>
  <c r="X171" i="1"/>
  <c r="I172" i="4" s="1"/>
  <c r="X172" i="1"/>
  <c r="I173" i="4" s="1"/>
  <c r="X173" i="1"/>
  <c r="X174" i="1"/>
  <c r="I175" i="4" s="1"/>
  <c r="X175" i="1"/>
  <c r="I176" i="4" s="1"/>
  <c r="X176" i="1"/>
  <c r="X177" i="1"/>
  <c r="I178" i="4" s="1"/>
  <c r="X178" i="1"/>
  <c r="X179" i="1"/>
  <c r="X180" i="1"/>
  <c r="I181" i="4" s="1"/>
  <c r="X181" i="1"/>
  <c r="X182" i="1"/>
  <c r="X183" i="1"/>
  <c r="X184" i="1"/>
  <c r="X185" i="1"/>
  <c r="I186" i="4" s="1"/>
  <c r="X186" i="1"/>
  <c r="I187" i="4" s="1"/>
  <c r="X187" i="1"/>
  <c r="X188" i="1"/>
  <c r="X189" i="1"/>
  <c r="X190" i="1"/>
  <c r="X191" i="1"/>
  <c r="X192" i="1"/>
  <c r="I193" i="4" s="1"/>
  <c r="X193" i="1"/>
  <c r="X194" i="1"/>
  <c r="X195" i="1"/>
  <c r="I196" i="4" s="1"/>
  <c r="X196" i="1"/>
  <c r="X197" i="1"/>
  <c r="X198" i="1"/>
  <c r="X199" i="1"/>
  <c r="X200" i="1"/>
  <c r="X201" i="1"/>
  <c r="I202" i="4" s="1"/>
  <c r="X202" i="1"/>
  <c r="X203" i="1"/>
  <c r="X204" i="1"/>
  <c r="I205" i="4" s="1"/>
  <c r="X205" i="1"/>
  <c r="X206" i="1"/>
  <c r="X207" i="1"/>
  <c r="X208" i="1"/>
  <c r="X209" i="1"/>
  <c r="I210" i="4" s="1"/>
  <c r="X210" i="1"/>
  <c r="X211" i="1"/>
  <c r="I212" i="4" s="1"/>
  <c r="X212" i="1"/>
  <c r="I213" i="4" s="1"/>
  <c r="X213" i="1"/>
  <c r="X214" i="1"/>
  <c r="X215" i="1"/>
  <c r="I216" i="4" s="1"/>
  <c r="X216" i="1"/>
  <c r="X217" i="1"/>
  <c r="I218" i="4" s="1"/>
  <c r="X218" i="1"/>
  <c r="I219" i="4" s="1"/>
  <c r="X219" i="1"/>
  <c r="X220" i="1"/>
  <c r="I221" i="4" s="1"/>
  <c r="X221" i="1"/>
  <c r="X222" i="1"/>
  <c r="I223" i="4" s="1"/>
  <c r="X223" i="1"/>
  <c r="X224" i="1"/>
  <c r="I225" i="4" s="1"/>
  <c r="X225" i="1"/>
  <c r="I226" i="4" s="1"/>
  <c r="X226" i="1"/>
  <c r="I227" i="4" s="1"/>
  <c r="X227" i="1"/>
  <c r="X228" i="1"/>
  <c r="I229" i="4" s="1"/>
  <c r="X229" i="1"/>
  <c r="I230" i="4" s="1"/>
  <c r="X230" i="1"/>
  <c r="X231" i="1"/>
  <c r="I232" i="4" s="1"/>
  <c r="X232" i="1"/>
  <c r="X233" i="1"/>
  <c r="X234" i="1"/>
  <c r="I235" i="4" s="1"/>
  <c r="X235" i="1"/>
  <c r="X236" i="1"/>
  <c r="I237" i="4" s="1"/>
  <c r="X237" i="1"/>
  <c r="X238" i="1"/>
  <c r="X239" i="1"/>
  <c r="X240" i="1"/>
  <c r="I241" i="4" s="1"/>
  <c r="X241" i="1"/>
  <c r="I242" i="4" s="1"/>
  <c r="X242" i="1"/>
  <c r="I243" i="4" s="1"/>
  <c r="X243" i="1"/>
  <c r="I244" i="4" s="1"/>
  <c r="X244" i="1"/>
  <c r="X245" i="1"/>
  <c r="X246" i="1"/>
  <c r="X247" i="1"/>
  <c r="I248" i="4" s="1"/>
  <c r="X248" i="1"/>
  <c r="I249" i="4" s="1"/>
  <c r="X249" i="1"/>
  <c r="I250" i="4" s="1"/>
  <c r="X250" i="1"/>
  <c r="X251" i="1"/>
  <c r="X252" i="1"/>
  <c r="X253" i="1"/>
  <c r="X254" i="1"/>
  <c r="X255" i="1"/>
  <c r="I256" i="4" s="1"/>
  <c r="X256" i="1"/>
  <c r="X257" i="1"/>
  <c r="I258" i="4" s="1"/>
  <c r="X258" i="1"/>
  <c r="X259" i="1"/>
  <c r="I260" i="4" s="1"/>
  <c r="X260" i="1"/>
  <c r="X261" i="1"/>
  <c r="I262" i="4" s="1"/>
  <c r="X262" i="1"/>
  <c r="I263" i="4" s="1"/>
  <c r="X263" i="1"/>
  <c r="X264" i="1"/>
  <c r="X265" i="1"/>
  <c r="I266" i="4" s="1"/>
  <c r="X266" i="1"/>
  <c r="X267" i="1"/>
  <c r="X268" i="1"/>
  <c r="X269" i="1"/>
  <c r="X270" i="1"/>
  <c r="X271" i="1"/>
  <c r="I272" i="4" s="1"/>
  <c r="X272" i="1"/>
  <c r="X273" i="1"/>
  <c r="X274" i="1"/>
  <c r="I275" i="4" s="1"/>
  <c r="X275" i="1"/>
  <c r="X276" i="1"/>
  <c r="X277" i="1"/>
  <c r="I278" i="4" s="1"/>
  <c r="X278" i="1"/>
  <c r="X279" i="1"/>
  <c r="I280" i="4" s="1"/>
  <c r="X280" i="1"/>
  <c r="I281" i="4" s="1"/>
  <c r="X281" i="1"/>
  <c r="I282" i="4" s="1"/>
  <c r="X282" i="1"/>
  <c r="X283" i="1"/>
  <c r="I284" i="4" s="1"/>
  <c r="X284" i="1"/>
  <c r="X285" i="1"/>
  <c r="X286" i="1"/>
  <c r="I287" i="4" s="1"/>
  <c r="X287" i="1"/>
  <c r="I288" i="4" s="1"/>
  <c r="X288" i="1"/>
  <c r="X289" i="1"/>
  <c r="X290" i="1"/>
  <c r="I291" i="4" s="1"/>
  <c r="X291" i="1"/>
  <c r="X292" i="1"/>
  <c r="I293" i="4" s="1"/>
  <c r="X293" i="1"/>
  <c r="I294" i="4" s="1"/>
  <c r="X294" i="1"/>
  <c r="I295" i="4" s="1"/>
  <c r="X295" i="1"/>
  <c r="X296" i="1"/>
  <c r="X297" i="1"/>
  <c r="X298" i="1"/>
  <c r="X299" i="1"/>
  <c r="I300" i="4" s="1"/>
  <c r="X300" i="1"/>
  <c r="X301" i="1"/>
  <c r="I302" i="4" s="1"/>
  <c r="X302" i="1"/>
  <c r="I303" i="4" s="1"/>
  <c r="X303" i="1"/>
  <c r="I304" i="4" s="1"/>
  <c r="X304" i="1"/>
  <c r="I305" i="4" s="1"/>
  <c r="X305" i="1"/>
  <c r="X306" i="1"/>
  <c r="X307" i="1"/>
  <c r="X308" i="1"/>
  <c r="X309" i="1"/>
  <c r="I310" i="4" s="1"/>
  <c r="X310" i="1"/>
  <c r="X311" i="1"/>
  <c r="X312" i="1"/>
  <c r="I313" i="4" s="1"/>
  <c r="X313" i="1"/>
  <c r="X314" i="1"/>
  <c r="X315" i="1"/>
  <c r="X316" i="1"/>
  <c r="X317" i="1"/>
  <c r="I318" i="4" s="1"/>
  <c r="X318" i="1"/>
  <c r="X319" i="1"/>
  <c r="X320" i="1"/>
  <c r="I321" i="4" s="1"/>
  <c r="X321" i="1"/>
  <c r="X322" i="1"/>
  <c r="I323" i="4" s="1"/>
  <c r="X323" i="1"/>
  <c r="X324" i="1"/>
  <c r="X325" i="1"/>
  <c r="X326" i="1"/>
  <c r="I327" i="4" s="1"/>
  <c r="X327" i="1"/>
  <c r="X328" i="1"/>
  <c r="X329" i="1"/>
  <c r="I330" i="4" s="1"/>
  <c r="X330" i="1"/>
  <c r="I331" i="4" s="1"/>
  <c r="X331" i="1"/>
  <c r="I332" i="4" s="1"/>
  <c r="X332" i="1"/>
  <c r="I333" i="4" s="1"/>
  <c r="X333" i="1"/>
  <c r="X334" i="1"/>
  <c r="I335" i="4" s="1"/>
  <c r="X335" i="1"/>
  <c r="X336" i="1"/>
  <c r="X337" i="1"/>
  <c r="I338" i="4" s="1"/>
  <c r="X338" i="1"/>
  <c r="I339" i="4" s="1"/>
  <c r="X339" i="1"/>
  <c r="X340" i="1"/>
  <c r="I341" i="4" s="1"/>
  <c r="X341" i="1"/>
  <c r="X342" i="1"/>
  <c r="X343" i="1"/>
  <c r="X344" i="1"/>
  <c r="X345" i="1"/>
  <c r="I346" i="4" s="1"/>
  <c r="X346" i="1"/>
  <c r="X347" i="1"/>
  <c r="X348" i="1"/>
  <c r="X349" i="1"/>
  <c r="X350" i="1"/>
  <c r="I351" i="4" s="1"/>
  <c r="X351" i="1"/>
  <c r="X352" i="1"/>
  <c r="X353" i="1"/>
  <c r="I354" i="4" s="1"/>
  <c r="X354" i="1"/>
  <c r="X355" i="1"/>
  <c r="I356" i="4" s="1"/>
  <c r="X356" i="1"/>
  <c r="X357" i="1"/>
  <c r="I358" i="4" s="1"/>
  <c r="X358" i="1"/>
  <c r="I359" i="4" s="1"/>
  <c r="X359" i="1"/>
  <c r="I360" i="4" s="1"/>
  <c r="X360" i="1"/>
  <c r="X361" i="1"/>
  <c r="X362" i="1"/>
  <c r="X363" i="1"/>
  <c r="X364" i="1"/>
  <c r="I365" i="4" s="1"/>
  <c r="X365" i="1"/>
  <c r="I366" i="4" s="1"/>
  <c r="X366" i="1"/>
  <c r="X367" i="1"/>
  <c r="X368" i="1"/>
  <c r="X369" i="1"/>
  <c r="I370" i="4" s="1"/>
  <c r="X370" i="1"/>
  <c r="I371" i="4" s="1"/>
  <c r="X371" i="1"/>
  <c r="X372" i="1"/>
  <c r="X373" i="1"/>
  <c r="I374" i="4" s="1"/>
  <c r="X374" i="1"/>
  <c r="X375" i="1"/>
  <c r="I376" i="4" s="1"/>
  <c r="X376" i="1"/>
  <c r="I377" i="4" s="1"/>
  <c r="X377" i="1"/>
  <c r="I378" i="4" s="1"/>
  <c r="X378" i="1"/>
  <c r="X379" i="1"/>
  <c r="X380" i="1"/>
  <c r="X381" i="1"/>
  <c r="I382" i="4" s="1"/>
  <c r="X382" i="1"/>
  <c r="I383" i="4" s="1"/>
  <c r="X383" i="1"/>
  <c r="X384" i="1"/>
  <c r="I385" i="4" s="1"/>
  <c r="X385" i="1"/>
  <c r="X386" i="1"/>
  <c r="X387" i="1"/>
  <c r="I388" i="4" s="1"/>
  <c r="X388" i="1"/>
  <c r="X389" i="1"/>
  <c r="I390" i="4" s="1"/>
  <c r="X390" i="1"/>
  <c r="X391" i="1"/>
  <c r="X392" i="1"/>
  <c r="X393" i="1"/>
  <c r="X394" i="1"/>
  <c r="I395" i="4" s="1"/>
  <c r="X395" i="1"/>
  <c r="X396" i="1"/>
  <c r="X397" i="1"/>
  <c r="X398" i="1"/>
  <c r="I399" i="4" s="1"/>
  <c r="X399" i="1"/>
  <c r="X400" i="1"/>
  <c r="X401" i="1"/>
  <c r="X402" i="1"/>
  <c r="I403" i="4" s="1"/>
  <c r="X403" i="1"/>
  <c r="X404" i="1"/>
  <c r="X405" i="1"/>
  <c r="X406" i="1"/>
  <c r="X407" i="1"/>
  <c r="X408" i="1"/>
  <c r="X409" i="1"/>
  <c r="I410" i="4" s="1"/>
  <c r="X410" i="1"/>
  <c r="I411" i="4" s="1"/>
  <c r="X411" i="1"/>
  <c r="I412" i="4" s="1"/>
  <c r="X412" i="1"/>
  <c r="I413" i="4" s="1"/>
  <c r="X413" i="1"/>
  <c r="X414" i="1"/>
  <c r="I415" i="4" s="1"/>
  <c r="X415" i="1"/>
  <c r="X416" i="1"/>
  <c r="X417" i="1"/>
  <c r="X418" i="1"/>
  <c r="X419" i="1"/>
  <c r="X420" i="1"/>
  <c r="X421" i="1"/>
  <c r="X422" i="1"/>
  <c r="I423" i="4" s="1"/>
  <c r="X423" i="1"/>
  <c r="X424" i="1"/>
  <c r="X425" i="1"/>
  <c r="I426" i="4" s="1"/>
  <c r="X426" i="1"/>
  <c r="X427" i="1"/>
  <c r="X428" i="1"/>
  <c r="I429" i="4" s="1"/>
  <c r="X429" i="1"/>
  <c r="X430" i="1"/>
  <c r="X431" i="1"/>
  <c r="X432" i="1"/>
  <c r="X433" i="1"/>
  <c r="X434" i="1"/>
  <c r="I435" i="4" s="1"/>
  <c r="X435" i="1"/>
  <c r="X436" i="1"/>
  <c r="X437" i="1"/>
  <c r="I438" i="4" s="1"/>
  <c r="X438" i="1"/>
  <c r="X439" i="1"/>
  <c r="X440" i="1"/>
  <c r="X441" i="1"/>
  <c r="X442" i="1"/>
  <c r="X443" i="1"/>
  <c r="I444" i="4" s="1"/>
  <c r="X444" i="1"/>
  <c r="I445" i="4" s="1"/>
  <c r="X445" i="1"/>
  <c r="I446" i="4" s="1"/>
  <c r="X446" i="1"/>
  <c r="I447" i="4" s="1"/>
  <c r="X447" i="1"/>
  <c r="I448" i="4" s="1"/>
  <c r="X448" i="1"/>
  <c r="X449" i="1"/>
  <c r="X450" i="1"/>
  <c r="I451" i="4" s="1"/>
  <c r="X451" i="1"/>
  <c r="X452" i="1"/>
  <c r="I453" i="4" s="1"/>
  <c r="X453" i="1"/>
  <c r="I454" i="4" s="1"/>
  <c r="X454" i="1"/>
  <c r="I455" i="4" s="1"/>
  <c r="X455" i="1"/>
  <c r="X456" i="1"/>
  <c r="I457" i="4" s="1"/>
  <c r="X457" i="1"/>
  <c r="X458" i="1"/>
  <c r="X459" i="1"/>
  <c r="X460" i="1"/>
  <c r="I461" i="4" s="1"/>
  <c r="X461" i="1"/>
  <c r="X462" i="1"/>
  <c r="I463" i="4" s="1"/>
  <c r="X463" i="1"/>
  <c r="I464" i="4" s="1"/>
  <c r="X464" i="1"/>
  <c r="X465" i="1"/>
  <c r="I466" i="4" s="1"/>
  <c r="X466" i="1"/>
  <c r="I467" i="4" s="1"/>
  <c r="X467" i="1"/>
  <c r="I468" i="4" s="1"/>
  <c r="X468" i="1"/>
  <c r="I469" i="4" s="1"/>
  <c r="X469" i="1"/>
  <c r="X470" i="1"/>
  <c r="X471" i="1"/>
  <c r="X472" i="1"/>
  <c r="X473" i="1"/>
  <c r="X474" i="1"/>
  <c r="I475" i="4" s="1"/>
  <c r="X475" i="1"/>
  <c r="I476" i="4" s="1"/>
  <c r="X476" i="1"/>
  <c r="I477" i="4" s="1"/>
  <c r="X477" i="1"/>
  <c r="I478" i="4" s="1"/>
  <c r="X478" i="1"/>
  <c r="I479" i="4" s="1"/>
  <c r="X479" i="1"/>
  <c r="X480" i="1"/>
  <c r="X481" i="1"/>
  <c r="X482" i="1"/>
  <c r="I483" i="4" s="1"/>
  <c r="X483" i="1"/>
  <c r="X484" i="1"/>
  <c r="X485" i="1"/>
  <c r="I486" i="4" s="1"/>
  <c r="X486" i="1"/>
  <c r="X487" i="1"/>
  <c r="I488" i="4" s="1"/>
  <c r="X488" i="1"/>
  <c r="I489" i="4" s="1"/>
  <c r="X489" i="1"/>
  <c r="X490" i="1"/>
  <c r="X491" i="1"/>
  <c r="I492" i="4" s="1"/>
  <c r="X492" i="1"/>
  <c r="X493" i="1"/>
  <c r="X494" i="1"/>
  <c r="I495" i="4" s="1"/>
  <c r="X495" i="1"/>
  <c r="X496" i="1"/>
  <c r="X497" i="1"/>
  <c r="X498" i="1"/>
  <c r="X499" i="1"/>
  <c r="I500" i="4" s="1"/>
  <c r="X500" i="1"/>
  <c r="X501" i="1"/>
  <c r="I502" i="4" s="1"/>
  <c r="X502" i="1"/>
  <c r="X503" i="1"/>
  <c r="I504" i="4" s="1"/>
  <c r="X504" i="1"/>
  <c r="I505" i="4" s="1"/>
  <c r="X505" i="1"/>
  <c r="I506" i="4" s="1"/>
  <c r="X506" i="1"/>
  <c r="I507" i="4" s="1"/>
  <c r="X507" i="1"/>
  <c r="X508" i="1"/>
  <c r="X509" i="1"/>
  <c r="I510" i="4" s="1"/>
  <c r="X510" i="1"/>
  <c r="X511" i="1"/>
  <c r="I512" i="4" s="1"/>
  <c r="X512" i="1"/>
  <c r="X513" i="1"/>
  <c r="I514" i="4" s="1"/>
  <c r="X514" i="1"/>
  <c r="X515" i="1"/>
  <c r="X516" i="1"/>
  <c r="I517" i="4" s="1"/>
  <c r="X517" i="1"/>
  <c r="X518" i="1"/>
  <c r="I519" i="4" s="1"/>
  <c r="X519" i="1"/>
  <c r="I520" i="4" s="1"/>
  <c r="X520" i="1"/>
  <c r="I521" i="4" s="1"/>
  <c r="X521" i="1"/>
  <c r="X522" i="1"/>
  <c r="I523" i="4" s="1"/>
  <c r="X523" i="1"/>
  <c r="I524" i="4" s="1"/>
  <c r="X524" i="1"/>
  <c r="X525" i="1"/>
  <c r="X526" i="1"/>
  <c r="X527" i="1"/>
  <c r="X528" i="1"/>
  <c r="X529" i="1"/>
  <c r="X530" i="1"/>
  <c r="X531" i="1"/>
  <c r="I532" i="4" s="1"/>
  <c r="X532" i="1"/>
  <c r="I533" i="4" s="1"/>
  <c r="X533" i="1"/>
  <c r="X534" i="1"/>
  <c r="X535" i="1"/>
  <c r="X536" i="1"/>
  <c r="X537" i="1"/>
  <c r="X538" i="1"/>
  <c r="X539" i="1"/>
  <c r="X540" i="1"/>
  <c r="X541" i="1"/>
  <c r="I542" i="4" s="1"/>
  <c r="X542" i="1"/>
  <c r="X543" i="1"/>
  <c r="X544" i="1"/>
  <c r="X545" i="1"/>
  <c r="X546" i="1"/>
  <c r="I547" i="4" s="1"/>
  <c r="X547" i="1"/>
  <c r="I548" i="4" s="1"/>
  <c r="X548" i="1"/>
  <c r="X549" i="1"/>
  <c r="I550" i="4" s="1"/>
  <c r="X550" i="1"/>
  <c r="X551" i="1"/>
  <c r="X552" i="1"/>
  <c r="I553" i="4" s="1"/>
  <c r="X553" i="1"/>
  <c r="X554" i="1"/>
  <c r="X555" i="1"/>
  <c r="X556" i="1"/>
  <c r="X557" i="1"/>
  <c r="X558" i="1"/>
  <c r="X559" i="1"/>
  <c r="I560" i="4" s="1"/>
  <c r="X560" i="1"/>
  <c r="I561" i="4" s="1"/>
  <c r="X561" i="1"/>
  <c r="X562" i="1"/>
  <c r="I563" i="4" s="1"/>
  <c r="X563" i="1"/>
  <c r="X564" i="1"/>
  <c r="I565" i="4" s="1"/>
  <c r="X565" i="1"/>
  <c r="X566" i="1"/>
  <c r="X567" i="1"/>
  <c r="X568" i="1"/>
  <c r="X569" i="1"/>
  <c r="I570" i="4" s="1"/>
  <c r="X570" i="1"/>
  <c r="I571" i="4" s="1"/>
  <c r="X571" i="1"/>
  <c r="I572" i="4" s="1"/>
  <c r="X572" i="1"/>
  <c r="X573" i="1"/>
  <c r="X574" i="1"/>
  <c r="X575" i="1"/>
  <c r="I576" i="4" s="1"/>
  <c r="X576" i="1"/>
  <c r="X577" i="1"/>
  <c r="X578" i="1"/>
  <c r="I579" i="4" s="1"/>
  <c r="X579" i="1"/>
  <c r="I580" i="4" s="1"/>
  <c r="X580" i="1"/>
  <c r="X581" i="1"/>
  <c r="I582" i="4" s="1"/>
  <c r="X582" i="1"/>
  <c r="X583" i="1"/>
  <c r="X584" i="1"/>
  <c r="I585" i="4" s="1"/>
  <c r="X585" i="1"/>
  <c r="X586" i="1"/>
  <c r="I587" i="4" s="1"/>
  <c r="X587" i="1"/>
  <c r="X588" i="1"/>
  <c r="X589" i="1"/>
  <c r="I590" i="4" s="1"/>
  <c r="X590" i="1"/>
  <c r="X591" i="1"/>
  <c r="I592" i="4" s="1"/>
  <c r="X592" i="1"/>
  <c r="X593" i="1"/>
  <c r="I594" i="4" s="1"/>
  <c r="X594" i="1"/>
  <c r="X595" i="1"/>
  <c r="X596" i="1"/>
  <c r="X597" i="1"/>
  <c r="X598" i="1"/>
  <c r="X599" i="1"/>
  <c r="I600" i="4" s="1"/>
  <c r="X600" i="1"/>
  <c r="X2" i="1"/>
  <c r="W3" i="1"/>
  <c r="W4" i="1"/>
  <c r="W5" i="1"/>
  <c r="W6" i="1"/>
  <c r="F7" i="4" s="1"/>
  <c r="W7" i="1"/>
  <c r="W8" i="1"/>
  <c r="F9" i="4" s="1"/>
  <c r="W9" i="1"/>
  <c r="F10" i="4" s="1"/>
  <c r="W10" i="1"/>
  <c r="W11" i="1"/>
  <c r="F12" i="4" s="1"/>
  <c r="W12" i="1"/>
  <c r="W13" i="1"/>
  <c r="F14" i="4" s="1"/>
  <c r="W14" i="1"/>
  <c r="W15" i="1"/>
  <c r="W16" i="1"/>
  <c r="W17" i="1"/>
  <c r="F18" i="4" s="1"/>
  <c r="W18" i="1"/>
  <c r="W19" i="1"/>
  <c r="W20" i="1"/>
  <c r="W21" i="1"/>
  <c r="F22" i="4" s="1"/>
  <c r="W22" i="1"/>
  <c r="F23" i="4" s="1"/>
  <c r="W23" i="1"/>
  <c r="W24" i="1"/>
  <c r="F25" i="4" s="1"/>
  <c r="W25" i="1"/>
  <c r="W26" i="1"/>
  <c r="W27" i="1"/>
  <c r="W28" i="1"/>
  <c r="F29" i="4" s="1"/>
  <c r="W29" i="1"/>
  <c r="W30" i="1"/>
  <c r="F31" i="4" s="1"/>
  <c r="W31" i="1"/>
  <c r="W32" i="1"/>
  <c r="W33" i="1"/>
  <c r="F34" i="4" s="1"/>
  <c r="W34" i="1"/>
  <c r="F35" i="4" s="1"/>
  <c r="W35" i="1"/>
  <c r="F36" i="4" s="1"/>
  <c r="W36" i="1"/>
  <c r="W37" i="1"/>
  <c r="W38" i="1"/>
  <c r="F39" i="4" s="1"/>
  <c r="W39" i="1"/>
  <c r="W40" i="1"/>
  <c r="W41" i="1"/>
  <c r="F42" i="4" s="1"/>
  <c r="W42" i="1"/>
  <c r="F43" i="4" s="1"/>
  <c r="W43" i="1"/>
  <c r="W44" i="1"/>
  <c r="W45" i="1"/>
  <c r="W46" i="1"/>
  <c r="W47" i="1"/>
  <c r="F48" i="4" s="1"/>
  <c r="W48" i="1"/>
  <c r="W49" i="1"/>
  <c r="W50" i="1"/>
  <c r="F51" i="4" s="1"/>
  <c r="W51" i="1"/>
  <c r="W52" i="1"/>
  <c r="F53" i="4" s="1"/>
  <c r="W53" i="1"/>
  <c r="W54" i="1"/>
  <c r="F55" i="4" s="1"/>
  <c r="W55" i="1"/>
  <c r="W56" i="1"/>
  <c r="F57" i="4" s="1"/>
  <c r="W57" i="1"/>
  <c r="W58" i="1"/>
  <c r="F59" i="4" s="1"/>
  <c r="W59" i="1"/>
  <c r="F60" i="4" s="1"/>
  <c r="W60" i="1"/>
  <c r="F61" i="4" s="1"/>
  <c r="W61" i="1"/>
  <c r="W62" i="1"/>
  <c r="F63" i="4" s="1"/>
  <c r="W63" i="1"/>
  <c r="F64" i="4" s="1"/>
  <c r="W64" i="1"/>
  <c r="W65" i="1"/>
  <c r="F66" i="4" s="1"/>
  <c r="W66" i="1"/>
  <c r="F67" i="4" s="1"/>
  <c r="W67" i="1"/>
  <c r="F68" i="4" s="1"/>
  <c r="W68" i="1"/>
  <c r="W69" i="1"/>
  <c r="W70" i="1"/>
  <c r="F71" i="4" s="1"/>
  <c r="W71" i="1"/>
  <c r="W72" i="1"/>
  <c r="W73" i="1"/>
  <c r="W74" i="1"/>
  <c r="W75" i="1"/>
  <c r="F76" i="4" s="1"/>
  <c r="W76" i="1"/>
  <c r="F77" i="4" s="1"/>
  <c r="W77" i="1"/>
  <c r="W78" i="1"/>
  <c r="F79" i="4" s="1"/>
  <c r="W79" i="1"/>
  <c r="F80" i="4" s="1"/>
  <c r="W80" i="1"/>
  <c r="W81" i="1"/>
  <c r="W82" i="1"/>
  <c r="F83" i="4" s="1"/>
  <c r="W83" i="1"/>
  <c r="W84" i="1"/>
  <c r="F85" i="4" s="1"/>
  <c r="W85" i="1"/>
  <c r="W86" i="1"/>
  <c r="W87" i="1"/>
  <c r="W88" i="1"/>
  <c r="W89" i="1"/>
  <c r="F90" i="4" s="1"/>
  <c r="W90" i="1"/>
  <c r="W91" i="1"/>
  <c r="W92" i="1"/>
  <c r="W93" i="1"/>
  <c r="F94" i="4" s="1"/>
  <c r="W94" i="1"/>
  <c r="W95" i="1"/>
  <c r="F96" i="4" s="1"/>
  <c r="W96" i="1"/>
  <c r="W97" i="1"/>
  <c r="W98" i="1"/>
  <c r="W99" i="1"/>
  <c r="W100" i="1"/>
  <c r="W101" i="1"/>
  <c r="W102" i="1"/>
  <c r="F103" i="4" s="1"/>
  <c r="W103" i="1"/>
  <c r="F104" i="4" s="1"/>
  <c r="W104" i="1"/>
  <c r="W105" i="1"/>
  <c r="W106" i="1"/>
  <c r="F107" i="4" s="1"/>
  <c r="W107" i="1"/>
  <c r="F108" i="4" s="1"/>
  <c r="W108" i="1"/>
  <c r="W109" i="1"/>
  <c r="W110" i="1"/>
  <c r="F111" i="4" s="1"/>
  <c r="W111" i="1"/>
  <c r="W112" i="1"/>
  <c r="W113" i="1"/>
  <c r="W114" i="1"/>
  <c r="F115" i="4" s="1"/>
  <c r="W115" i="1"/>
  <c r="W116" i="1"/>
  <c r="F117" i="4" s="1"/>
  <c r="W117" i="1"/>
  <c r="F118" i="4" s="1"/>
  <c r="W118" i="1"/>
  <c r="F119" i="4" s="1"/>
  <c r="W119" i="1"/>
  <c r="W120" i="1"/>
  <c r="W121" i="1"/>
  <c r="W122" i="1"/>
  <c r="W123" i="1"/>
  <c r="F124" i="4" s="1"/>
  <c r="W124" i="1"/>
  <c r="F125" i="4" s="1"/>
  <c r="W125" i="1"/>
  <c r="F126" i="4" s="1"/>
  <c r="W126" i="1"/>
  <c r="W127" i="1"/>
  <c r="W128" i="1"/>
  <c r="W129" i="1"/>
  <c r="W130" i="1"/>
  <c r="W131" i="1"/>
  <c r="F132" i="4" s="1"/>
  <c r="W132" i="1"/>
  <c r="W133" i="1"/>
  <c r="F134" i="4" s="1"/>
  <c r="W134" i="1"/>
  <c r="W135" i="1"/>
  <c r="W136" i="1"/>
  <c r="F137" i="4" s="1"/>
  <c r="W137" i="1"/>
  <c r="F138" i="4" s="1"/>
  <c r="W138" i="1"/>
  <c r="F139" i="4" s="1"/>
  <c r="W139" i="1"/>
  <c r="F140" i="4" s="1"/>
  <c r="W140" i="1"/>
  <c r="F141" i="4" s="1"/>
  <c r="W141" i="1"/>
  <c r="W142" i="1"/>
  <c r="W143" i="1"/>
  <c r="W144" i="1"/>
  <c r="F145" i="4" s="1"/>
  <c r="W145" i="1"/>
  <c r="F146" i="4" s="1"/>
  <c r="W146" i="1"/>
  <c r="W147" i="1"/>
  <c r="W148" i="1"/>
  <c r="W149" i="1"/>
  <c r="W150" i="1"/>
  <c r="F151" i="4" s="1"/>
  <c r="W151" i="1"/>
  <c r="W152" i="1"/>
  <c r="F153" i="4" s="1"/>
  <c r="W153" i="1"/>
  <c r="W154" i="1"/>
  <c r="W155" i="1"/>
  <c r="W156" i="1"/>
  <c r="F157" i="4" s="1"/>
  <c r="W157" i="1"/>
  <c r="W158" i="1"/>
  <c r="W159" i="1"/>
  <c r="W160" i="1"/>
  <c r="W161" i="1"/>
  <c r="F162" i="4" s="1"/>
  <c r="W162" i="1"/>
  <c r="W163" i="1"/>
  <c r="W164" i="1"/>
  <c r="W165" i="1"/>
  <c r="W166" i="1"/>
  <c r="W167" i="1"/>
  <c r="W168" i="1"/>
  <c r="F169" i="4" s="1"/>
  <c r="W169" i="1"/>
  <c r="F170" i="4" s="1"/>
  <c r="W170" i="1"/>
  <c r="F171" i="4" s="1"/>
  <c r="W171" i="1"/>
  <c r="F172" i="4" s="1"/>
  <c r="W172" i="1"/>
  <c r="F173" i="4" s="1"/>
  <c r="W173" i="1"/>
  <c r="W174" i="1"/>
  <c r="F175" i="4" s="1"/>
  <c r="W175" i="1"/>
  <c r="F176" i="4" s="1"/>
  <c r="W176" i="1"/>
  <c r="W177" i="1"/>
  <c r="F178" i="4" s="1"/>
  <c r="W178" i="1"/>
  <c r="W179" i="1"/>
  <c r="W180" i="1"/>
  <c r="F181" i="4" s="1"/>
  <c r="W181" i="1"/>
  <c r="W182" i="1"/>
  <c r="W183" i="1"/>
  <c r="W184" i="1"/>
  <c r="W185" i="1"/>
  <c r="F186" i="4" s="1"/>
  <c r="W186" i="1"/>
  <c r="F187" i="4" s="1"/>
  <c r="W187" i="1"/>
  <c r="W188" i="1"/>
  <c r="W189" i="1"/>
  <c r="W190" i="1"/>
  <c r="W191" i="1"/>
  <c r="W192" i="1"/>
  <c r="F193" i="4" s="1"/>
  <c r="W193" i="1"/>
  <c r="W194" i="1"/>
  <c r="W195" i="1"/>
  <c r="F196" i="4" s="1"/>
  <c r="W196" i="1"/>
  <c r="W197" i="1"/>
  <c r="W198" i="1"/>
  <c r="W199" i="1"/>
  <c r="W200" i="1"/>
  <c r="W201" i="1"/>
  <c r="F202" i="4" s="1"/>
  <c r="W202" i="1"/>
  <c r="W203" i="1"/>
  <c r="W204" i="1"/>
  <c r="F205" i="4" s="1"/>
  <c r="W205" i="1"/>
  <c r="W206" i="1"/>
  <c r="W207" i="1"/>
  <c r="W208" i="1"/>
  <c r="W209" i="1"/>
  <c r="F210" i="4" s="1"/>
  <c r="W210" i="1"/>
  <c r="W211" i="1"/>
  <c r="F212" i="4" s="1"/>
  <c r="W212" i="1"/>
  <c r="F213" i="4" s="1"/>
  <c r="W213" i="1"/>
  <c r="W214" i="1"/>
  <c r="W215" i="1"/>
  <c r="F216" i="4" s="1"/>
  <c r="W216" i="1"/>
  <c r="W217" i="1"/>
  <c r="F218" i="4" s="1"/>
  <c r="W218" i="1"/>
  <c r="F219" i="4" s="1"/>
  <c r="W219" i="1"/>
  <c r="W220" i="1"/>
  <c r="F221" i="4" s="1"/>
  <c r="W221" i="1"/>
  <c r="W222" i="1"/>
  <c r="F223" i="4" s="1"/>
  <c r="W223" i="1"/>
  <c r="W224" i="1"/>
  <c r="F225" i="4" s="1"/>
  <c r="W225" i="1"/>
  <c r="F226" i="4" s="1"/>
  <c r="W226" i="1"/>
  <c r="F227" i="4" s="1"/>
  <c r="W227" i="1"/>
  <c r="W228" i="1"/>
  <c r="F229" i="4" s="1"/>
  <c r="W229" i="1"/>
  <c r="F230" i="4" s="1"/>
  <c r="W230" i="1"/>
  <c r="W231" i="1"/>
  <c r="F232" i="4" s="1"/>
  <c r="W232" i="1"/>
  <c r="W233" i="1"/>
  <c r="W234" i="1"/>
  <c r="F235" i="4" s="1"/>
  <c r="W235" i="1"/>
  <c r="W236" i="1"/>
  <c r="F237" i="4" s="1"/>
  <c r="W237" i="1"/>
  <c r="W238" i="1"/>
  <c r="W239" i="1"/>
  <c r="W240" i="1"/>
  <c r="F241" i="4" s="1"/>
  <c r="W241" i="1"/>
  <c r="F242" i="4" s="1"/>
  <c r="W242" i="1"/>
  <c r="F243" i="4" s="1"/>
  <c r="W243" i="1"/>
  <c r="F244" i="4" s="1"/>
  <c r="W244" i="1"/>
  <c r="W245" i="1"/>
  <c r="W246" i="1"/>
  <c r="W247" i="1"/>
  <c r="F248" i="4" s="1"/>
  <c r="W248" i="1"/>
  <c r="F249" i="4" s="1"/>
  <c r="W249" i="1"/>
  <c r="F250" i="4" s="1"/>
  <c r="W250" i="1"/>
  <c r="W251" i="1"/>
  <c r="W252" i="1"/>
  <c r="W253" i="1"/>
  <c r="W254" i="1"/>
  <c r="W255" i="1"/>
  <c r="F256" i="4" s="1"/>
  <c r="W256" i="1"/>
  <c r="W257" i="1"/>
  <c r="F258" i="4" s="1"/>
  <c r="W258" i="1"/>
  <c r="W259" i="1"/>
  <c r="F260" i="4" s="1"/>
  <c r="W260" i="1"/>
  <c r="W261" i="1"/>
  <c r="F262" i="4" s="1"/>
  <c r="W262" i="1"/>
  <c r="F263" i="4" s="1"/>
  <c r="W263" i="1"/>
  <c r="W264" i="1"/>
  <c r="W265" i="1"/>
  <c r="F266" i="4" s="1"/>
  <c r="W266" i="1"/>
  <c r="W267" i="1"/>
  <c r="W268" i="1"/>
  <c r="W269" i="1"/>
  <c r="W270" i="1"/>
  <c r="W271" i="1"/>
  <c r="F272" i="4" s="1"/>
  <c r="W272" i="1"/>
  <c r="W273" i="1"/>
  <c r="W274" i="1"/>
  <c r="F275" i="4" s="1"/>
  <c r="W275" i="1"/>
  <c r="W276" i="1"/>
  <c r="W277" i="1"/>
  <c r="F278" i="4" s="1"/>
  <c r="W278" i="1"/>
  <c r="W279" i="1"/>
  <c r="F280" i="4" s="1"/>
  <c r="W280" i="1"/>
  <c r="F281" i="4" s="1"/>
  <c r="W281" i="1"/>
  <c r="F282" i="4" s="1"/>
  <c r="W282" i="1"/>
  <c r="W283" i="1"/>
  <c r="F284" i="4" s="1"/>
  <c r="W284" i="1"/>
  <c r="W285" i="1"/>
  <c r="W286" i="1"/>
  <c r="F287" i="4" s="1"/>
  <c r="W287" i="1"/>
  <c r="F288" i="4" s="1"/>
  <c r="W288" i="1"/>
  <c r="W289" i="1"/>
  <c r="W290" i="1"/>
  <c r="F291" i="4" s="1"/>
  <c r="W291" i="1"/>
  <c r="W292" i="1"/>
  <c r="F293" i="4" s="1"/>
  <c r="W293" i="1"/>
  <c r="F294" i="4" s="1"/>
  <c r="W294" i="1"/>
  <c r="F295" i="4" s="1"/>
  <c r="W295" i="1"/>
  <c r="W296" i="1"/>
  <c r="W297" i="1"/>
  <c r="W298" i="1"/>
  <c r="W299" i="1"/>
  <c r="F300" i="4" s="1"/>
  <c r="W300" i="1"/>
  <c r="W301" i="1"/>
  <c r="F302" i="4" s="1"/>
  <c r="W302" i="1"/>
  <c r="F303" i="4" s="1"/>
  <c r="W303" i="1"/>
  <c r="F304" i="4" s="1"/>
  <c r="W304" i="1"/>
  <c r="F305" i="4" s="1"/>
  <c r="W305" i="1"/>
  <c r="W306" i="1"/>
  <c r="W307" i="1"/>
  <c r="W308" i="1"/>
  <c r="W309" i="1"/>
  <c r="F310" i="4" s="1"/>
  <c r="W310" i="1"/>
  <c r="W311" i="1"/>
  <c r="W312" i="1"/>
  <c r="F313" i="4" s="1"/>
  <c r="W313" i="1"/>
  <c r="W314" i="1"/>
  <c r="W315" i="1"/>
  <c r="W316" i="1"/>
  <c r="W317" i="1"/>
  <c r="F318" i="4" s="1"/>
  <c r="W318" i="1"/>
  <c r="W319" i="1"/>
  <c r="W320" i="1"/>
  <c r="F321" i="4" s="1"/>
  <c r="W321" i="1"/>
  <c r="W322" i="1"/>
  <c r="F323" i="4" s="1"/>
  <c r="W323" i="1"/>
  <c r="W324" i="1"/>
  <c r="W325" i="1"/>
  <c r="W326" i="1"/>
  <c r="F327" i="4" s="1"/>
  <c r="W327" i="1"/>
  <c r="W328" i="1"/>
  <c r="W329" i="1"/>
  <c r="F330" i="4" s="1"/>
  <c r="W330" i="1"/>
  <c r="F331" i="4" s="1"/>
  <c r="W331" i="1"/>
  <c r="F332" i="4" s="1"/>
  <c r="W332" i="1"/>
  <c r="F333" i="4" s="1"/>
  <c r="W333" i="1"/>
  <c r="W334" i="1"/>
  <c r="F335" i="4" s="1"/>
  <c r="W335" i="1"/>
  <c r="W336" i="1"/>
  <c r="W337" i="1"/>
  <c r="F338" i="4" s="1"/>
  <c r="W338" i="1"/>
  <c r="F339" i="4" s="1"/>
  <c r="W339" i="1"/>
  <c r="W340" i="1"/>
  <c r="F341" i="4" s="1"/>
  <c r="W341" i="1"/>
  <c r="W342" i="1"/>
  <c r="W343" i="1"/>
  <c r="W344" i="1"/>
  <c r="W345" i="1"/>
  <c r="F346" i="4" s="1"/>
  <c r="W346" i="1"/>
  <c r="W347" i="1"/>
  <c r="W348" i="1"/>
  <c r="W349" i="1"/>
  <c r="W350" i="1"/>
  <c r="F351" i="4" s="1"/>
  <c r="W351" i="1"/>
  <c r="W352" i="1"/>
  <c r="W353" i="1"/>
  <c r="F354" i="4" s="1"/>
  <c r="W354" i="1"/>
  <c r="W355" i="1"/>
  <c r="F356" i="4" s="1"/>
  <c r="W356" i="1"/>
  <c r="W357" i="1"/>
  <c r="F358" i="4" s="1"/>
  <c r="W358" i="1"/>
  <c r="F359" i="4" s="1"/>
  <c r="W359" i="1"/>
  <c r="F360" i="4" s="1"/>
  <c r="W360" i="1"/>
  <c r="W361" i="1"/>
  <c r="W362" i="1"/>
  <c r="W363" i="1"/>
  <c r="W364" i="1"/>
  <c r="F365" i="4" s="1"/>
  <c r="W365" i="1"/>
  <c r="F366" i="4" s="1"/>
  <c r="W366" i="1"/>
  <c r="W367" i="1"/>
  <c r="W368" i="1"/>
  <c r="W369" i="1"/>
  <c r="F370" i="4" s="1"/>
  <c r="W370" i="1"/>
  <c r="F371" i="4" s="1"/>
  <c r="W371" i="1"/>
  <c r="W372" i="1"/>
  <c r="W373" i="1"/>
  <c r="F374" i="4" s="1"/>
  <c r="W374" i="1"/>
  <c r="W375" i="1"/>
  <c r="F376" i="4" s="1"/>
  <c r="W376" i="1"/>
  <c r="F377" i="4" s="1"/>
  <c r="W377" i="1"/>
  <c r="F378" i="4" s="1"/>
  <c r="W378" i="1"/>
  <c r="W379" i="1"/>
  <c r="W380" i="1"/>
  <c r="W381" i="1"/>
  <c r="F382" i="4" s="1"/>
  <c r="W382" i="1"/>
  <c r="F383" i="4" s="1"/>
  <c r="W383" i="1"/>
  <c r="W384" i="1"/>
  <c r="F385" i="4" s="1"/>
  <c r="W385" i="1"/>
  <c r="W386" i="1"/>
  <c r="W387" i="1"/>
  <c r="F388" i="4" s="1"/>
  <c r="W388" i="1"/>
  <c r="W389" i="1"/>
  <c r="F390" i="4" s="1"/>
  <c r="W390" i="1"/>
  <c r="W391" i="1"/>
  <c r="W392" i="1"/>
  <c r="W393" i="1"/>
  <c r="W394" i="1"/>
  <c r="F395" i="4" s="1"/>
  <c r="W395" i="1"/>
  <c r="W396" i="1"/>
  <c r="W397" i="1"/>
  <c r="W398" i="1"/>
  <c r="F399" i="4" s="1"/>
  <c r="W399" i="1"/>
  <c r="W400" i="1"/>
  <c r="W401" i="1"/>
  <c r="W402" i="1"/>
  <c r="F403" i="4" s="1"/>
  <c r="W403" i="1"/>
  <c r="W404" i="1"/>
  <c r="W405" i="1"/>
  <c r="W406" i="1"/>
  <c r="W407" i="1"/>
  <c r="W408" i="1"/>
  <c r="W409" i="1"/>
  <c r="F410" i="4" s="1"/>
  <c r="W410" i="1"/>
  <c r="F411" i="4" s="1"/>
  <c r="W411" i="1"/>
  <c r="F412" i="4" s="1"/>
  <c r="W412" i="1"/>
  <c r="F413" i="4" s="1"/>
  <c r="W413" i="1"/>
  <c r="W414" i="1"/>
  <c r="F415" i="4" s="1"/>
  <c r="W415" i="1"/>
  <c r="W416" i="1"/>
  <c r="W417" i="1"/>
  <c r="W418" i="1"/>
  <c r="W419" i="1"/>
  <c r="W420" i="1"/>
  <c r="W421" i="1"/>
  <c r="W422" i="1"/>
  <c r="F423" i="4" s="1"/>
  <c r="W423" i="1"/>
  <c r="W424" i="1"/>
  <c r="W425" i="1"/>
  <c r="F426" i="4" s="1"/>
  <c r="W426" i="1"/>
  <c r="W427" i="1"/>
  <c r="W428" i="1"/>
  <c r="F429" i="4" s="1"/>
  <c r="W429" i="1"/>
  <c r="W430" i="1"/>
  <c r="W431" i="1"/>
  <c r="W432" i="1"/>
  <c r="W433" i="1"/>
  <c r="W434" i="1"/>
  <c r="F435" i="4" s="1"/>
  <c r="W435" i="1"/>
  <c r="W436" i="1"/>
  <c r="W437" i="1"/>
  <c r="F438" i="4" s="1"/>
  <c r="W438" i="1"/>
  <c r="W439" i="1"/>
  <c r="W440" i="1"/>
  <c r="W441" i="1"/>
  <c r="W442" i="1"/>
  <c r="W443" i="1"/>
  <c r="F444" i="4" s="1"/>
  <c r="W444" i="1"/>
  <c r="F445" i="4" s="1"/>
  <c r="W445" i="1"/>
  <c r="F446" i="4" s="1"/>
  <c r="W446" i="1"/>
  <c r="F447" i="4" s="1"/>
  <c r="W447" i="1"/>
  <c r="F448" i="4" s="1"/>
  <c r="W448" i="1"/>
  <c r="W449" i="1"/>
  <c r="W450" i="1"/>
  <c r="F451" i="4" s="1"/>
  <c r="W451" i="1"/>
  <c r="W452" i="1"/>
  <c r="F453" i="4" s="1"/>
  <c r="W453" i="1"/>
  <c r="F454" i="4" s="1"/>
  <c r="W454" i="1"/>
  <c r="F455" i="4" s="1"/>
  <c r="W455" i="1"/>
  <c r="W456" i="1"/>
  <c r="F457" i="4" s="1"/>
  <c r="W457" i="1"/>
  <c r="W458" i="1"/>
  <c r="W459" i="1"/>
  <c r="W460" i="1"/>
  <c r="F461" i="4" s="1"/>
  <c r="W461" i="1"/>
  <c r="W462" i="1"/>
  <c r="F463" i="4" s="1"/>
  <c r="W463" i="1"/>
  <c r="F464" i="4" s="1"/>
  <c r="W464" i="1"/>
  <c r="W465" i="1"/>
  <c r="F466" i="4" s="1"/>
  <c r="W466" i="1"/>
  <c r="F467" i="4" s="1"/>
  <c r="W467" i="1"/>
  <c r="F468" i="4" s="1"/>
  <c r="W468" i="1"/>
  <c r="F469" i="4" s="1"/>
  <c r="W469" i="1"/>
  <c r="W470" i="1"/>
  <c r="W471" i="1"/>
  <c r="W472" i="1"/>
  <c r="W473" i="1"/>
  <c r="W474" i="1"/>
  <c r="F475" i="4" s="1"/>
  <c r="W475" i="1"/>
  <c r="F476" i="4" s="1"/>
  <c r="W476" i="1"/>
  <c r="F477" i="4" s="1"/>
  <c r="W477" i="1"/>
  <c r="F478" i="4" s="1"/>
  <c r="W478" i="1"/>
  <c r="F479" i="4" s="1"/>
  <c r="W479" i="1"/>
  <c r="W480" i="1"/>
  <c r="W481" i="1"/>
  <c r="W482" i="1"/>
  <c r="F483" i="4" s="1"/>
  <c r="W483" i="1"/>
  <c r="W484" i="1"/>
  <c r="W485" i="1"/>
  <c r="F486" i="4" s="1"/>
  <c r="W486" i="1"/>
  <c r="W487" i="1"/>
  <c r="F488" i="4" s="1"/>
  <c r="W488" i="1"/>
  <c r="F489" i="4" s="1"/>
  <c r="W489" i="1"/>
  <c r="W490" i="1"/>
  <c r="W491" i="1"/>
  <c r="F492" i="4" s="1"/>
  <c r="W492" i="1"/>
  <c r="W493" i="1"/>
  <c r="W494" i="1"/>
  <c r="F495" i="4" s="1"/>
  <c r="W495" i="1"/>
  <c r="W496" i="1"/>
  <c r="W497" i="1"/>
  <c r="W498" i="1"/>
  <c r="W499" i="1"/>
  <c r="F500" i="4" s="1"/>
  <c r="W500" i="1"/>
  <c r="W501" i="1"/>
  <c r="F502" i="4" s="1"/>
  <c r="W502" i="1"/>
  <c r="W503" i="1"/>
  <c r="F504" i="4" s="1"/>
  <c r="W504" i="1"/>
  <c r="F505" i="4" s="1"/>
  <c r="W505" i="1"/>
  <c r="F506" i="4" s="1"/>
  <c r="W506" i="1"/>
  <c r="F507" i="4" s="1"/>
  <c r="W507" i="1"/>
  <c r="W508" i="1"/>
  <c r="W509" i="1"/>
  <c r="F510" i="4" s="1"/>
  <c r="W510" i="1"/>
  <c r="W511" i="1"/>
  <c r="F512" i="4" s="1"/>
  <c r="W512" i="1"/>
  <c r="W513" i="1"/>
  <c r="F514" i="4" s="1"/>
  <c r="W514" i="1"/>
  <c r="W515" i="1"/>
  <c r="W516" i="1"/>
  <c r="F517" i="4" s="1"/>
  <c r="W517" i="1"/>
  <c r="W518" i="1"/>
  <c r="F519" i="4" s="1"/>
  <c r="W519" i="1"/>
  <c r="F520" i="4" s="1"/>
  <c r="W520" i="1"/>
  <c r="F521" i="4" s="1"/>
  <c r="W521" i="1"/>
  <c r="W522" i="1"/>
  <c r="F523" i="4" s="1"/>
  <c r="W523" i="1"/>
  <c r="F524" i="4" s="1"/>
  <c r="W524" i="1"/>
  <c r="W525" i="1"/>
  <c r="W526" i="1"/>
  <c r="W527" i="1"/>
  <c r="W528" i="1"/>
  <c r="W529" i="1"/>
  <c r="W530" i="1"/>
  <c r="W531" i="1"/>
  <c r="F532" i="4" s="1"/>
  <c r="W532" i="1"/>
  <c r="F533" i="4" s="1"/>
  <c r="W533" i="1"/>
  <c r="W534" i="1"/>
  <c r="W535" i="1"/>
  <c r="W536" i="1"/>
  <c r="W537" i="1"/>
  <c r="W538" i="1"/>
  <c r="W539" i="1"/>
  <c r="W540" i="1"/>
  <c r="W541" i="1"/>
  <c r="F542" i="4" s="1"/>
  <c r="W542" i="1"/>
  <c r="W543" i="1"/>
  <c r="W544" i="1"/>
  <c r="W545" i="1"/>
  <c r="W546" i="1"/>
  <c r="F547" i="4" s="1"/>
  <c r="W547" i="1"/>
  <c r="F548" i="4" s="1"/>
  <c r="W548" i="1"/>
  <c r="W549" i="1"/>
  <c r="F550" i="4" s="1"/>
  <c r="W550" i="1"/>
  <c r="W551" i="1"/>
  <c r="W552" i="1"/>
  <c r="F553" i="4" s="1"/>
  <c r="W553" i="1"/>
  <c r="W554" i="1"/>
  <c r="W555" i="1"/>
  <c r="W556" i="1"/>
  <c r="W557" i="1"/>
  <c r="W558" i="1"/>
  <c r="W559" i="1"/>
  <c r="F560" i="4" s="1"/>
  <c r="W560" i="1"/>
  <c r="F561" i="4" s="1"/>
  <c r="W561" i="1"/>
  <c r="W562" i="1"/>
  <c r="F563" i="4" s="1"/>
  <c r="W563" i="1"/>
  <c r="W564" i="1"/>
  <c r="F565" i="4" s="1"/>
  <c r="W565" i="1"/>
  <c r="W566" i="1"/>
  <c r="W567" i="1"/>
  <c r="W568" i="1"/>
  <c r="W569" i="1"/>
  <c r="F570" i="4" s="1"/>
  <c r="W570" i="1"/>
  <c r="F571" i="4" s="1"/>
  <c r="W571" i="1"/>
  <c r="F572" i="4" s="1"/>
  <c r="W572" i="1"/>
  <c r="W573" i="1"/>
  <c r="W574" i="1"/>
  <c r="W575" i="1"/>
  <c r="F576" i="4" s="1"/>
  <c r="W576" i="1"/>
  <c r="W577" i="1"/>
  <c r="W578" i="1"/>
  <c r="F579" i="4" s="1"/>
  <c r="W579" i="1"/>
  <c r="F580" i="4" s="1"/>
  <c r="W580" i="1"/>
  <c r="W581" i="1"/>
  <c r="F582" i="4" s="1"/>
  <c r="W582" i="1"/>
  <c r="W583" i="1"/>
  <c r="W584" i="1"/>
  <c r="F585" i="4" s="1"/>
  <c r="W585" i="1"/>
  <c r="W586" i="1"/>
  <c r="F587" i="4" s="1"/>
  <c r="W587" i="1"/>
  <c r="W588" i="1"/>
  <c r="W589" i="1"/>
  <c r="F590" i="4" s="1"/>
  <c r="W590" i="1"/>
  <c r="W591" i="1"/>
  <c r="F592" i="4" s="1"/>
  <c r="W592" i="1"/>
  <c r="W593" i="1"/>
  <c r="F594" i="4" s="1"/>
  <c r="W594" i="1"/>
  <c r="W595" i="1"/>
  <c r="W596" i="1"/>
  <c r="W597" i="1"/>
  <c r="W598" i="1"/>
  <c r="W599" i="1"/>
  <c r="F600" i="4" s="1"/>
  <c r="W600" i="1"/>
  <c r="W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2" i="1"/>
  <c r="F564" i="4" l="1"/>
  <c r="F556" i="4"/>
  <c r="F540" i="4"/>
  <c r="F516" i="4"/>
  <c r="F484" i="4"/>
  <c r="F460" i="4"/>
  <c r="F452" i="4"/>
  <c r="F493" i="4"/>
  <c r="F436" i="4"/>
  <c r="F562" i="4"/>
  <c r="F428" i="4"/>
  <c r="F420" i="4"/>
  <c r="F408" i="4"/>
  <c r="F404" i="4"/>
  <c r="F396" i="4"/>
  <c r="F380" i="4"/>
  <c r="F340" i="4"/>
  <c r="F316" i="4"/>
  <c r="F308" i="4"/>
  <c r="F292" i="4"/>
  <c r="F537" i="4"/>
  <c r="F276" i="4"/>
  <c r="F268" i="4"/>
  <c r="F252" i="4"/>
  <c r="F228" i="4"/>
  <c r="F204" i="4"/>
  <c r="F188" i="4"/>
  <c r="F180" i="4"/>
  <c r="F164" i="4"/>
  <c r="F191" i="4"/>
  <c r="F156" i="4"/>
  <c r="F116" i="4"/>
  <c r="F100" i="4"/>
  <c r="F92" i="4"/>
  <c r="F84" i="4"/>
  <c r="F515" i="4"/>
  <c r="F485" i="4"/>
  <c r="F52" i="4"/>
  <c r="F322" i="4"/>
  <c r="F44" i="4"/>
  <c r="F93" i="4"/>
  <c r="F28" i="4"/>
  <c r="F20" i="4"/>
  <c r="F347" i="4"/>
  <c r="F152" i="4"/>
  <c r="F4" i="4"/>
  <c r="I595" i="4"/>
  <c r="I555" i="4"/>
  <c r="I539" i="4"/>
  <c r="I531" i="4"/>
  <c r="I593" i="4"/>
  <c r="I499" i="4"/>
  <c r="I491" i="4"/>
  <c r="I459" i="4"/>
  <c r="I443" i="4"/>
  <c r="I427" i="4"/>
  <c r="I419" i="4"/>
  <c r="I387" i="4"/>
  <c r="I379" i="4"/>
  <c r="I364" i="4"/>
  <c r="I363" i="4"/>
  <c r="I567" i="4"/>
  <c r="I315" i="4"/>
  <c r="I481" i="4"/>
  <c r="I307" i="4"/>
  <c r="I326" i="4"/>
  <c r="I299" i="4"/>
  <c r="I283" i="4"/>
  <c r="I267" i="4"/>
  <c r="I361" i="4"/>
  <c r="I203" i="4"/>
  <c r="I290" i="4"/>
  <c r="I179" i="4"/>
  <c r="I163" i="4"/>
  <c r="I588" i="4"/>
  <c r="I155" i="4"/>
  <c r="I147" i="4"/>
  <c r="I99" i="4"/>
  <c r="I91" i="4"/>
  <c r="I75" i="4"/>
  <c r="I19" i="4"/>
  <c r="I11" i="4"/>
  <c r="I123" i="4"/>
  <c r="L530" i="4"/>
  <c r="L314" i="4"/>
  <c r="L298" i="4"/>
  <c r="L470" i="4"/>
  <c r="L251" i="4"/>
  <c r="L194" i="4"/>
  <c r="L130" i="4"/>
  <c r="L324" i="4"/>
  <c r="L581" i="4"/>
  <c r="L98" i="4"/>
  <c r="L552" i="4"/>
  <c r="L551" i="4"/>
  <c r="L58" i="4"/>
  <c r="L62" i="4"/>
  <c r="L50" i="4"/>
  <c r="AC27" i="1"/>
  <c r="S28" i="4" s="1"/>
  <c r="R28" i="4"/>
  <c r="AC117" i="1"/>
  <c r="S118" i="4" s="1"/>
  <c r="R118" i="4"/>
  <c r="AC222" i="1"/>
  <c r="S223" i="4" s="1"/>
  <c r="R223" i="4"/>
  <c r="AC319" i="1"/>
  <c r="R320" i="4"/>
  <c r="R501" i="4"/>
  <c r="AC448" i="1"/>
  <c r="S449" i="4" s="1"/>
  <c r="R449" i="4"/>
  <c r="AC4" i="1"/>
  <c r="S5" i="4" s="1"/>
  <c r="R5" i="4"/>
  <c r="AC86" i="1"/>
  <c r="R148" i="4"/>
  <c r="R87" i="4"/>
  <c r="AC118" i="1"/>
  <c r="S119" i="4" s="1"/>
  <c r="R119" i="4"/>
  <c r="AC320" i="1"/>
  <c r="S321" i="4" s="1"/>
  <c r="R321" i="4"/>
  <c r="AC384" i="1"/>
  <c r="S385" i="4" s="1"/>
  <c r="R385" i="4"/>
  <c r="AC21" i="1"/>
  <c r="S22" i="4" s="1"/>
  <c r="R22" i="4"/>
  <c r="AC46" i="1"/>
  <c r="R47" i="4"/>
  <c r="R522" i="4"/>
  <c r="AC79" i="1"/>
  <c r="S80" i="4" s="1"/>
  <c r="R80" i="4"/>
  <c r="AC111" i="1"/>
  <c r="S112" i="4" s="1"/>
  <c r="R112" i="4"/>
  <c r="AC136" i="1"/>
  <c r="S137" i="4" s="1"/>
  <c r="R137" i="4"/>
  <c r="AC168" i="1"/>
  <c r="S169" i="4" s="1"/>
  <c r="R169" i="4"/>
  <c r="AC200" i="1"/>
  <c r="S201" i="4" s="1"/>
  <c r="R201" i="4"/>
  <c r="AC498" i="1"/>
  <c r="R593" i="4"/>
  <c r="R499" i="4"/>
  <c r="AC538" i="1"/>
  <c r="S539" i="4" s="1"/>
  <c r="R539" i="4"/>
  <c r="AC570" i="1"/>
  <c r="S571" i="4" s="1"/>
  <c r="R571" i="4"/>
  <c r="AC6" i="1"/>
  <c r="S7" i="4" s="1"/>
  <c r="R7" i="4"/>
  <c r="AC209" i="1"/>
  <c r="S210" i="4" s="1"/>
  <c r="R210" i="4"/>
  <c r="AC241" i="1"/>
  <c r="S242" i="4" s="1"/>
  <c r="R242" i="4"/>
  <c r="AC274" i="1"/>
  <c r="S275" i="4" s="1"/>
  <c r="R275" i="4"/>
  <c r="AC370" i="1"/>
  <c r="S371" i="4" s="1"/>
  <c r="R371" i="4"/>
  <c r="AC402" i="1"/>
  <c r="S403" i="4" s="1"/>
  <c r="R403" i="4"/>
  <c r="AC459" i="1"/>
  <c r="S460" i="4" s="1"/>
  <c r="R460" i="4"/>
  <c r="AC491" i="1"/>
  <c r="S492" i="4" s="1"/>
  <c r="R492" i="4"/>
  <c r="AC531" i="1"/>
  <c r="S532" i="4" s="1"/>
  <c r="R532" i="4"/>
  <c r="AC563" i="1"/>
  <c r="S564" i="4" s="1"/>
  <c r="R564" i="4"/>
  <c r="AC121" i="1"/>
  <c r="S122" i="4" s="1"/>
  <c r="R122" i="4"/>
  <c r="AC186" i="1"/>
  <c r="S187" i="4" s="1"/>
  <c r="R187" i="4"/>
  <c r="AC275" i="1"/>
  <c r="R537" i="4"/>
  <c r="R276" i="4"/>
  <c r="AC307" i="1"/>
  <c r="S308" i="4" s="1"/>
  <c r="R308" i="4"/>
  <c r="AC355" i="1"/>
  <c r="S356" i="4" s="1"/>
  <c r="R356" i="4"/>
  <c r="AC49" i="1"/>
  <c r="R50" i="4"/>
  <c r="R62" i="4"/>
  <c r="AC155" i="1"/>
  <c r="R156" i="4"/>
  <c r="R191" i="4"/>
  <c r="AC187" i="1"/>
  <c r="S188" i="4" s="1"/>
  <c r="R188" i="4"/>
  <c r="AC227" i="1"/>
  <c r="S228" i="4" s="1"/>
  <c r="R228" i="4"/>
  <c r="AC268" i="1"/>
  <c r="S269" i="4" s="1"/>
  <c r="R269" i="4"/>
  <c r="AC300" i="1"/>
  <c r="S301" i="4" s="1"/>
  <c r="R301" i="4"/>
  <c r="AC501" i="1"/>
  <c r="S502" i="4" s="1"/>
  <c r="R502" i="4"/>
  <c r="AC533" i="1"/>
  <c r="S534" i="4" s="1"/>
  <c r="R534" i="4"/>
  <c r="AC565" i="1"/>
  <c r="S566" i="4" s="1"/>
  <c r="R566" i="4"/>
  <c r="AC17" i="1"/>
  <c r="S18" i="4" s="1"/>
  <c r="R18" i="4"/>
  <c r="AC50" i="1"/>
  <c r="S51" i="4" s="1"/>
  <c r="R51" i="4"/>
  <c r="AC107" i="1"/>
  <c r="S108" i="4" s="1"/>
  <c r="R108" i="4"/>
  <c r="AC582" i="1"/>
  <c r="S583" i="4" s="1"/>
  <c r="R583" i="4"/>
  <c r="AC84" i="1"/>
  <c r="S85" i="4" s="1"/>
  <c r="R85" i="4"/>
  <c r="AC157" i="1"/>
  <c r="R158" i="4"/>
  <c r="R259" i="4"/>
  <c r="AC278" i="1"/>
  <c r="S279" i="4" s="1"/>
  <c r="R279" i="4"/>
  <c r="AC310" i="1"/>
  <c r="S311" i="4" s="1"/>
  <c r="R311" i="4"/>
  <c r="AC342" i="1"/>
  <c r="S343" i="4" s="1"/>
  <c r="R343" i="4"/>
  <c r="F539" i="4"/>
  <c r="F531" i="4"/>
  <c r="F491" i="4"/>
  <c r="F567" i="4"/>
  <c r="F315" i="4"/>
  <c r="F481" i="4"/>
  <c r="F307" i="4"/>
  <c r="F326" i="4"/>
  <c r="F299" i="4"/>
  <c r="F283" i="4"/>
  <c r="F267" i="4"/>
  <c r="F361" i="4"/>
  <c r="F203" i="4"/>
  <c r="F290" i="4"/>
  <c r="F179" i="4"/>
  <c r="F163" i="4"/>
  <c r="F155" i="4"/>
  <c r="F588" i="4"/>
  <c r="F147" i="4"/>
  <c r="F99" i="4"/>
  <c r="F91" i="4"/>
  <c r="F75" i="4"/>
  <c r="F19" i="4"/>
  <c r="F123" i="4"/>
  <c r="F11" i="4"/>
  <c r="I3" i="4"/>
  <c r="I554" i="4"/>
  <c r="I546" i="4"/>
  <c r="I538" i="4"/>
  <c r="I498" i="4"/>
  <c r="I490" i="4"/>
  <c r="I482" i="4"/>
  <c r="I474" i="4"/>
  <c r="I458" i="4"/>
  <c r="I450" i="4"/>
  <c r="I442" i="4"/>
  <c r="I394" i="4"/>
  <c r="I386" i="4"/>
  <c r="I362" i="4"/>
  <c r="I314" i="4"/>
  <c r="I530" i="4"/>
  <c r="I306" i="4"/>
  <c r="I470" i="4"/>
  <c r="I298" i="4"/>
  <c r="I274" i="4"/>
  <c r="I234" i="4"/>
  <c r="I194" i="4"/>
  <c r="I251" i="4"/>
  <c r="I154" i="4"/>
  <c r="I324" i="4"/>
  <c r="I581" i="4"/>
  <c r="I130" i="4"/>
  <c r="I122" i="4"/>
  <c r="I114" i="4"/>
  <c r="I106" i="4"/>
  <c r="I552" i="4"/>
  <c r="I98" i="4"/>
  <c r="I82" i="4"/>
  <c r="I74" i="4"/>
  <c r="I58" i="4"/>
  <c r="I551" i="4"/>
  <c r="I50" i="4"/>
  <c r="I62" i="4"/>
  <c r="I26" i="4"/>
  <c r="L569" i="4"/>
  <c r="L578" i="4"/>
  <c r="L497" i="4"/>
  <c r="L525" i="4"/>
  <c r="L598" i="4"/>
  <c r="L409" i="4"/>
  <c r="L414" i="4"/>
  <c r="L440" i="4"/>
  <c r="L353" i="4"/>
  <c r="L355" i="4"/>
  <c r="L575" i="4"/>
  <c r="L337" i="4"/>
  <c r="L418" i="4"/>
  <c r="L297" i="4"/>
  <c r="L233" i="4"/>
  <c r="L236" i="4"/>
  <c r="L211" i="4"/>
  <c r="L129" i="4"/>
  <c r="L508" i="4"/>
  <c r="L224" i="4"/>
  <c r="L97" i="4"/>
  <c r="L393" i="4"/>
  <c r="L89" i="4"/>
  <c r="L368" i="4"/>
  <c r="L49" i="4"/>
  <c r="L195" i="4"/>
  <c r="L41" i="4"/>
  <c r="L372" i="4"/>
  <c r="L197" i="4"/>
  <c r="L33" i="4"/>
  <c r="AC3" i="1"/>
  <c r="R152" i="4"/>
  <c r="R4" i="4"/>
  <c r="AC60" i="1"/>
  <c r="S61" i="4" s="1"/>
  <c r="R61" i="4"/>
  <c r="AC93" i="1"/>
  <c r="S94" i="4" s="1"/>
  <c r="R94" i="4"/>
  <c r="AC158" i="1"/>
  <c r="S159" i="4" s="1"/>
  <c r="R159" i="4"/>
  <c r="AC262" i="1"/>
  <c r="S263" i="4" s="1"/>
  <c r="R263" i="4"/>
  <c r="AC295" i="1"/>
  <c r="S296" i="4" s="1"/>
  <c r="R296" i="4"/>
  <c r="AC375" i="1"/>
  <c r="S376" i="4" s="1"/>
  <c r="R376" i="4"/>
  <c r="AC504" i="1"/>
  <c r="S505" i="4" s="1"/>
  <c r="R505" i="4"/>
  <c r="AC552" i="1"/>
  <c r="S553" i="4" s="1"/>
  <c r="R553" i="4"/>
  <c r="AC62" i="1"/>
  <c r="S63" i="4" s="1"/>
  <c r="R63" i="4"/>
  <c r="AC167" i="1"/>
  <c r="R168" i="4"/>
  <c r="R265" i="4"/>
  <c r="AC191" i="1"/>
  <c r="S192" i="4" s="1"/>
  <c r="R192" i="4"/>
  <c r="AC231" i="1"/>
  <c r="S232" i="4" s="1"/>
  <c r="R232" i="4"/>
  <c r="AC263" i="1"/>
  <c r="S264" i="4" s="1"/>
  <c r="R264" i="4"/>
  <c r="AC425" i="1"/>
  <c r="S426" i="4" s="1"/>
  <c r="R426" i="4"/>
  <c r="AC465" i="1"/>
  <c r="S466" i="4" s="1"/>
  <c r="R466" i="4"/>
  <c r="AC497" i="1"/>
  <c r="S498" i="4" s="1"/>
  <c r="R498" i="4"/>
  <c r="AC545" i="1"/>
  <c r="S546" i="4" s="1"/>
  <c r="R546" i="4"/>
  <c r="AC2" i="1"/>
  <c r="S3" i="4" s="1"/>
  <c r="R3" i="4"/>
  <c r="AC240" i="1"/>
  <c r="S241" i="4" s="1"/>
  <c r="R241" i="4"/>
  <c r="AC329" i="1"/>
  <c r="S330" i="4" s="1"/>
  <c r="R330" i="4"/>
  <c r="AC361" i="1"/>
  <c r="S362" i="4" s="1"/>
  <c r="R362" i="4"/>
  <c r="AC393" i="1"/>
  <c r="S394" i="4" s="1"/>
  <c r="R394" i="4"/>
  <c r="AC442" i="1"/>
  <c r="S443" i="4" s="1"/>
  <c r="R443" i="4"/>
  <c r="AC474" i="1"/>
  <c r="S475" i="4" s="1"/>
  <c r="R475" i="4"/>
  <c r="AC39" i="1"/>
  <c r="S40" i="4" s="1"/>
  <c r="R40" i="4"/>
  <c r="AC72" i="1"/>
  <c r="S73" i="4" s="1"/>
  <c r="R73" i="4"/>
  <c r="AC96" i="1"/>
  <c r="R97" i="4"/>
  <c r="R224" i="4"/>
  <c r="AC153" i="1"/>
  <c r="S154" i="4" s="1"/>
  <c r="R154" i="4"/>
  <c r="AC185" i="1"/>
  <c r="S186" i="4" s="1"/>
  <c r="R186" i="4"/>
  <c r="AC330" i="1"/>
  <c r="S331" i="4" s="1"/>
  <c r="R331" i="4"/>
  <c r="AC435" i="1"/>
  <c r="S436" i="4" s="1"/>
  <c r="R436" i="4"/>
  <c r="AC15" i="1"/>
  <c r="R16" i="4"/>
  <c r="R344" i="4"/>
  <c r="AC65" i="1"/>
  <c r="S66" i="4" s="1"/>
  <c r="R66" i="4"/>
  <c r="AC162" i="1"/>
  <c r="S163" i="4" s="1"/>
  <c r="R163" i="4"/>
  <c r="AC234" i="1"/>
  <c r="S235" i="4" s="1"/>
  <c r="R235" i="4"/>
  <c r="AC403" i="1"/>
  <c r="R408" i="4"/>
  <c r="R404" i="4"/>
  <c r="AC436" i="1"/>
  <c r="S437" i="4" s="1"/>
  <c r="R437" i="4"/>
  <c r="AC468" i="1"/>
  <c r="S469" i="4" s="1"/>
  <c r="R469" i="4"/>
  <c r="AC532" i="1"/>
  <c r="S533" i="4" s="1"/>
  <c r="R533" i="4"/>
  <c r="AC564" i="1"/>
  <c r="S565" i="4" s="1"/>
  <c r="R565" i="4"/>
  <c r="AC24" i="1"/>
  <c r="S25" i="4" s="1"/>
  <c r="R25" i="4"/>
  <c r="AC82" i="1"/>
  <c r="S83" i="4" s="1"/>
  <c r="R83" i="4"/>
  <c r="AC114" i="1"/>
  <c r="S115" i="4" s="1"/>
  <c r="R115" i="4"/>
  <c r="AC332" i="1"/>
  <c r="S333" i="4" s="1"/>
  <c r="R333" i="4"/>
  <c r="AC372" i="1"/>
  <c r="S373" i="4" s="1"/>
  <c r="R373" i="4"/>
  <c r="AC404" i="1"/>
  <c r="S405" i="4" s="1"/>
  <c r="R405" i="4"/>
  <c r="AC437" i="1"/>
  <c r="S438" i="4" s="1"/>
  <c r="R438" i="4"/>
  <c r="AC477" i="1"/>
  <c r="S478" i="4" s="1"/>
  <c r="R478" i="4"/>
  <c r="AC140" i="1"/>
  <c r="S141" i="4" s="1"/>
  <c r="R141" i="4"/>
  <c r="AC172" i="1"/>
  <c r="S173" i="4" s="1"/>
  <c r="R173" i="4"/>
  <c r="AC212" i="1"/>
  <c r="S213" i="4" s="1"/>
  <c r="R213" i="4"/>
  <c r="AC269" i="1"/>
  <c r="S270" i="4" s="1"/>
  <c r="R270" i="4"/>
  <c r="AC301" i="1"/>
  <c r="S302" i="4" s="1"/>
  <c r="R302" i="4"/>
  <c r="AC341" i="1"/>
  <c r="S342" i="4" s="1"/>
  <c r="R342" i="4"/>
  <c r="AC381" i="1"/>
  <c r="S382" i="4" s="1"/>
  <c r="R382" i="4"/>
  <c r="AC422" i="1"/>
  <c r="S423" i="4" s="1"/>
  <c r="R423" i="4"/>
  <c r="AC454" i="1"/>
  <c r="S455" i="4" s="1"/>
  <c r="R455" i="4"/>
  <c r="AC486" i="1"/>
  <c r="S487" i="4" s="1"/>
  <c r="R487" i="4"/>
  <c r="AC534" i="1"/>
  <c r="S535" i="4" s="1"/>
  <c r="R535" i="4"/>
  <c r="AC35" i="1"/>
  <c r="S36" i="4" s="1"/>
  <c r="R36" i="4"/>
  <c r="AC59" i="1"/>
  <c r="S60" i="4" s="1"/>
  <c r="R60" i="4"/>
  <c r="AC124" i="1"/>
  <c r="S125" i="4" s="1"/>
  <c r="R125" i="4"/>
  <c r="AC189" i="1"/>
  <c r="R220" i="4"/>
  <c r="R190" i="4"/>
  <c r="AC213" i="1"/>
  <c r="R214" i="4"/>
  <c r="R596" i="4"/>
  <c r="AC382" i="1"/>
  <c r="S383" i="4" s="1"/>
  <c r="R383" i="4"/>
  <c r="AC414" i="1"/>
  <c r="S415" i="4" s="1"/>
  <c r="R415" i="4"/>
  <c r="AC463" i="1"/>
  <c r="S464" i="4" s="1"/>
  <c r="R464" i="4"/>
  <c r="AC495" i="1"/>
  <c r="S496" i="4" s="1"/>
  <c r="R496" i="4"/>
  <c r="AC527" i="1"/>
  <c r="S528" i="4" s="1"/>
  <c r="R528" i="4"/>
  <c r="AC567" i="1"/>
  <c r="S568" i="4" s="1"/>
  <c r="R568" i="4"/>
  <c r="AC456" i="1"/>
  <c r="S457" i="4" s="1"/>
  <c r="R457" i="4"/>
  <c r="F595" i="4"/>
  <c r="F555" i="4"/>
  <c r="F593" i="4"/>
  <c r="F499" i="4"/>
  <c r="F427" i="4"/>
  <c r="F379" i="4"/>
  <c r="F363" i="4"/>
  <c r="F364" i="4"/>
  <c r="F3" i="4"/>
  <c r="F554" i="4"/>
  <c r="F546" i="4"/>
  <c r="F538" i="4"/>
  <c r="F498" i="4"/>
  <c r="F490" i="4"/>
  <c r="F482" i="4"/>
  <c r="F474" i="4"/>
  <c r="F458" i="4"/>
  <c r="F450" i="4"/>
  <c r="F442" i="4"/>
  <c r="F394" i="4"/>
  <c r="F386" i="4"/>
  <c r="F362" i="4"/>
  <c r="F314" i="4"/>
  <c r="F530" i="4"/>
  <c r="F306" i="4"/>
  <c r="F470" i="4"/>
  <c r="F298" i="4"/>
  <c r="F274" i="4"/>
  <c r="F234" i="4"/>
  <c r="F194" i="4"/>
  <c r="F251" i="4"/>
  <c r="F154" i="4"/>
  <c r="F130" i="4"/>
  <c r="F324" i="4"/>
  <c r="F581" i="4"/>
  <c r="F122" i="4"/>
  <c r="F114" i="4"/>
  <c r="F106" i="4"/>
  <c r="F552" i="4"/>
  <c r="F98" i="4"/>
  <c r="F82" i="4"/>
  <c r="F74" i="4"/>
  <c r="F551" i="4"/>
  <c r="F58" i="4"/>
  <c r="F62" i="4"/>
  <c r="F50" i="4"/>
  <c r="F26" i="4"/>
  <c r="I601" i="4"/>
  <c r="I577" i="4"/>
  <c r="I569" i="4"/>
  <c r="I578" i="4"/>
  <c r="I529" i="4"/>
  <c r="I513" i="4"/>
  <c r="I525" i="4"/>
  <c r="I497" i="4"/>
  <c r="I473" i="4"/>
  <c r="I449" i="4"/>
  <c r="I441" i="4"/>
  <c r="I425" i="4"/>
  <c r="I417" i="4"/>
  <c r="I598" i="4"/>
  <c r="I409" i="4"/>
  <c r="I401" i="4"/>
  <c r="I369" i="4"/>
  <c r="I414" i="4"/>
  <c r="I440" i="4"/>
  <c r="I353" i="4"/>
  <c r="I355" i="4"/>
  <c r="I575" i="4"/>
  <c r="I337" i="4"/>
  <c r="I329" i="4"/>
  <c r="I297" i="4"/>
  <c r="I418" i="4"/>
  <c r="I289" i="4"/>
  <c r="I273" i="4"/>
  <c r="I236" i="4"/>
  <c r="I233" i="4"/>
  <c r="I209" i="4"/>
  <c r="I201" i="4"/>
  <c r="I185" i="4"/>
  <c r="I177" i="4"/>
  <c r="I161" i="4"/>
  <c r="I508" i="4"/>
  <c r="I129" i="4"/>
  <c r="I211" i="4"/>
  <c r="I121" i="4"/>
  <c r="I113" i="4"/>
  <c r="I105" i="4"/>
  <c r="I224" i="4"/>
  <c r="I97" i="4"/>
  <c r="I89" i="4"/>
  <c r="I393" i="4"/>
  <c r="I81" i="4"/>
  <c r="I73" i="4"/>
  <c r="I65" i="4"/>
  <c r="I49" i="4"/>
  <c r="I368" i="4"/>
  <c r="I41" i="4"/>
  <c r="I372" i="4"/>
  <c r="I195" i="4"/>
  <c r="I197" i="4"/>
  <c r="I33" i="4"/>
  <c r="I17" i="4"/>
  <c r="L416" i="4"/>
  <c r="L589" i="4"/>
  <c r="L375" i="4"/>
  <c r="L336" i="4"/>
  <c r="L320" i="4"/>
  <c r="L501" i="4"/>
  <c r="L184" i="4"/>
  <c r="L433" i="4"/>
  <c r="L434" i="4"/>
  <c r="L168" i="4"/>
  <c r="L265" i="4"/>
  <c r="L143" i="4"/>
  <c r="L32" i="4"/>
  <c r="L16" i="4"/>
  <c r="L344" i="4"/>
  <c r="AC125" i="1"/>
  <c r="S126" i="4" s="1"/>
  <c r="R126" i="4"/>
  <c r="AC198" i="1"/>
  <c r="R199" i="4"/>
  <c r="R349" i="4"/>
  <c r="AC230" i="1"/>
  <c r="S231" i="4" s="1"/>
  <c r="R231" i="4"/>
  <c r="AC327" i="1"/>
  <c r="S328" i="4" s="1"/>
  <c r="R328" i="4"/>
  <c r="AC415" i="1"/>
  <c r="R416" i="4"/>
  <c r="R589" i="4"/>
  <c r="AC472" i="1"/>
  <c r="S473" i="4" s="1"/>
  <c r="R473" i="4"/>
  <c r="AC37" i="1"/>
  <c r="R38" i="4"/>
  <c r="R584" i="4"/>
  <c r="AC94" i="1"/>
  <c r="S95" i="4" s="1"/>
  <c r="R95" i="4"/>
  <c r="AC127" i="1"/>
  <c r="S128" i="4" s="1"/>
  <c r="R128" i="4"/>
  <c r="AC296" i="1"/>
  <c r="R297" i="4"/>
  <c r="R418" i="4"/>
  <c r="AC328" i="1"/>
  <c r="S329" i="4" s="1"/>
  <c r="R329" i="4"/>
  <c r="AC352" i="1"/>
  <c r="R353" i="4"/>
  <c r="R355" i="4"/>
  <c r="R414" i="4"/>
  <c r="R440" i="4"/>
  <c r="AC400" i="1"/>
  <c r="S401" i="4" s="1"/>
  <c r="R401" i="4"/>
  <c r="AC54" i="1"/>
  <c r="S55" i="4" s="1"/>
  <c r="R55" i="4"/>
  <c r="AC87" i="1"/>
  <c r="S88" i="4" s="1"/>
  <c r="R88" i="4"/>
  <c r="AC119" i="1"/>
  <c r="S120" i="4" s="1"/>
  <c r="R120" i="4"/>
  <c r="AC144" i="1"/>
  <c r="S145" i="4" s="1"/>
  <c r="R145" i="4"/>
  <c r="AC176" i="1"/>
  <c r="S177" i="4" s="1"/>
  <c r="R177" i="4"/>
  <c r="AC208" i="1"/>
  <c r="S209" i="4" s="1"/>
  <c r="R209" i="4"/>
  <c r="AC297" i="1"/>
  <c r="R470" i="4"/>
  <c r="R298" i="4"/>
  <c r="AC506" i="1"/>
  <c r="S507" i="4" s="1"/>
  <c r="R507" i="4"/>
  <c r="AC546" i="1"/>
  <c r="S547" i="4" s="1"/>
  <c r="R547" i="4"/>
  <c r="AC578" i="1"/>
  <c r="S579" i="4" s="1"/>
  <c r="R579" i="4"/>
  <c r="AC14" i="1"/>
  <c r="S15" i="4" s="1"/>
  <c r="R15" i="4"/>
  <c r="AC217" i="1"/>
  <c r="S218" i="4" s="1"/>
  <c r="R218" i="4"/>
  <c r="AC249" i="1"/>
  <c r="S250" i="4" s="1"/>
  <c r="R250" i="4"/>
  <c r="AC282" i="1"/>
  <c r="S283" i="4" s="1"/>
  <c r="R283" i="4"/>
  <c r="AC306" i="1"/>
  <c r="R481" i="4"/>
  <c r="R307" i="4"/>
  <c r="AC378" i="1"/>
  <c r="S379" i="4" s="1"/>
  <c r="R379" i="4"/>
  <c r="AC410" i="1"/>
  <c r="S411" i="4" s="1"/>
  <c r="R411" i="4"/>
  <c r="AC467" i="1"/>
  <c r="S468" i="4" s="1"/>
  <c r="R468" i="4"/>
  <c r="AC499" i="1"/>
  <c r="S500" i="4" s="1"/>
  <c r="R500" i="4"/>
  <c r="AC539" i="1"/>
  <c r="S540" i="4" s="1"/>
  <c r="R540" i="4"/>
  <c r="AC571" i="1"/>
  <c r="S572" i="4" s="1"/>
  <c r="R572" i="4"/>
  <c r="AC40" i="1"/>
  <c r="R41" i="4"/>
  <c r="R195" i="4"/>
  <c r="R372" i="4"/>
  <c r="AC97" i="1"/>
  <c r="R98" i="4"/>
  <c r="R552" i="4"/>
  <c r="AC138" i="1"/>
  <c r="S139" i="4" s="1"/>
  <c r="R139" i="4"/>
  <c r="AC283" i="1"/>
  <c r="S284" i="4" s="1"/>
  <c r="R284" i="4"/>
  <c r="AC315" i="1"/>
  <c r="S316" i="4" s="1"/>
  <c r="R316" i="4"/>
  <c r="AC379" i="1"/>
  <c r="S380" i="4" s="1"/>
  <c r="R380" i="4"/>
  <c r="AC163" i="1"/>
  <c r="S164" i="4" s="1"/>
  <c r="R164" i="4"/>
  <c r="AC195" i="1"/>
  <c r="S196" i="4" s="1"/>
  <c r="R196" i="4"/>
  <c r="AC243" i="1"/>
  <c r="S244" i="4" s="1"/>
  <c r="R244" i="4"/>
  <c r="AC276" i="1"/>
  <c r="S277" i="4" s="1"/>
  <c r="R277" i="4"/>
  <c r="AC308" i="1"/>
  <c r="S309" i="4" s="1"/>
  <c r="R309" i="4"/>
  <c r="AC509" i="1"/>
  <c r="S510" i="4" s="1"/>
  <c r="R510" i="4"/>
  <c r="AC541" i="1"/>
  <c r="S542" i="4" s="1"/>
  <c r="R542" i="4"/>
  <c r="AC581" i="1"/>
  <c r="S582" i="4" s="1"/>
  <c r="R582" i="4"/>
  <c r="AC25" i="1"/>
  <c r="S26" i="4" s="1"/>
  <c r="R26" i="4"/>
  <c r="AC58" i="1"/>
  <c r="S59" i="4" s="1"/>
  <c r="R59" i="4"/>
  <c r="AC83" i="1"/>
  <c r="R84" i="4"/>
  <c r="R485" i="4"/>
  <c r="R515" i="4"/>
  <c r="AC115" i="1"/>
  <c r="S116" i="4" s="1"/>
  <c r="R116" i="4"/>
  <c r="AC244" i="1"/>
  <c r="R245" i="4"/>
  <c r="R257" i="4"/>
  <c r="AC590" i="1"/>
  <c r="S591" i="4" s="1"/>
  <c r="R591" i="4"/>
  <c r="AC165" i="1"/>
  <c r="S166" i="4" s="1"/>
  <c r="R166" i="4"/>
  <c r="AC237" i="1"/>
  <c r="R254" i="4"/>
  <c r="R238" i="4"/>
  <c r="R527" i="4"/>
  <c r="AC286" i="1"/>
  <c r="S287" i="4" s="1"/>
  <c r="R287" i="4"/>
  <c r="AC318" i="1"/>
  <c r="S319" i="4" s="1"/>
  <c r="R319" i="4"/>
  <c r="AC350" i="1"/>
  <c r="S351" i="4" s="1"/>
  <c r="R351" i="4"/>
  <c r="F459" i="4"/>
  <c r="F443" i="4"/>
  <c r="F387" i="4"/>
  <c r="F601" i="4"/>
  <c r="F577" i="4"/>
  <c r="F569" i="4"/>
  <c r="F578" i="4"/>
  <c r="F529" i="4"/>
  <c r="F513" i="4"/>
  <c r="F497" i="4"/>
  <c r="F525" i="4"/>
  <c r="F473" i="4"/>
  <c r="F449" i="4"/>
  <c r="F441" i="4"/>
  <c r="F425" i="4"/>
  <c r="F417" i="4"/>
  <c r="F598" i="4"/>
  <c r="F409" i="4"/>
  <c r="F401" i="4"/>
  <c r="F369" i="4"/>
  <c r="F414" i="4"/>
  <c r="F440" i="4"/>
  <c r="F353" i="4"/>
  <c r="F355" i="4"/>
  <c r="F575" i="4"/>
  <c r="F337" i="4"/>
  <c r="F329" i="4"/>
  <c r="F297" i="4"/>
  <c r="F418" i="4"/>
  <c r="F289" i="4"/>
  <c r="F273" i="4"/>
  <c r="F233" i="4"/>
  <c r="F236" i="4"/>
  <c r="F209" i="4"/>
  <c r="F201" i="4"/>
  <c r="F185" i="4"/>
  <c r="F177" i="4"/>
  <c r="F161" i="4"/>
  <c r="F129" i="4"/>
  <c r="F211" i="4"/>
  <c r="F508" i="4"/>
  <c r="F121" i="4"/>
  <c r="F113" i="4"/>
  <c r="F105" i="4"/>
  <c r="F224" i="4"/>
  <c r="F97" i="4"/>
  <c r="F89" i="4"/>
  <c r="F393" i="4"/>
  <c r="F81" i="4"/>
  <c r="F73" i="4"/>
  <c r="F65" i="4"/>
  <c r="F368" i="4"/>
  <c r="F49" i="4"/>
  <c r="F41" i="4"/>
  <c r="F195" i="4"/>
  <c r="F372" i="4"/>
  <c r="F33" i="4"/>
  <c r="F197" i="4"/>
  <c r="F17" i="4"/>
  <c r="I568" i="4"/>
  <c r="I544" i="4"/>
  <c r="I536" i="4"/>
  <c r="I528" i="4"/>
  <c r="I496" i="4"/>
  <c r="I480" i="4"/>
  <c r="I472" i="4"/>
  <c r="I432" i="4"/>
  <c r="I424" i="4"/>
  <c r="I589" i="4"/>
  <c r="I416" i="4"/>
  <c r="I400" i="4"/>
  <c r="I392" i="4"/>
  <c r="I384" i="4"/>
  <c r="I375" i="4"/>
  <c r="I336" i="4"/>
  <c r="I328" i="4"/>
  <c r="I501" i="4"/>
  <c r="I320" i="4"/>
  <c r="I312" i="4"/>
  <c r="I296" i="4"/>
  <c r="I264" i="4"/>
  <c r="I240" i="4"/>
  <c r="I208" i="4"/>
  <c r="I200" i="4"/>
  <c r="I192" i="4"/>
  <c r="I184" i="4"/>
  <c r="I433" i="4"/>
  <c r="I434" i="4"/>
  <c r="I168" i="4"/>
  <c r="I265" i="4"/>
  <c r="I144" i="4"/>
  <c r="I136" i="4"/>
  <c r="I128" i="4"/>
  <c r="I120" i="4"/>
  <c r="I112" i="4"/>
  <c r="I88" i="4"/>
  <c r="I72" i="4"/>
  <c r="I56" i="4"/>
  <c r="I40" i="4"/>
  <c r="I143" i="4"/>
  <c r="I32" i="4"/>
  <c r="I24" i="4"/>
  <c r="I344" i="4"/>
  <c r="I16" i="4"/>
  <c r="I8" i="4"/>
  <c r="L559" i="4"/>
  <c r="L573" i="4"/>
  <c r="L367" i="4"/>
  <c r="L465" i="4"/>
  <c r="L511" i="4"/>
  <c r="L255" i="4"/>
  <c r="L199" i="4"/>
  <c r="L349" i="4"/>
  <c r="L135" i="4"/>
  <c r="L345" i="4"/>
  <c r="L127" i="4"/>
  <c r="L160" i="4"/>
  <c r="L247" i="4"/>
  <c r="L87" i="4"/>
  <c r="L148" i="4"/>
  <c r="L47" i="4"/>
  <c r="L522" i="4"/>
  <c r="AC11" i="1"/>
  <c r="S12" i="4" s="1"/>
  <c r="R12" i="4"/>
  <c r="AC36" i="1"/>
  <c r="R37" i="4"/>
  <c r="R350" i="4"/>
  <c r="AC69" i="1"/>
  <c r="S70" i="4" s="1"/>
  <c r="R70" i="4"/>
  <c r="AC101" i="1"/>
  <c r="S102" i="4" s="1"/>
  <c r="R102" i="4"/>
  <c r="AC166" i="1"/>
  <c r="S167" i="4" s="1"/>
  <c r="R167" i="4"/>
  <c r="AC271" i="1"/>
  <c r="S272" i="4" s="1"/>
  <c r="R272" i="4"/>
  <c r="AC303" i="1"/>
  <c r="S304" i="4" s="1"/>
  <c r="R304" i="4"/>
  <c r="AC383" i="1"/>
  <c r="S384" i="4" s="1"/>
  <c r="R384" i="4"/>
  <c r="AC512" i="1"/>
  <c r="S513" i="4" s="1"/>
  <c r="R513" i="4"/>
  <c r="AC12" i="1"/>
  <c r="R456" i="4"/>
  <c r="R13" i="4"/>
  <c r="AC70" i="1"/>
  <c r="S71" i="4" s="1"/>
  <c r="R71" i="4"/>
  <c r="AC175" i="1"/>
  <c r="S176" i="4" s="1"/>
  <c r="R176" i="4"/>
  <c r="AC199" i="1"/>
  <c r="S200" i="4" s="1"/>
  <c r="R200" i="4"/>
  <c r="AC239" i="1"/>
  <c r="S240" i="4" s="1"/>
  <c r="R240" i="4"/>
  <c r="AC272" i="1"/>
  <c r="S273" i="4" s="1"/>
  <c r="R273" i="4"/>
  <c r="AC441" i="1"/>
  <c r="S442" i="4" s="1"/>
  <c r="R442" i="4"/>
  <c r="AC473" i="1"/>
  <c r="S474" i="4" s="1"/>
  <c r="R474" i="4"/>
  <c r="AC505" i="1"/>
  <c r="S506" i="4" s="1"/>
  <c r="R506" i="4"/>
  <c r="AC553" i="1"/>
  <c r="S554" i="4" s="1"/>
  <c r="R554" i="4"/>
  <c r="AC29" i="1"/>
  <c r="R30" i="4"/>
  <c r="R402" i="4"/>
  <c r="AC248" i="1"/>
  <c r="S249" i="4" s="1"/>
  <c r="R249" i="4"/>
  <c r="AC337" i="1"/>
  <c r="S338" i="4" s="1"/>
  <c r="R338" i="4"/>
  <c r="AC369" i="1"/>
  <c r="S370" i="4" s="1"/>
  <c r="R370" i="4"/>
  <c r="AC409" i="1"/>
  <c r="S410" i="4" s="1"/>
  <c r="R410" i="4"/>
  <c r="AC450" i="1"/>
  <c r="S451" i="4" s="1"/>
  <c r="R451" i="4"/>
  <c r="AC482" i="1"/>
  <c r="S483" i="4" s="1"/>
  <c r="R483" i="4"/>
  <c r="AC47" i="1"/>
  <c r="S48" i="4" s="1"/>
  <c r="R48" i="4"/>
  <c r="AC80" i="1"/>
  <c r="S81" i="4" s="1"/>
  <c r="R81" i="4"/>
  <c r="AC104" i="1"/>
  <c r="S105" i="4" s="1"/>
  <c r="R105" i="4"/>
  <c r="AC129" i="1"/>
  <c r="R324" i="4"/>
  <c r="R130" i="4"/>
  <c r="R581" i="4"/>
  <c r="AC161" i="1"/>
  <c r="S162" i="4" s="1"/>
  <c r="R162" i="4"/>
  <c r="AC338" i="1"/>
  <c r="S339" i="4" s="1"/>
  <c r="R339" i="4"/>
  <c r="AC443" i="1"/>
  <c r="S444" i="4" s="1"/>
  <c r="R444" i="4"/>
  <c r="AC23" i="1"/>
  <c r="S24" i="4" s="1"/>
  <c r="R24" i="4"/>
  <c r="AC73" i="1"/>
  <c r="S74" i="4" s="1"/>
  <c r="R74" i="4"/>
  <c r="AC170" i="1"/>
  <c r="S171" i="4" s="1"/>
  <c r="R171" i="4"/>
  <c r="AC202" i="1"/>
  <c r="R361" i="4"/>
  <c r="R203" i="4"/>
  <c r="AC242" i="1"/>
  <c r="S243" i="4" s="1"/>
  <c r="R243" i="4"/>
  <c r="AC411" i="1"/>
  <c r="S412" i="4" s="1"/>
  <c r="R412" i="4"/>
  <c r="AC444" i="1"/>
  <c r="S445" i="4" s="1"/>
  <c r="R445" i="4"/>
  <c r="AC476" i="1"/>
  <c r="S477" i="4" s="1"/>
  <c r="R477" i="4"/>
  <c r="AC540" i="1"/>
  <c r="S541" i="4" s="1"/>
  <c r="R541" i="4"/>
  <c r="AC596" i="1"/>
  <c r="S597" i="4" s="1"/>
  <c r="R597" i="4"/>
  <c r="AC33" i="1"/>
  <c r="S34" i="4" s="1"/>
  <c r="R34" i="4"/>
  <c r="AC57" i="1"/>
  <c r="R58" i="4"/>
  <c r="R551" i="4"/>
  <c r="AC90" i="1"/>
  <c r="S91" i="4" s="1"/>
  <c r="R91" i="4"/>
  <c r="AC131" i="1"/>
  <c r="S132" i="4" s="1"/>
  <c r="R132" i="4"/>
  <c r="AC340" i="1"/>
  <c r="S341" i="4" s="1"/>
  <c r="R341" i="4"/>
  <c r="AC380" i="1"/>
  <c r="S381" i="4" s="1"/>
  <c r="R381" i="4"/>
  <c r="AC412" i="1"/>
  <c r="S413" i="4" s="1"/>
  <c r="R413" i="4"/>
  <c r="AC445" i="1"/>
  <c r="S446" i="4" s="1"/>
  <c r="R446" i="4"/>
  <c r="AC485" i="1"/>
  <c r="S486" i="4" s="1"/>
  <c r="R486" i="4"/>
  <c r="AC148" i="1"/>
  <c r="S149" i="4" s="1"/>
  <c r="R149" i="4"/>
  <c r="AC180" i="1"/>
  <c r="S181" i="4" s="1"/>
  <c r="R181" i="4"/>
  <c r="AC220" i="1"/>
  <c r="S221" i="4" s="1"/>
  <c r="R221" i="4"/>
  <c r="AC277" i="1"/>
  <c r="S278" i="4" s="1"/>
  <c r="R278" i="4"/>
  <c r="AC309" i="1"/>
  <c r="S310" i="4" s="1"/>
  <c r="R310" i="4"/>
  <c r="AC357" i="1"/>
  <c r="S358" i="4" s="1"/>
  <c r="R358" i="4"/>
  <c r="AC389" i="1"/>
  <c r="S390" i="4" s="1"/>
  <c r="R390" i="4"/>
  <c r="AC430" i="1"/>
  <c r="S431" i="4" s="1"/>
  <c r="R431" i="4"/>
  <c r="AC462" i="1"/>
  <c r="S463" i="4" s="1"/>
  <c r="R463" i="4"/>
  <c r="AC494" i="1"/>
  <c r="S495" i="4" s="1"/>
  <c r="R495" i="4"/>
  <c r="AC542" i="1"/>
  <c r="S543" i="4" s="1"/>
  <c r="R543" i="4"/>
  <c r="AC100" i="1"/>
  <c r="R101" i="4"/>
  <c r="R586" i="4"/>
  <c r="AC133" i="1"/>
  <c r="S134" i="4" s="1"/>
  <c r="R134" i="4"/>
  <c r="AC390" i="1"/>
  <c r="S391" i="4" s="1"/>
  <c r="R391" i="4"/>
  <c r="AC423" i="1"/>
  <c r="S424" i="4" s="1"/>
  <c r="R424" i="4"/>
  <c r="AC471" i="1"/>
  <c r="S472" i="4" s="1"/>
  <c r="R472" i="4"/>
  <c r="AC503" i="1"/>
  <c r="S504" i="4" s="1"/>
  <c r="R504" i="4"/>
  <c r="AC535" i="1"/>
  <c r="S536" i="4" s="1"/>
  <c r="R536" i="4"/>
  <c r="AC575" i="1"/>
  <c r="S576" i="4" s="1"/>
  <c r="R576" i="4"/>
  <c r="AC560" i="1"/>
  <c r="S561" i="4" s="1"/>
  <c r="R561" i="4"/>
  <c r="F419" i="4"/>
  <c r="F568" i="4"/>
  <c r="F544" i="4"/>
  <c r="F536" i="4"/>
  <c r="F528" i="4"/>
  <c r="F496" i="4"/>
  <c r="F480" i="4"/>
  <c r="F472" i="4"/>
  <c r="F432" i="4"/>
  <c r="F424" i="4"/>
  <c r="F416" i="4"/>
  <c r="F589" i="4"/>
  <c r="F400" i="4"/>
  <c r="F392" i="4"/>
  <c r="F384" i="4"/>
  <c r="F375" i="4"/>
  <c r="F336" i="4"/>
  <c r="F328" i="4"/>
  <c r="F320" i="4"/>
  <c r="F501" i="4"/>
  <c r="F312" i="4"/>
  <c r="F296" i="4"/>
  <c r="F264" i="4"/>
  <c r="F240" i="4"/>
  <c r="F208" i="4"/>
  <c r="F200" i="4"/>
  <c r="F192" i="4"/>
  <c r="F184" i="4"/>
  <c r="F433" i="4"/>
  <c r="F434" i="4"/>
  <c r="F168" i="4"/>
  <c r="F265" i="4"/>
  <c r="F144" i="4"/>
  <c r="F136" i="4"/>
  <c r="F128" i="4"/>
  <c r="F120" i="4"/>
  <c r="F112" i="4"/>
  <c r="F88" i="4"/>
  <c r="F72" i="4"/>
  <c r="F56" i="4"/>
  <c r="F40" i="4"/>
  <c r="F143" i="4"/>
  <c r="F32" i="4"/>
  <c r="F24" i="4"/>
  <c r="F16" i="4"/>
  <c r="F344" i="4"/>
  <c r="F8" i="4"/>
  <c r="I591" i="4"/>
  <c r="I583" i="4"/>
  <c r="I573" i="4"/>
  <c r="I559" i="4"/>
  <c r="I543" i="4"/>
  <c r="I535" i="4"/>
  <c r="I503" i="4"/>
  <c r="I487" i="4"/>
  <c r="I471" i="4"/>
  <c r="I439" i="4"/>
  <c r="I431" i="4"/>
  <c r="I407" i="4"/>
  <c r="I391" i="4"/>
  <c r="I367" i="4"/>
  <c r="I465" i="4"/>
  <c r="I343" i="4"/>
  <c r="I319" i="4"/>
  <c r="I311" i="4"/>
  <c r="I279" i="4"/>
  <c r="I271" i="4"/>
  <c r="I255" i="4"/>
  <c r="I511" i="4"/>
  <c r="I239" i="4"/>
  <c r="I231" i="4"/>
  <c r="I215" i="4"/>
  <c r="I207" i="4"/>
  <c r="I349" i="4"/>
  <c r="I199" i="4"/>
  <c r="I183" i="4"/>
  <c r="I167" i="4"/>
  <c r="I159" i="4"/>
  <c r="I135" i="4"/>
  <c r="I345" i="4"/>
  <c r="I127" i="4"/>
  <c r="I247" i="4"/>
  <c r="I160" i="4"/>
  <c r="I95" i="4"/>
  <c r="I148" i="4"/>
  <c r="I87" i="4"/>
  <c r="I47" i="4"/>
  <c r="I522" i="4"/>
  <c r="I15" i="4"/>
  <c r="L494" i="4"/>
  <c r="L545" i="4"/>
  <c r="L527" i="4"/>
  <c r="L254" i="4"/>
  <c r="L238" i="4"/>
  <c r="L574" i="4"/>
  <c r="L222" i="4"/>
  <c r="L214" i="4"/>
  <c r="L596" i="4"/>
  <c r="L198" i="4"/>
  <c r="L246" i="4"/>
  <c r="L220" i="4"/>
  <c r="L190" i="4"/>
  <c r="L259" i="4"/>
  <c r="L158" i="4"/>
  <c r="L110" i="4"/>
  <c r="L217" i="4"/>
  <c r="L54" i="4"/>
  <c r="L142" i="4"/>
  <c r="L38" i="4"/>
  <c r="L584" i="4"/>
  <c r="L402" i="4"/>
  <c r="L30" i="4"/>
  <c r="L27" i="4"/>
  <c r="L6" i="4"/>
  <c r="AC206" i="1"/>
  <c r="S207" i="4" s="1"/>
  <c r="R207" i="4"/>
  <c r="AC238" i="1"/>
  <c r="S239" i="4" s="1"/>
  <c r="R239" i="4"/>
  <c r="AC424" i="1"/>
  <c r="S425" i="4" s="1"/>
  <c r="R425" i="4"/>
  <c r="AC488" i="1"/>
  <c r="S489" i="4" s="1"/>
  <c r="R489" i="4"/>
  <c r="AC568" i="1"/>
  <c r="R569" i="4"/>
  <c r="R578" i="4"/>
  <c r="AC45" i="1"/>
  <c r="S46" i="4" s="1"/>
  <c r="R46" i="4"/>
  <c r="AC102" i="1"/>
  <c r="S103" i="4" s="1"/>
  <c r="R103" i="4"/>
  <c r="AC135" i="1"/>
  <c r="S136" i="4" s="1"/>
  <c r="R136" i="4"/>
  <c r="AC304" i="1"/>
  <c r="S305" i="4" s="1"/>
  <c r="R305" i="4"/>
  <c r="AC368" i="1"/>
  <c r="S369" i="4" s="1"/>
  <c r="R369" i="4"/>
  <c r="AC5" i="1"/>
  <c r="R27" i="4"/>
  <c r="R6" i="4"/>
  <c r="AC63" i="1"/>
  <c r="S64" i="4" s="1"/>
  <c r="R64" i="4"/>
  <c r="AC95" i="1"/>
  <c r="S96" i="4" s="1"/>
  <c r="R96" i="4"/>
  <c r="AC152" i="1"/>
  <c r="S153" i="4" s="1"/>
  <c r="R153" i="4"/>
  <c r="AC184" i="1"/>
  <c r="S185" i="4" s="1"/>
  <c r="R185" i="4"/>
  <c r="AC224" i="1"/>
  <c r="S225" i="4" s="1"/>
  <c r="R225" i="4"/>
  <c r="AC305" i="1"/>
  <c r="S306" i="4" s="1"/>
  <c r="R306" i="4"/>
  <c r="AC522" i="1"/>
  <c r="S523" i="4" s="1"/>
  <c r="R523" i="4"/>
  <c r="AC554" i="1"/>
  <c r="S555" i="4" s="1"/>
  <c r="R555" i="4"/>
  <c r="AC586" i="1"/>
  <c r="S587" i="4" s="1"/>
  <c r="R587" i="4"/>
  <c r="AC22" i="1"/>
  <c r="S23" i="4" s="1"/>
  <c r="R23" i="4"/>
  <c r="AC193" i="1"/>
  <c r="R194" i="4"/>
  <c r="R251" i="4"/>
  <c r="AC225" i="1"/>
  <c r="S226" i="4" s="1"/>
  <c r="R226" i="4"/>
  <c r="AC257" i="1"/>
  <c r="S258" i="4" s="1"/>
  <c r="R258" i="4"/>
  <c r="AC290" i="1"/>
  <c r="S291" i="4" s="1"/>
  <c r="R291" i="4"/>
  <c r="AC386" i="1"/>
  <c r="S387" i="4" s="1"/>
  <c r="R387" i="4"/>
  <c r="AC419" i="1"/>
  <c r="S420" i="4" s="1"/>
  <c r="R420" i="4"/>
  <c r="AC475" i="1"/>
  <c r="S476" i="4" s="1"/>
  <c r="R476" i="4"/>
  <c r="AC515" i="1"/>
  <c r="S516" i="4" s="1"/>
  <c r="R516" i="4"/>
  <c r="AC547" i="1"/>
  <c r="S548" i="4" s="1"/>
  <c r="R548" i="4"/>
  <c r="AC579" i="1"/>
  <c r="S580" i="4" s="1"/>
  <c r="R580" i="4"/>
  <c r="AC105" i="1"/>
  <c r="S106" i="4" s="1"/>
  <c r="R106" i="4"/>
  <c r="AC146" i="1"/>
  <c r="S147" i="4" s="1"/>
  <c r="R147" i="4"/>
  <c r="AC291" i="1"/>
  <c r="S292" i="4" s="1"/>
  <c r="R292" i="4"/>
  <c r="AC331" i="1"/>
  <c r="S332" i="4" s="1"/>
  <c r="R332" i="4"/>
  <c r="AC387" i="1"/>
  <c r="S388" i="4" s="1"/>
  <c r="R388" i="4"/>
  <c r="AC171" i="1"/>
  <c r="S172" i="4" s="1"/>
  <c r="R172" i="4"/>
  <c r="AC203" i="1"/>
  <c r="S204" i="4" s="1"/>
  <c r="R204" i="4"/>
  <c r="AC251" i="1"/>
  <c r="S252" i="4" s="1"/>
  <c r="R252" i="4"/>
  <c r="AC284" i="1"/>
  <c r="S285" i="4" s="1"/>
  <c r="R285" i="4"/>
  <c r="AC517" i="1"/>
  <c r="S518" i="4" s="1"/>
  <c r="R518" i="4"/>
  <c r="AC549" i="1"/>
  <c r="S550" i="4" s="1"/>
  <c r="R550" i="4"/>
  <c r="AC589" i="1"/>
  <c r="S590" i="4" s="1"/>
  <c r="R590" i="4"/>
  <c r="AC34" i="1"/>
  <c r="S35" i="4" s="1"/>
  <c r="R35" i="4"/>
  <c r="AC67" i="1"/>
  <c r="S68" i="4" s="1"/>
  <c r="R68" i="4"/>
  <c r="AC91" i="1"/>
  <c r="S92" i="4" s="1"/>
  <c r="R92" i="4"/>
  <c r="AC123" i="1"/>
  <c r="S124" i="4" s="1"/>
  <c r="R124" i="4"/>
  <c r="AC252" i="1"/>
  <c r="S253" i="4" s="1"/>
  <c r="R253" i="4"/>
  <c r="AC68" i="1"/>
  <c r="R131" i="4"/>
  <c r="R69" i="4"/>
  <c r="AC173" i="1"/>
  <c r="S174" i="4" s="1"/>
  <c r="R174" i="4"/>
  <c r="AC197" i="1"/>
  <c r="R198" i="4"/>
  <c r="R246" i="4"/>
  <c r="AC221" i="1"/>
  <c r="R222" i="4"/>
  <c r="R574" i="4"/>
  <c r="AC261" i="1"/>
  <c r="S262" i="4" s="1"/>
  <c r="R262" i="4"/>
  <c r="AC294" i="1"/>
  <c r="S295" i="4" s="1"/>
  <c r="R295" i="4"/>
  <c r="AC326" i="1"/>
  <c r="S327" i="4" s="1"/>
  <c r="R327" i="4"/>
  <c r="AC358" i="1"/>
  <c r="S359" i="4" s="1"/>
  <c r="R359" i="4"/>
  <c r="F367" i="4"/>
  <c r="F465" i="4"/>
  <c r="F343" i="4"/>
  <c r="F319" i="4"/>
  <c r="F311" i="4"/>
  <c r="F279" i="4"/>
  <c r="F271" i="4"/>
  <c r="F255" i="4"/>
  <c r="F511" i="4"/>
  <c r="F239" i="4"/>
  <c r="F231" i="4"/>
  <c r="F215" i="4"/>
  <c r="F207" i="4"/>
  <c r="F199" i="4"/>
  <c r="F349" i="4"/>
  <c r="F183" i="4"/>
  <c r="F167" i="4"/>
  <c r="F159" i="4"/>
  <c r="F135" i="4"/>
  <c r="F345" i="4"/>
  <c r="F127" i="4"/>
  <c r="F247" i="4"/>
  <c r="F160" i="4"/>
  <c r="F95" i="4"/>
  <c r="F87" i="4"/>
  <c r="F148" i="4"/>
  <c r="F47" i="4"/>
  <c r="F522" i="4"/>
  <c r="F15" i="4"/>
  <c r="I566" i="4"/>
  <c r="I558" i="4"/>
  <c r="I534" i="4"/>
  <c r="I526" i="4"/>
  <c r="I518" i="4"/>
  <c r="I494" i="4"/>
  <c r="I545" i="4"/>
  <c r="I462" i="4"/>
  <c r="I430" i="4"/>
  <c r="I422" i="4"/>
  <c r="I406" i="4"/>
  <c r="I398" i="4"/>
  <c r="I342" i="4"/>
  <c r="I334" i="4"/>
  <c r="I286" i="4"/>
  <c r="I270" i="4"/>
  <c r="I238" i="4"/>
  <c r="I254" i="4"/>
  <c r="I527" i="4"/>
  <c r="I222" i="4"/>
  <c r="I574" i="4"/>
  <c r="I596" i="4"/>
  <c r="I214" i="4"/>
  <c r="I206" i="4"/>
  <c r="I198" i="4"/>
  <c r="I246" i="4"/>
  <c r="I220" i="4"/>
  <c r="I190" i="4"/>
  <c r="I182" i="4"/>
  <c r="I174" i="4"/>
  <c r="I166" i="4"/>
  <c r="I158" i="4"/>
  <c r="I259" i="4"/>
  <c r="I150" i="4"/>
  <c r="I110" i="4"/>
  <c r="I217" i="4"/>
  <c r="I102" i="4"/>
  <c r="I86" i="4"/>
  <c r="I78" i="4"/>
  <c r="I70" i="4"/>
  <c r="I54" i="4"/>
  <c r="I142" i="4"/>
  <c r="I46" i="4"/>
  <c r="I38" i="4"/>
  <c r="I584" i="4"/>
  <c r="I30" i="4"/>
  <c r="I402" i="4"/>
  <c r="I27" i="4"/>
  <c r="I6" i="4"/>
  <c r="L317" i="4"/>
  <c r="L599" i="4"/>
  <c r="L261" i="4"/>
  <c r="L352" i="4"/>
  <c r="L245" i="4"/>
  <c r="L257" i="4"/>
  <c r="L133" i="4"/>
  <c r="L348" i="4"/>
  <c r="L101" i="4"/>
  <c r="L586" i="4"/>
  <c r="L131" i="4"/>
  <c r="L69" i="4"/>
  <c r="L37" i="4"/>
  <c r="L350" i="4"/>
  <c r="L13" i="4"/>
  <c r="L456" i="4"/>
  <c r="AC44" i="1"/>
  <c r="S45" i="4" s="1"/>
  <c r="R45" i="4"/>
  <c r="AC77" i="1"/>
  <c r="S78" i="4" s="1"/>
  <c r="R78" i="4"/>
  <c r="AC134" i="1"/>
  <c r="R345" i="4"/>
  <c r="R135" i="4"/>
  <c r="AC174" i="1"/>
  <c r="S175" i="4" s="1"/>
  <c r="R175" i="4"/>
  <c r="AC279" i="1"/>
  <c r="S280" i="4" s="1"/>
  <c r="R280" i="4"/>
  <c r="AC311" i="1"/>
  <c r="S312" i="4" s="1"/>
  <c r="R312" i="4"/>
  <c r="AC335" i="1"/>
  <c r="R336" i="4"/>
  <c r="R375" i="4"/>
  <c r="AC391" i="1"/>
  <c r="S392" i="4" s="1"/>
  <c r="R392" i="4"/>
  <c r="AC520" i="1"/>
  <c r="S521" i="4" s="1"/>
  <c r="R521" i="4"/>
  <c r="AC20" i="1"/>
  <c r="S21" i="4" s="1"/>
  <c r="R21" i="4"/>
  <c r="AC78" i="1"/>
  <c r="S79" i="4" s="1"/>
  <c r="R79" i="4"/>
  <c r="AC207" i="1"/>
  <c r="S208" i="4" s="1"/>
  <c r="R208" i="4"/>
  <c r="AC247" i="1"/>
  <c r="S248" i="4" s="1"/>
  <c r="R248" i="4"/>
  <c r="AC280" i="1"/>
  <c r="S281" i="4" s="1"/>
  <c r="R281" i="4"/>
  <c r="AC336" i="1"/>
  <c r="R337" i="4"/>
  <c r="R575" i="4"/>
  <c r="AC408" i="1"/>
  <c r="R409" i="4"/>
  <c r="R598" i="4"/>
  <c r="AC449" i="1"/>
  <c r="S450" i="4" s="1"/>
  <c r="R450" i="4"/>
  <c r="AC481" i="1"/>
  <c r="S482" i="4" s="1"/>
  <c r="R482" i="4"/>
  <c r="AC513" i="1"/>
  <c r="S514" i="4" s="1"/>
  <c r="R514" i="4"/>
  <c r="AC569" i="1"/>
  <c r="S570" i="4" s="1"/>
  <c r="R570" i="4"/>
  <c r="AC38" i="1"/>
  <c r="S39" i="4" s="1"/>
  <c r="R39" i="4"/>
  <c r="AC273" i="1"/>
  <c r="S274" i="4" s="1"/>
  <c r="R274" i="4"/>
  <c r="AC345" i="1"/>
  <c r="S346" i="4" s="1"/>
  <c r="R346" i="4"/>
  <c r="AC377" i="1"/>
  <c r="S378" i="4" s="1"/>
  <c r="R378" i="4"/>
  <c r="AC426" i="1"/>
  <c r="S427" i="4" s="1"/>
  <c r="R427" i="4"/>
  <c r="AC458" i="1"/>
  <c r="S459" i="4" s="1"/>
  <c r="R459" i="4"/>
  <c r="AC490" i="1"/>
  <c r="S491" i="4" s="1"/>
  <c r="R491" i="4"/>
  <c r="AC55" i="1"/>
  <c r="S56" i="4" s="1"/>
  <c r="R56" i="4"/>
  <c r="AC112" i="1"/>
  <c r="S113" i="4" s="1"/>
  <c r="R113" i="4"/>
  <c r="AC137" i="1"/>
  <c r="S138" i="4" s="1"/>
  <c r="R138" i="4"/>
  <c r="AC169" i="1"/>
  <c r="S170" i="4" s="1"/>
  <c r="R170" i="4"/>
  <c r="AC314" i="1"/>
  <c r="R315" i="4"/>
  <c r="R567" i="4"/>
  <c r="AC48" i="1"/>
  <c r="R49" i="4"/>
  <c r="R368" i="4"/>
  <c r="AC81" i="1"/>
  <c r="S82" i="4" s="1"/>
  <c r="R82" i="4"/>
  <c r="AC218" i="1"/>
  <c r="S219" i="4" s="1"/>
  <c r="R219" i="4"/>
  <c r="AC267" i="1"/>
  <c r="S268" i="4" s="1"/>
  <c r="R268" i="4"/>
  <c r="AC420" i="1"/>
  <c r="S421" i="4" s="1"/>
  <c r="R421" i="4"/>
  <c r="AC452" i="1"/>
  <c r="S453" i="4" s="1"/>
  <c r="R453" i="4"/>
  <c r="AC508" i="1"/>
  <c r="S509" i="4" s="1"/>
  <c r="R509" i="4"/>
  <c r="AC548" i="1"/>
  <c r="S549" i="4" s="1"/>
  <c r="R549" i="4"/>
  <c r="AC8" i="1"/>
  <c r="S9" i="4" s="1"/>
  <c r="R9" i="4"/>
  <c r="AC41" i="1"/>
  <c r="S42" i="4" s="1"/>
  <c r="R42" i="4"/>
  <c r="AC66" i="1"/>
  <c r="S67" i="4" s="1"/>
  <c r="R67" i="4"/>
  <c r="AC98" i="1"/>
  <c r="S99" i="4" s="1"/>
  <c r="R99" i="4"/>
  <c r="AC139" i="1"/>
  <c r="S140" i="4" s="1"/>
  <c r="R140" i="4"/>
  <c r="AC316" i="1"/>
  <c r="R599" i="4"/>
  <c r="R317" i="4"/>
  <c r="AC356" i="1"/>
  <c r="S357" i="4" s="1"/>
  <c r="R357" i="4"/>
  <c r="AC388" i="1"/>
  <c r="S389" i="4" s="1"/>
  <c r="R389" i="4"/>
  <c r="AC421" i="1"/>
  <c r="S422" i="4" s="1"/>
  <c r="R422" i="4"/>
  <c r="AC453" i="1"/>
  <c r="S454" i="4" s="1"/>
  <c r="R454" i="4"/>
  <c r="AC156" i="1"/>
  <c r="S157" i="4" s="1"/>
  <c r="R157" i="4"/>
  <c r="AC188" i="1"/>
  <c r="S189" i="4" s="1"/>
  <c r="R189" i="4"/>
  <c r="AC228" i="1"/>
  <c r="S229" i="4" s="1"/>
  <c r="R229" i="4"/>
  <c r="AC285" i="1"/>
  <c r="S286" i="4" s="1"/>
  <c r="R286" i="4"/>
  <c r="AC317" i="1"/>
  <c r="S318" i="4" s="1"/>
  <c r="R318" i="4"/>
  <c r="AC365" i="1"/>
  <c r="S366" i="4" s="1"/>
  <c r="R366" i="4"/>
  <c r="AC397" i="1"/>
  <c r="S398" i="4" s="1"/>
  <c r="R398" i="4"/>
  <c r="AC438" i="1"/>
  <c r="S439" i="4" s="1"/>
  <c r="R439" i="4"/>
  <c r="AC470" i="1"/>
  <c r="S471" i="4" s="1"/>
  <c r="R471" i="4"/>
  <c r="AC502" i="1"/>
  <c r="S503" i="4" s="1"/>
  <c r="R503" i="4"/>
  <c r="AC10" i="1"/>
  <c r="R11" i="4"/>
  <c r="R123" i="4"/>
  <c r="AC43" i="1"/>
  <c r="R44" i="4"/>
  <c r="R93" i="4"/>
  <c r="R322" i="4"/>
  <c r="AC108" i="1"/>
  <c r="S109" i="4" s="1"/>
  <c r="R109" i="4"/>
  <c r="AC149" i="1"/>
  <c r="S150" i="4" s="1"/>
  <c r="R150" i="4"/>
  <c r="AC398" i="1"/>
  <c r="S399" i="4" s="1"/>
  <c r="R399" i="4"/>
  <c r="AC431" i="1"/>
  <c r="S432" i="4" s="1"/>
  <c r="R432" i="4"/>
  <c r="AC479" i="1"/>
  <c r="S480" i="4" s="1"/>
  <c r="R480" i="4"/>
  <c r="AC511" i="1"/>
  <c r="S512" i="4" s="1"/>
  <c r="R512" i="4"/>
  <c r="AC543" i="1"/>
  <c r="S544" i="4" s="1"/>
  <c r="R544" i="4"/>
  <c r="AC591" i="1"/>
  <c r="S592" i="4" s="1"/>
  <c r="R592" i="4"/>
  <c r="AC584" i="1"/>
  <c r="S585" i="4" s="1"/>
  <c r="R585" i="4"/>
  <c r="F591" i="4"/>
  <c r="F583" i="4"/>
  <c r="F559" i="4"/>
  <c r="F573" i="4"/>
  <c r="F543" i="4"/>
  <c r="F535" i="4"/>
  <c r="F439" i="4"/>
  <c r="F431" i="4"/>
  <c r="F407" i="4"/>
  <c r="F391" i="4"/>
  <c r="F566" i="4"/>
  <c r="F558" i="4"/>
  <c r="F534" i="4"/>
  <c r="F526" i="4"/>
  <c r="F518" i="4"/>
  <c r="F494" i="4"/>
  <c r="F545" i="4"/>
  <c r="F462" i="4"/>
  <c r="F430" i="4"/>
  <c r="F422" i="4"/>
  <c r="F406" i="4"/>
  <c r="F398" i="4"/>
  <c r="F342" i="4"/>
  <c r="F334" i="4"/>
  <c r="F286" i="4"/>
  <c r="F270" i="4"/>
  <c r="F238" i="4"/>
  <c r="F254" i="4"/>
  <c r="F527" i="4"/>
  <c r="F222" i="4"/>
  <c r="F574" i="4"/>
  <c r="F214" i="4"/>
  <c r="F596" i="4"/>
  <c r="F206" i="4"/>
  <c r="F198" i="4"/>
  <c r="F246" i="4"/>
  <c r="F190" i="4"/>
  <c r="F220" i="4"/>
  <c r="F182" i="4"/>
  <c r="F174" i="4"/>
  <c r="F166" i="4"/>
  <c r="F158" i="4"/>
  <c r="F259" i="4"/>
  <c r="F150" i="4"/>
  <c r="F110" i="4"/>
  <c r="F217" i="4"/>
  <c r="F102" i="4"/>
  <c r="F86" i="4"/>
  <c r="F78" i="4"/>
  <c r="F70" i="4"/>
  <c r="F54" i="4"/>
  <c r="F142" i="4"/>
  <c r="F46" i="4"/>
  <c r="F38" i="4"/>
  <c r="F584" i="4"/>
  <c r="F30" i="4"/>
  <c r="F402" i="4"/>
  <c r="F6" i="4"/>
  <c r="F27" i="4"/>
  <c r="I597" i="4"/>
  <c r="I557" i="4"/>
  <c r="I549" i="4"/>
  <c r="I541" i="4"/>
  <c r="I509" i="4"/>
  <c r="I437" i="4"/>
  <c r="I421" i="4"/>
  <c r="I405" i="4"/>
  <c r="I397" i="4"/>
  <c r="I389" i="4"/>
  <c r="I381" i="4"/>
  <c r="I373" i="4"/>
  <c r="I357" i="4"/>
  <c r="I325" i="4"/>
  <c r="I317" i="4"/>
  <c r="I599" i="4"/>
  <c r="I309" i="4"/>
  <c r="I301" i="4"/>
  <c r="I285" i="4"/>
  <c r="I277" i="4"/>
  <c r="I269" i="4"/>
  <c r="I261" i="4"/>
  <c r="I352" i="4"/>
  <c r="I253" i="4"/>
  <c r="I245" i="4"/>
  <c r="I257" i="4"/>
  <c r="I189" i="4"/>
  <c r="I165" i="4"/>
  <c r="I149" i="4"/>
  <c r="I348" i="4"/>
  <c r="I133" i="4"/>
  <c r="I109" i="4"/>
  <c r="I101" i="4"/>
  <c r="I586" i="4"/>
  <c r="I69" i="4"/>
  <c r="I131" i="4"/>
  <c r="I45" i="4"/>
  <c r="I37" i="4"/>
  <c r="I350" i="4"/>
  <c r="I21" i="4"/>
  <c r="I13" i="4"/>
  <c r="I456" i="4"/>
  <c r="I5" i="4"/>
  <c r="L452" i="4"/>
  <c r="L493" i="4"/>
  <c r="L562" i="4"/>
  <c r="L428" i="4"/>
  <c r="L408" i="4"/>
  <c r="L404" i="4"/>
  <c r="L537" i="4"/>
  <c r="L276" i="4"/>
  <c r="L191" i="4"/>
  <c r="L156" i="4"/>
  <c r="L84" i="4"/>
  <c r="L515" i="4"/>
  <c r="L485" i="4"/>
  <c r="L44" i="4"/>
  <c r="L322" i="4"/>
  <c r="L93" i="4"/>
  <c r="L20" i="4"/>
  <c r="L347" i="4"/>
  <c r="L152" i="4"/>
  <c r="L4" i="4"/>
  <c r="AC19" i="1"/>
  <c r="R20" i="4"/>
  <c r="R347" i="4"/>
  <c r="AC109" i="1"/>
  <c r="R110" i="4"/>
  <c r="R217" i="4"/>
  <c r="AC214" i="1"/>
  <c r="S215" i="4" s="1"/>
  <c r="R215" i="4"/>
  <c r="AC440" i="1"/>
  <c r="S441" i="4" s="1"/>
  <c r="R441" i="4"/>
  <c r="AC576" i="1"/>
  <c r="S577" i="4" s="1"/>
  <c r="R577" i="4"/>
  <c r="AC110" i="1"/>
  <c r="S111" i="4" s="1"/>
  <c r="R111" i="4"/>
  <c r="AC143" i="1"/>
  <c r="S144" i="4" s="1"/>
  <c r="R144" i="4"/>
  <c r="AC312" i="1"/>
  <c r="S313" i="4" s="1"/>
  <c r="R313" i="4"/>
  <c r="AC376" i="1"/>
  <c r="S377" i="4" s="1"/>
  <c r="R377" i="4"/>
  <c r="AC13" i="1"/>
  <c r="S14" i="4" s="1"/>
  <c r="R14" i="4"/>
  <c r="AC71" i="1"/>
  <c r="S72" i="4" s="1"/>
  <c r="R72" i="4"/>
  <c r="AC103" i="1"/>
  <c r="S104" i="4" s="1"/>
  <c r="R104" i="4"/>
  <c r="AC128" i="1"/>
  <c r="R508" i="4"/>
  <c r="R211" i="4"/>
  <c r="R129" i="4"/>
  <c r="AC160" i="1"/>
  <c r="S161" i="4" s="1"/>
  <c r="R161" i="4"/>
  <c r="AC192" i="1"/>
  <c r="S193" i="4" s="1"/>
  <c r="R193" i="4"/>
  <c r="AC530" i="1"/>
  <c r="S531" i="4" s="1"/>
  <c r="R531" i="4"/>
  <c r="AC562" i="1"/>
  <c r="S563" i="4" s="1"/>
  <c r="R563" i="4"/>
  <c r="AC594" i="1"/>
  <c r="S595" i="4" s="1"/>
  <c r="R595" i="4"/>
  <c r="AC88" i="1"/>
  <c r="R393" i="4"/>
  <c r="R89" i="4"/>
  <c r="AC201" i="1"/>
  <c r="S202" i="4" s="1"/>
  <c r="R202" i="4"/>
  <c r="AC233" i="1"/>
  <c r="S234" i="4" s="1"/>
  <c r="R234" i="4"/>
  <c r="AC266" i="1"/>
  <c r="S267" i="4" s="1"/>
  <c r="R267" i="4"/>
  <c r="AC362" i="1"/>
  <c r="R363" i="4"/>
  <c r="R364" i="4"/>
  <c r="AC394" i="1"/>
  <c r="S395" i="4" s="1"/>
  <c r="R395" i="4"/>
  <c r="AC451" i="1"/>
  <c r="R452" i="4"/>
  <c r="R493" i="4"/>
  <c r="AC483" i="1"/>
  <c r="S484" i="4" s="1"/>
  <c r="R484" i="4"/>
  <c r="AC523" i="1"/>
  <c r="S524" i="4" s="1"/>
  <c r="R524" i="4"/>
  <c r="AC555" i="1"/>
  <c r="S556" i="4" s="1"/>
  <c r="R556" i="4"/>
  <c r="AC7" i="1"/>
  <c r="S8" i="4" s="1"/>
  <c r="R8" i="4"/>
  <c r="AC32" i="1"/>
  <c r="R197" i="4"/>
  <c r="R33" i="4"/>
  <c r="AC113" i="1"/>
  <c r="S114" i="4" s="1"/>
  <c r="R114" i="4"/>
  <c r="AC178" i="1"/>
  <c r="R179" i="4"/>
  <c r="R290" i="4"/>
  <c r="AC299" i="1"/>
  <c r="S300" i="4" s="1"/>
  <c r="R300" i="4"/>
  <c r="AC339" i="1"/>
  <c r="S340" i="4" s="1"/>
  <c r="R340" i="4"/>
  <c r="AC395" i="1"/>
  <c r="S396" i="4" s="1"/>
  <c r="R396" i="4"/>
  <c r="AC179" i="1"/>
  <c r="S180" i="4" s="1"/>
  <c r="R180" i="4"/>
  <c r="AC211" i="1"/>
  <c r="S212" i="4" s="1"/>
  <c r="R212" i="4"/>
  <c r="AC259" i="1"/>
  <c r="S260" i="4" s="1"/>
  <c r="R260" i="4"/>
  <c r="AC292" i="1"/>
  <c r="S293" i="4" s="1"/>
  <c r="R293" i="4"/>
  <c r="AC493" i="1"/>
  <c r="R545" i="4"/>
  <c r="R494" i="4"/>
  <c r="AC525" i="1"/>
  <c r="S526" i="4" s="1"/>
  <c r="R526" i="4"/>
  <c r="AC557" i="1"/>
  <c r="S558" i="4" s="1"/>
  <c r="R558" i="4"/>
  <c r="AC9" i="1"/>
  <c r="S10" i="4" s="1"/>
  <c r="R10" i="4"/>
  <c r="AC42" i="1"/>
  <c r="S43" i="4" s="1"/>
  <c r="R43" i="4"/>
  <c r="AC75" i="1"/>
  <c r="S76" i="4" s="1"/>
  <c r="R76" i="4"/>
  <c r="AC99" i="1"/>
  <c r="S100" i="4" s="1"/>
  <c r="R100" i="4"/>
  <c r="AC558" i="1"/>
  <c r="R559" i="4"/>
  <c r="R573" i="4"/>
  <c r="AC76" i="1"/>
  <c r="S77" i="4" s="1"/>
  <c r="R77" i="4"/>
  <c r="AC181" i="1"/>
  <c r="S182" i="4" s="1"/>
  <c r="R182" i="4"/>
  <c r="AC205" i="1"/>
  <c r="S206" i="4" s="1"/>
  <c r="R206" i="4"/>
  <c r="AC229" i="1"/>
  <c r="S230" i="4" s="1"/>
  <c r="R230" i="4"/>
  <c r="AC270" i="1"/>
  <c r="S271" i="4" s="1"/>
  <c r="R271" i="4"/>
  <c r="AC302" i="1"/>
  <c r="S303" i="4" s="1"/>
  <c r="R303" i="4"/>
  <c r="AC334" i="1"/>
  <c r="S335" i="4" s="1"/>
  <c r="R335" i="4"/>
  <c r="F503" i="4"/>
  <c r="F487" i="4"/>
  <c r="F471" i="4"/>
  <c r="F597" i="4"/>
  <c r="F557" i="4"/>
  <c r="F549" i="4"/>
  <c r="F541" i="4"/>
  <c r="F509" i="4"/>
  <c r="F437" i="4"/>
  <c r="F421" i="4"/>
  <c r="F405" i="4"/>
  <c r="F397" i="4"/>
  <c r="F389" i="4"/>
  <c r="F381" i="4"/>
  <c r="F373" i="4"/>
  <c r="F357" i="4"/>
  <c r="F325" i="4"/>
  <c r="F599" i="4"/>
  <c r="F317" i="4"/>
  <c r="F309" i="4"/>
  <c r="F301" i="4"/>
  <c r="F285" i="4"/>
  <c r="F277" i="4"/>
  <c r="F269" i="4"/>
  <c r="F352" i="4"/>
  <c r="F261" i="4"/>
  <c r="F253" i="4"/>
  <c r="F257" i="4"/>
  <c r="F245" i="4"/>
  <c r="F189" i="4"/>
  <c r="F165" i="4"/>
  <c r="F149" i="4"/>
  <c r="F133" i="4"/>
  <c r="F348" i="4"/>
  <c r="F109" i="4"/>
  <c r="F586" i="4"/>
  <c r="F101" i="4"/>
  <c r="F69" i="4"/>
  <c r="F131" i="4"/>
  <c r="F45" i="4"/>
  <c r="F350" i="4"/>
  <c r="F37" i="4"/>
  <c r="F21" i="4"/>
  <c r="F456" i="4"/>
  <c r="F13" i="4"/>
  <c r="F5" i="4"/>
  <c r="I564" i="4"/>
  <c r="I556" i="4"/>
  <c r="I540" i="4"/>
  <c r="I516" i="4"/>
  <c r="I484" i="4"/>
  <c r="I460" i="4"/>
  <c r="I452" i="4"/>
  <c r="I493" i="4"/>
  <c r="I436" i="4"/>
  <c r="I428" i="4"/>
  <c r="I562" i="4"/>
  <c r="I420" i="4"/>
  <c r="I404" i="4"/>
  <c r="I408" i="4"/>
  <c r="I396" i="4"/>
  <c r="I380" i="4"/>
  <c r="I340" i="4"/>
  <c r="I316" i="4"/>
  <c r="I308" i="4"/>
  <c r="I292" i="4"/>
  <c r="I276" i="4"/>
  <c r="I537" i="4"/>
  <c r="I268" i="4"/>
  <c r="I252" i="4"/>
  <c r="I228" i="4"/>
  <c r="I204" i="4"/>
  <c r="I188" i="4"/>
  <c r="I180" i="4"/>
  <c r="I164" i="4"/>
  <c r="I156" i="4"/>
  <c r="I191" i="4"/>
  <c r="I116" i="4"/>
  <c r="I100" i="4"/>
  <c r="I92" i="4"/>
  <c r="I84" i="4"/>
  <c r="I485" i="4"/>
  <c r="I515" i="4"/>
  <c r="I52" i="4"/>
  <c r="I44" i="4"/>
  <c r="I93" i="4"/>
  <c r="I322" i="4"/>
  <c r="I28" i="4"/>
  <c r="I20" i="4"/>
  <c r="I347" i="4"/>
  <c r="I4" i="4"/>
  <c r="I152" i="4"/>
  <c r="L593" i="4"/>
  <c r="L499" i="4"/>
  <c r="L363" i="4"/>
  <c r="L364" i="4"/>
  <c r="L315" i="4"/>
  <c r="L567" i="4"/>
  <c r="L307" i="4"/>
  <c r="L481" i="4"/>
  <c r="L299" i="4"/>
  <c r="L326" i="4"/>
  <c r="L203" i="4"/>
  <c r="L361" i="4"/>
  <c r="L179" i="4"/>
  <c r="L290" i="4"/>
  <c r="L155" i="4"/>
  <c r="L588" i="4"/>
  <c r="L11" i="4"/>
  <c r="L123" i="4"/>
  <c r="AC52" i="1"/>
  <c r="S53" i="4" s="1"/>
  <c r="R53" i="4"/>
  <c r="AC85" i="1"/>
  <c r="S86" i="4" s="1"/>
  <c r="R86" i="4"/>
  <c r="AC150" i="1"/>
  <c r="S151" i="4" s="1"/>
  <c r="R151" i="4"/>
  <c r="AC182" i="1"/>
  <c r="S183" i="4" s="1"/>
  <c r="R183" i="4"/>
  <c r="AC254" i="1"/>
  <c r="R255" i="4"/>
  <c r="R511" i="4"/>
  <c r="AC287" i="1"/>
  <c r="S288" i="4" s="1"/>
  <c r="R288" i="4"/>
  <c r="AC359" i="1"/>
  <c r="S360" i="4" s="1"/>
  <c r="R360" i="4"/>
  <c r="AC399" i="1"/>
  <c r="S400" i="4" s="1"/>
  <c r="R400" i="4"/>
  <c r="AC496" i="1"/>
  <c r="R497" i="4"/>
  <c r="R525" i="4"/>
  <c r="AC528" i="1"/>
  <c r="S529" i="4" s="1"/>
  <c r="R529" i="4"/>
  <c r="AC28" i="1"/>
  <c r="S29" i="4" s="1"/>
  <c r="R29" i="4"/>
  <c r="AC53" i="1"/>
  <c r="R142" i="4"/>
  <c r="R54" i="4"/>
  <c r="AC183" i="1"/>
  <c r="R433" i="4"/>
  <c r="R434" i="4"/>
  <c r="R184" i="4"/>
  <c r="AC215" i="1"/>
  <c r="S216" i="4" s="1"/>
  <c r="R216" i="4"/>
  <c r="AC255" i="1"/>
  <c r="S256" i="4" s="1"/>
  <c r="R256" i="4"/>
  <c r="AC288" i="1"/>
  <c r="S289" i="4" s="1"/>
  <c r="R289" i="4"/>
  <c r="AC416" i="1"/>
  <c r="S417" i="4" s="1"/>
  <c r="R417" i="4"/>
  <c r="AC457" i="1"/>
  <c r="S458" i="4" s="1"/>
  <c r="R458" i="4"/>
  <c r="AC489" i="1"/>
  <c r="S490" i="4" s="1"/>
  <c r="R490" i="4"/>
  <c r="AC537" i="1"/>
  <c r="S538" i="4" s="1"/>
  <c r="R538" i="4"/>
  <c r="AC593" i="1"/>
  <c r="S594" i="4" s="1"/>
  <c r="R594" i="4"/>
  <c r="AC232" i="1"/>
  <c r="R236" i="4"/>
  <c r="R233" i="4"/>
  <c r="AC281" i="1"/>
  <c r="S282" i="4" s="1"/>
  <c r="R282" i="4"/>
  <c r="AC313" i="1"/>
  <c r="R530" i="4"/>
  <c r="R314" i="4"/>
  <c r="AC353" i="1"/>
  <c r="S354" i="4" s="1"/>
  <c r="R354" i="4"/>
  <c r="AC385" i="1"/>
  <c r="S386" i="4" s="1"/>
  <c r="R386" i="4"/>
  <c r="AC434" i="1"/>
  <c r="S435" i="4" s="1"/>
  <c r="R435" i="4"/>
  <c r="AC466" i="1"/>
  <c r="S467" i="4" s="1"/>
  <c r="R467" i="4"/>
  <c r="AC31" i="1"/>
  <c r="R32" i="4"/>
  <c r="R143" i="4"/>
  <c r="AC64" i="1"/>
  <c r="S65" i="4" s="1"/>
  <c r="R65" i="4"/>
  <c r="AC120" i="1"/>
  <c r="S121" i="4" s="1"/>
  <c r="R121" i="4"/>
  <c r="AC145" i="1"/>
  <c r="S146" i="4" s="1"/>
  <c r="R146" i="4"/>
  <c r="AC177" i="1"/>
  <c r="S178" i="4" s="1"/>
  <c r="R178" i="4"/>
  <c r="AC298" i="1"/>
  <c r="R326" i="4"/>
  <c r="R299" i="4"/>
  <c r="AC322" i="1"/>
  <c r="S323" i="4" s="1"/>
  <c r="R323" i="4"/>
  <c r="AC427" i="1"/>
  <c r="R562" i="4"/>
  <c r="R428" i="4"/>
  <c r="AC56" i="1"/>
  <c r="S57" i="4" s="1"/>
  <c r="R57" i="4"/>
  <c r="AC89" i="1"/>
  <c r="S90" i="4" s="1"/>
  <c r="R90" i="4"/>
  <c r="AC154" i="1"/>
  <c r="R155" i="4"/>
  <c r="R588" i="4"/>
  <c r="AC226" i="1"/>
  <c r="S227" i="4" s="1"/>
  <c r="R227" i="4"/>
  <c r="AC428" i="1"/>
  <c r="S429" i="4" s="1"/>
  <c r="R429" i="4"/>
  <c r="AC460" i="1"/>
  <c r="S461" i="4" s="1"/>
  <c r="R461" i="4"/>
  <c r="AC516" i="1"/>
  <c r="S517" i="4" s="1"/>
  <c r="R517" i="4"/>
  <c r="AC556" i="1"/>
  <c r="S557" i="4" s="1"/>
  <c r="R557" i="4"/>
  <c r="AC16" i="1"/>
  <c r="S17" i="4" s="1"/>
  <c r="R17" i="4"/>
  <c r="AC74" i="1"/>
  <c r="S75" i="4" s="1"/>
  <c r="R75" i="4"/>
  <c r="AC106" i="1"/>
  <c r="S107" i="4" s="1"/>
  <c r="R107" i="4"/>
  <c r="AC324" i="1"/>
  <c r="S325" i="4" s="1"/>
  <c r="R325" i="4"/>
  <c r="AC364" i="1"/>
  <c r="S365" i="4" s="1"/>
  <c r="R365" i="4"/>
  <c r="AC396" i="1"/>
  <c r="S397" i="4" s="1"/>
  <c r="R397" i="4"/>
  <c r="AC429" i="1"/>
  <c r="S430" i="4" s="1"/>
  <c r="R430" i="4"/>
  <c r="AC461" i="1"/>
  <c r="S462" i="4" s="1"/>
  <c r="R462" i="4"/>
  <c r="AC132" i="1"/>
  <c r="R133" i="4"/>
  <c r="R348" i="4"/>
  <c r="AC164" i="1"/>
  <c r="S165" i="4" s="1"/>
  <c r="R165" i="4"/>
  <c r="AC204" i="1"/>
  <c r="S205" i="4" s="1"/>
  <c r="R205" i="4"/>
  <c r="AC236" i="1"/>
  <c r="S237" i="4" s="1"/>
  <c r="R237" i="4"/>
  <c r="AC260" i="1"/>
  <c r="R261" i="4"/>
  <c r="R352" i="4"/>
  <c r="AC293" i="1"/>
  <c r="S294" i="4" s="1"/>
  <c r="R294" i="4"/>
  <c r="AC333" i="1"/>
  <c r="S334" i="4" s="1"/>
  <c r="R334" i="4"/>
  <c r="AC373" i="1"/>
  <c r="S374" i="4" s="1"/>
  <c r="R374" i="4"/>
  <c r="AC405" i="1"/>
  <c r="S406" i="4" s="1"/>
  <c r="R406" i="4"/>
  <c r="AC446" i="1"/>
  <c r="S447" i="4" s="1"/>
  <c r="R447" i="4"/>
  <c r="AC478" i="1"/>
  <c r="S479" i="4" s="1"/>
  <c r="R479" i="4"/>
  <c r="AC518" i="1"/>
  <c r="S519" i="4" s="1"/>
  <c r="R519" i="4"/>
  <c r="AC18" i="1"/>
  <c r="S19" i="4" s="1"/>
  <c r="R19" i="4"/>
  <c r="AC51" i="1"/>
  <c r="S52" i="4" s="1"/>
  <c r="R52" i="4"/>
  <c r="AC116" i="1"/>
  <c r="S117" i="4" s="1"/>
  <c r="R117" i="4"/>
  <c r="AC366" i="1"/>
  <c r="R465" i="4"/>
  <c r="R367" i="4"/>
  <c r="AC406" i="1"/>
  <c r="S407" i="4" s="1"/>
  <c r="R407" i="4"/>
  <c r="AC447" i="1"/>
  <c r="S448" i="4" s="1"/>
  <c r="R448" i="4"/>
  <c r="AC487" i="1"/>
  <c r="S488" i="4" s="1"/>
  <c r="R488" i="4"/>
  <c r="AC519" i="1"/>
  <c r="S520" i="4" s="1"/>
  <c r="R520" i="4"/>
  <c r="AC559" i="1"/>
  <c r="S560" i="4" s="1"/>
  <c r="R560" i="4"/>
  <c r="AC599" i="1"/>
  <c r="S600" i="4" s="1"/>
  <c r="R600" i="4"/>
  <c r="AC600" i="1"/>
  <c r="S601" i="4" s="1"/>
  <c r="R601" i="4"/>
  <c r="AA126" i="1"/>
  <c r="AA30" i="1"/>
  <c r="AA61" i="1"/>
  <c r="AB61" i="1" s="1"/>
  <c r="AC61" i="1" s="1"/>
  <c r="AA418" i="1"/>
  <c r="AA265" i="1"/>
  <c r="S110" i="4" l="1"/>
  <c r="S217" i="4"/>
  <c r="S337" i="4"/>
  <c r="S575" i="4"/>
  <c r="S6" i="4"/>
  <c r="S27" i="4"/>
  <c r="S214" i="4"/>
  <c r="S596" i="4"/>
  <c r="S191" i="4"/>
  <c r="S156" i="4"/>
  <c r="S501" i="4"/>
  <c r="S320" i="4"/>
  <c r="S530" i="4"/>
  <c r="S314" i="4"/>
  <c r="S525" i="4"/>
  <c r="S497" i="4"/>
  <c r="S508" i="4"/>
  <c r="S129" i="4"/>
  <c r="S211" i="4"/>
  <c r="S49" i="4"/>
  <c r="S368" i="4"/>
  <c r="S375" i="4"/>
  <c r="S336" i="4"/>
  <c r="S194" i="4"/>
  <c r="S251" i="4"/>
  <c r="S402" i="4"/>
  <c r="S30" i="4"/>
  <c r="S257" i="4"/>
  <c r="S245" i="4"/>
  <c r="S307" i="4"/>
  <c r="S481" i="4"/>
  <c r="S38" i="4"/>
  <c r="S584" i="4"/>
  <c r="S168" i="4"/>
  <c r="S265" i="4"/>
  <c r="S499" i="4"/>
  <c r="S593" i="4"/>
  <c r="S87" i="4"/>
  <c r="S148" i="4"/>
  <c r="S299" i="4"/>
  <c r="S326" i="4"/>
  <c r="S142" i="4"/>
  <c r="S54" i="4"/>
  <c r="S511" i="4"/>
  <c r="S255" i="4"/>
  <c r="S33" i="4"/>
  <c r="S197" i="4"/>
  <c r="S363" i="4"/>
  <c r="S364" i="4"/>
  <c r="S345" i="4"/>
  <c r="S135" i="4"/>
  <c r="S222" i="4"/>
  <c r="S574" i="4"/>
  <c r="S69" i="4"/>
  <c r="S131" i="4"/>
  <c r="S527" i="4"/>
  <c r="S254" i="4"/>
  <c r="S238" i="4"/>
  <c r="S372" i="4"/>
  <c r="S41" i="4"/>
  <c r="S195" i="4"/>
  <c r="S298" i="4"/>
  <c r="S470" i="4"/>
  <c r="S297" i="4"/>
  <c r="S418" i="4"/>
  <c r="S404" i="4"/>
  <c r="S408" i="4"/>
  <c r="S276" i="4"/>
  <c r="S537" i="4"/>
  <c r="S261" i="4"/>
  <c r="S352" i="4"/>
  <c r="S562" i="4"/>
  <c r="S428" i="4"/>
  <c r="S143" i="4"/>
  <c r="S32" i="4"/>
  <c r="S233" i="4"/>
  <c r="S236" i="4"/>
  <c r="S393" i="4"/>
  <c r="S89" i="4"/>
  <c r="S20" i="4"/>
  <c r="S347" i="4"/>
  <c r="S58" i="4"/>
  <c r="S551" i="4"/>
  <c r="S220" i="4"/>
  <c r="S190" i="4"/>
  <c r="S16" i="4"/>
  <c r="S344" i="4"/>
  <c r="S62" i="4"/>
  <c r="S50" i="4"/>
  <c r="S155" i="4"/>
  <c r="S588" i="4"/>
  <c r="S494" i="4"/>
  <c r="S545" i="4"/>
  <c r="S93" i="4"/>
  <c r="S322" i="4"/>
  <c r="S44" i="4"/>
  <c r="S315" i="4"/>
  <c r="S567" i="4"/>
  <c r="S101" i="4"/>
  <c r="S586" i="4"/>
  <c r="S361" i="4"/>
  <c r="S203" i="4"/>
  <c r="S324" i="4"/>
  <c r="S581" i="4"/>
  <c r="S130" i="4"/>
  <c r="S573" i="4"/>
  <c r="S559" i="4"/>
  <c r="S290" i="4"/>
  <c r="S179" i="4"/>
  <c r="S452" i="4"/>
  <c r="S493" i="4"/>
  <c r="S409" i="4"/>
  <c r="S598" i="4"/>
  <c r="S246" i="4"/>
  <c r="S198" i="4"/>
  <c r="S578" i="4"/>
  <c r="S569" i="4"/>
  <c r="S353" i="4"/>
  <c r="S355" i="4"/>
  <c r="S414" i="4"/>
  <c r="S440" i="4"/>
  <c r="S199" i="4"/>
  <c r="S349" i="4"/>
  <c r="S158" i="4"/>
  <c r="S259" i="4"/>
  <c r="S317" i="4"/>
  <c r="S599" i="4"/>
  <c r="S13" i="4"/>
  <c r="S456" i="4"/>
  <c r="S98" i="4"/>
  <c r="S552" i="4"/>
  <c r="S589" i="4"/>
  <c r="S416" i="4"/>
  <c r="S224" i="4"/>
  <c r="S97" i="4"/>
  <c r="S4" i="4"/>
  <c r="S152" i="4"/>
  <c r="S522" i="4"/>
  <c r="S47" i="4"/>
  <c r="S367" i="4"/>
  <c r="S465" i="4"/>
  <c r="S348" i="4"/>
  <c r="S133" i="4"/>
  <c r="S434" i="4"/>
  <c r="S184" i="4"/>
  <c r="S433" i="4"/>
  <c r="S123" i="4"/>
  <c r="S11" i="4"/>
  <c r="S37" i="4"/>
  <c r="S350" i="4"/>
  <c r="S515" i="4"/>
  <c r="S485" i="4"/>
  <c r="S84" i="4"/>
  <c r="AB418" i="1"/>
  <c r="N419" i="4"/>
  <c r="AB265" i="1"/>
  <c r="N266" i="4"/>
  <c r="AB30" i="1"/>
  <c r="N31" i="4"/>
  <c r="AB126" i="1"/>
  <c r="N127" i="4"/>
  <c r="N247" i="4"/>
  <c r="N160" i="4"/>
  <c r="AC265" i="1" l="1"/>
  <c r="S266" i="4" s="1"/>
  <c r="R266" i="4"/>
  <c r="AC418" i="1"/>
  <c r="S419" i="4" s="1"/>
  <c r="R419" i="4"/>
  <c r="AC126" i="1"/>
  <c r="R127" i="4"/>
  <c r="R247" i="4"/>
  <c r="R160" i="4"/>
  <c r="AC30" i="1"/>
  <c r="S31" i="4" s="1"/>
  <c r="R31" i="4"/>
  <c r="S127" i="4" l="1"/>
  <c r="S247" i="4"/>
  <c r="S160" i="4"/>
</calcChain>
</file>

<file path=xl/sharedStrings.xml><?xml version="1.0" encoding="utf-8"?>
<sst xmlns="http://schemas.openxmlformats.org/spreadsheetml/2006/main" count="9021" uniqueCount="2021">
  <si>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</si>
  <si>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</si>
  <si>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</si>
  <si>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</si>
  <si>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</si>
  <si>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</si>
  <si>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</si>
  <si>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</si>
  <si>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</si>
  <si>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</si>
  <si>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</si>
  <si>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</si>
  <si>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</si>
  <si>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</si>
  <si>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</si>
  <si>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</si>
  <si>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</si>
  <si>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</si>
  <si>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</si>
  <si>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</si>
  <si>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</si>
  <si>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</si>
  <si>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</si>
  <si>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</si>
  <si>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</si>
  <si>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</si>
  <si>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</si>
  <si>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</si>
  <si>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</si>
  <si>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</si>
  <si>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</si>
  <si>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</si>
  <si>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</si>
  <si>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</si>
  <si>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</si>
  <si>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</si>
  <si>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</si>
  <si>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</si>
  <si>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</si>
  <si>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</si>
  <si>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</si>
  <si>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</si>
  <si>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</si>
  <si>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</si>
  <si>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</si>
  <si>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</si>
  <si>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</si>
  <si>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</si>
  <si>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</si>
  <si>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</si>
  <si>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</si>
  <si>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</si>
  <si>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</si>
  <si>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</si>
  <si>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</si>
  <si>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</si>
  <si>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</si>
  <si>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</si>
  <si>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</si>
  <si>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</si>
  <si>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</si>
  <si>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</si>
  <si>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</si>
  <si>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</si>
  <si>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</si>
  <si>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</si>
  <si>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</si>
  <si>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</si>
  <si>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</si>
  <si>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</si>
  <si>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</si>
  <si>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</si>
  <si>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</si>
  <si>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</si>
  <si>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</si>
  <si>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</si>
  <si>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</si>
  <si>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</si>
  <si>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</si>
  <si>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</si>
  <si>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</si>
  <si>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</si>
  <si>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</si>
  <si>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</si>
  <si>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</si>
  <si>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</si>
  <si>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</si>
  <si>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</si>
  <si>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</si>
  <si>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</si>
  <si>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</si>
  <si>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</si>
  <si>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</si>
  <si>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</si>
  <si>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</si>
  <si>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</si>
  <si>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</si>
  <si>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</si>
  <si>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</si>
  <si>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</si>
  <si>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</si>
  <si>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</si>
  <si>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</si>
  <si>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</si>
  <si>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</si>
  <si>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</si>
  <si>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</si>
  <si>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</si>
  <si>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</si>
  <si>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</si>
  <si>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</si>
  <si>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</si>
  <si>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</si>
  <si>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</si>
  <si>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</si>
  <si>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</si>
  <si>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</si>
  <si>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</si>
  <si>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</si>
  <si>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</si>
  <si>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</si>
  <si>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</si>
  <si>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</si>
  <si>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</si>
  <si>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</si>
  <si>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</si>
  <si>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</si>
  <si>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</si>
  <si>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</si>
  <si>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</si>
  <si>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</si>
  <si>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</si>
  <si>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</si>
  <si>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</si>
  <si>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</si>
  <si>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</si>
  <si>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</si>
  <si>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</si>
  <si>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</si>
  <si>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</si>
  <si>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</si>
  <si>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</si>
  <si>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</si>
  <si>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</si>
  <si>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</si>
  <si>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</si>
  <si>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</si>
  <si>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</si>
  <si>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</si>
  <si>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</si>
  <si>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</si>
  <si>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</si>
  <si>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</si>
  <si>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</si>
  <si>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</si>
  <si>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</si>
  <si>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</si>
  <si>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</si>
  <si>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</si>
  <si>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</si>
  <si>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</si>
  <si>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</si>
  <si>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</si>
  <si>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</si>
  <si>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</si>
  <si>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</si>
  <si>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</si>
  <si>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</si>
  <si>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</si>
  <si>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</si>
  <si>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</si>
  <si>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</si>
  <si>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</si>
  <si>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</si>
  <si>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</si>
  <si>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</si>
  <si>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</si>
  <si>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</si>
  <si>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</si>
  <si>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</si>
  <si>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</si>
  <si>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</si>
  <si>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</si>
  <si>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</si>
  <si>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</si>
  <si>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</si>
  <si>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</si>
  <si>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</si>
  <si>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</si>
  <si>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</si>
  <si>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</si>
  <si>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</si>
  <si>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</si>
  <si>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</si>
  <si>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</si>
  <si>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</si>
  <si>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</si>
  <si>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</si>
  <si>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</si>
  <si>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</si>
  <si>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</si>
  <si>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</si>
  <si>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</si>
  <si>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</si>
  <si>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</si>
  <si>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</si>
  <si>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</si>
  <si>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</si>
  <si>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</si>
  <si>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</si>
  <si>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</si>
  <si>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</si>
  <si>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</si>
  <si>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</si>
  <si>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</si>
  <si>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</si>
  <si>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</si>
  <si>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</si>
  <si>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</si>
  <si>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</si>
  <si>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</si>
  <si>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</si>
  <si>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</si>
  <si>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</si>
  <si>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</si>
  <si>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</si>
  <si>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</si>
  <si>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</si>
  <si>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</si>
  <si>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</si>
  <si>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</si>
  <si>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</si>
  <si>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</si>
  <si>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</si>
  <si>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</si>
  <si>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</si>
  <si>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</si>
  <si>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</si>
  <si>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</si>
  <si>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</si>
  <si>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</si>
  <si>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</si>
  <si>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</si>
  <si>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</si>
  <si>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</si>
  <si>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</si>
  <si>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</si>
  <si>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</si>
  <si>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</si>
  <si>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</si>
  <si>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</si>
  <si>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</si>
  <si>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</si>
  <si>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</si>
  <si>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</si>
  <si>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</si>
  <si>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</si>
  <si>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</si>
  <si>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</si>
  <si>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</si>
  <si>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</si>
  <si>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</si>
  <si>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</si>
  <si>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</si>
  <si>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</si>
  <si>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</si>
  <si>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</si>
  <si>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</si>
  <si>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</si>
  <si>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</si>
  <si>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</si>
  <si>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</si>
  <si>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</si>
  <si>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</si>
  <si>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</si>
  <si>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</si>
  <si>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</si>
  <si>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</si>
  <si>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</si>
  <si>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</si>
  <si>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</si>
  <si>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</si>
  <si>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</si>
  <si>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</si>
  <si>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</si>
  <si>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</si>
  <si>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</si>
  <si>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</si>
  <si>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</si>
  <si>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</si>
  <si>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</si>
  <si>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</si>
  <si>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</si>
  <si>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</si>
  <si>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</si>
  <si>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</si>
  <si>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</si>
  <si>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</si>
  <si>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</si>
  <si>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</si>
  <si>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</si>
  <si>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</si>
  <si>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</si>
  <si>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</si>
  <si>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</si>
  <si>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</si>
  <si>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</si>
  <si>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</si>
  <si>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</si>
  <si>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</si>
  <si>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</si>
  <si>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</si>
  <si>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</si>
  <si>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</si>
  <si>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</si>
  <si>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</si>
  <si>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</si>
  <si>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</si>
  <si>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</si>
  <si>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</si>
  <si>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</si>
  <si>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</si>
  <si>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</si>
  <si>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</si>
  <si>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</si>
  <si>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</si>
  <si>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</si>
  <si>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</si>
  <si>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</si>
  <si>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</si>
  <si>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</si>
  <si>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</si>
  <si>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</si>
  <si>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</si>
  <si>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</si>
  <si>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</si>
  <si>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</si>
  <si>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</si>
  <si>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</si>
  <si>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</si>
  <si>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</si>
  <si>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</si>
  <si>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</si>
  <si>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</si>
  <si>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</si>
  <si>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</si>
  <si>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</si>
  <si>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</si>
  <si>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</si>
  <si>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</si>
  <si>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</si>
  <si>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</si>
  <si>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</si>
  <si>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</si>
  <si>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</si>
  <si>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</si>
  <si>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</si>
  <si>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</si>
  <si>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</si>
  <si>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</si>
  <si>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</si>
  <si>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</si>
  <si>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</si>
  <si>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</si>
  <si>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</si>
  <si>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</si>
  <si>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</si>
  <si>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</si>
  <si>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</si>
  <si>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</si>
  <si>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</si>
  <si>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</si>
  <si>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</si>
  <si>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</si>
  <si>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</si>
  <si>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</si>
  <si>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</si>
  <si>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</si>
  <si>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</si>
  <si>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</si>
  <si>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</si>
  <si>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</si>
  <si>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</si>
  <si>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</si>
  <si>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</si>
  <si>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</si>
  <si>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</si>
  <si>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</si>
  <si>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</si>
  <si>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</si>
  <si>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</si>
  <si>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</si>
  <si>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</si>
  <si>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</si>
  <si>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</si>
  <si>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</si>
  <si>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</si>
  <si>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</si>
  <si>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</si>
  <si>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</si>
  <si>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</si>
  <si>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</si>
  <si>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</si>
  <si>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</si>
  <si>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</si>
  <si>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</si>
  <si>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</si>
  <si>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</si>
  <si>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</si>
  <si>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</si>
  <si>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</si>
  <si>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</si>
  <si>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</si>
  <si>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</si>
  <si>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</si>
  <si>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</si>
  <si>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</si>
  <si>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</si>
  <si>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</si>
  <si>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</si>
  <si>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</si>
  <si>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</si>
  <si>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</si>
  <si>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</si>
  <si>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</si>
  <si>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</si>
  <si>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</si>
  <si>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</si>
  <si>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</si>
  <si>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</si>
  <si>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</si>
  <si>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</si>
  <si>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</si>
  <si>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</si>
  <si>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</si>
  <si>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</si>
  <si>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</si>
  <si>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</si>
  <si>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</si>
  <si>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</si>
  <si>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</si>
  <si>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</si>
  <si>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</si>
  <si>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</si>
  <si>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</si>
  <si>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</si>
  <si>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</si>
  <si>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</si>
  <si>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</si>
  <si>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</si>
  <si>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</si>
  <si>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</si>
  <si>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</si>
  <si>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</si>
  <si>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</si>
  <si>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</si>
  <si>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</si>
  <si>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</si>
  <si>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</si>
  <si>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</si>
  <si>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</si>
  <si>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</si>
  <si>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</si>
  <si>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</si>
  <si>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</si>
  <si>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</si>
  <si>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</si>
  <si>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</si>
  <si>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</si>
  <si>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</si>
  <si>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</si>
  <si>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</si>
  <si>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</si>
  <si>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</si>
  <si>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</si>
  <si>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</si>
  <si>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</si>
  <si>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</si>
  <si>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</si>
  <si>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</si>
  <si>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</si>
  <si>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</si>
  <si>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</si>
  <si>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</si>
  <si>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</si>
  <si>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</si>
  <si>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</si>
  <si>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</si>
  <si>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</si>
  <si>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</si>
  <si>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</si>
  <si>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</si>
  <si>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</si>
  <si>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</si>
  <si>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</si>
  <si>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</si>
  <si>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</si>
  <si>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</si>
  <si>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</si>
  <si>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</si>
  <si>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</si>
  <si>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</si>
  <si>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</si>
  <si>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</si>
  <si>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</si>
  <si>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</si>
  <si>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</si>
  <si>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</si>
  <si>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</si>
  <si>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</si>
  <si>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</si>
  <si>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</si>
  <si>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</si>
  <si>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</si>
  <si>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</si>
  <si>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</si>
  <si>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</si>
  <si>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</si>
  <si>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</si>
  <si>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</si>
  <si>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</si>
  <si>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</si>
  <si>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</si>
  <si>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</si>
  <si>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</si>
  <si>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</si>
  <si>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</si>
  <si>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</si>
  <si>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</si>
  <si>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</si>
  <si>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</si>
  <si>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</si>
  <si>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</si>
  <si>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</si>
  <si>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</si>
  <si>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</si>
  <si>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</si>
  <si>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</si>
  <si>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</si>
  <si>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</si>
  <si>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</si>
  <si>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</si>
  <si>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</si>
  <si>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</si>
  <si>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</si>
  <si>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</si>
  <si>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</si>
  <si>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</si>
  <si>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</si>
  <si>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</si>
  <si>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</si>
  <si>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</si>
  <si>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</si>
  <si>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</si>
  <si>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</si>
  <si>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</si>
  <si>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</si>
  <si>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</si>
  <si>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</si>
  <si>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</si>
  <si>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</si>
  <si>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</si>
  <si>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</si>
  <si>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</si>
  <si>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</si>
  <si>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</si>
  <si>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</si>
  <si>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</si>
  <si>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</si>
  <si>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</si>
  <si>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</si>
  <si>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</si>
  <si>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</si>
  <si>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</si>
  <si>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</si>
  <si>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</si>
  <si>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</si>
  <si>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</si>
  <si>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</si>
  <si>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</si>
  <si>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</si>
  <si>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</si>
  <si>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</si>
  <si>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</si>
  <si>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</si>
  <si>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</si>
  <si>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</si>
  <si>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</si>
  <si>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</si>
  <si>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</si>
  <si>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</si>
  <si>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</si>
  <si>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</si>
  <si>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</si>
  <si>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</si>
  <si>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</si>
  <si>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</si>
  <si>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</si>
  <si>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</si>
  <si>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</si>
  <si>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</si>
  <si>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</si>
  <si>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</si>
  <si>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</si>
  <si>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</si>
  <si>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</si>
  <si>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</si>
  <si>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</si>
  <si>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</si>
  <si>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</si>
  <si>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</si>
  <si>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</si>
  <si>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</si>
  <si>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</si>
  <si>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</si>
  <si>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</si>
  <si>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</si>
  <si>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</si>
  <si>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</si>
  <si>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</si>
  <si>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</si>
  <si>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</si>
  <si>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</si>
  <si>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</si>
  <si>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</si>
  <si>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</si>
  <si>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</si>
  <si>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</si>
  <si>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</si>
  <si>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</si>
  <si>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</si>
  <si>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</si>
  <si>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</si>
  <si>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</si>
  <si>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</si>
  <si>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</si>
  <si>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</si>
  <si>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</si>
  <si>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</si>
  <si>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</si>
  <si>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</si>
  <si>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</si>
  <si>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</si>
  <si>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</si>
  <si>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</si>
  <si>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</si>
  <si>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</si>
  <si>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</si>
  <si>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</si>
  <si>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</si>
  <si>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</si>
  <si>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</si>
  <si>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</si>
  <si>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</si>
  <si>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</si>
  <si>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</si>
  <si>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</si>
  <si>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</si>
  <si>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</si>
  <si>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</si>
  <si>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</si>
  <si>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</si>
  <si>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</si>
  <si>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</si>
  <si>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</si>
  <si>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</si>
  <si>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</si>
  <si>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</si>
  <si>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</si>
  <si>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</si>
  <si>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</si>
  <si>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</si>
  <si>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</si>
  <si>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</si>
  <si>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</si>
  <si>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</si>
  <si>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</si>
  <si>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</si>
  <si>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</si>
  <si>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</si>
  <si>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</si>
  <si>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</si>
  <si>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</si>
  <si>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</si>
  <si>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</si>
  <si>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</si>
  <si>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</si>
  <si>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</si>
  <si>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</si>
  <si>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</si>
  <si>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</si>
  <si>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</si>
  <si>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</si>
  <si>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</si>
  <si>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</si>
  <si>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</si>
  <si>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</si>
  <si>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</si>
  <si>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</si>
  <si>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</si>
  <si>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</si>
  <si>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</si>
  <si>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</si>
  <si>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</si>
  <si>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</si>
  <si>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</si>
  <si>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</si>
  <si>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</si>
  <si>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</si>
  <si>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</si>
  <si>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</si>
  <si>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</si>
  <si>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</si>
  <si>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</si>
  <si>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</si>
  <si>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</si>
  <si>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</si>
  <si>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</si>
  <si>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</si>
  <si>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</si>
  <si>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</si>
  <si>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</si>
  <si>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</si>
  <si>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</si>
  <si>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</si>
  <si>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</si>
  <si>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</si>
  <si>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</si>
  <si>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</si>
  <si>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</si>
  <si>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</si>
  <si>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</si>
  <si>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</si>
  <si>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</si>
  <si>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</si>
  <si>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</si>
  <si>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</si>
  <si>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</si>
  <si>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</si>
  <si>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</si>
  <si>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</si>
  <si>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</si>
  <si>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</si>
  <si>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</si>
  <si>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</si>
  <si>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</si>
  <si>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</si>
  <si>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</si>
  <si>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</si>
  <si>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</si>
  <si>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</si>
  <si>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</si>
  <si>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</si>
  <si>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</si>
  <si>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</si>
  <si>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</si>
  <si>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</si>
  <si>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</si>
  <si>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</si>
  <si>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</si>
  <si>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</si>
  <si>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</si>
  <si>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</si>
  <si>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</si>
  <si>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</si>
  <si>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</si>
  <si>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</si>
  <si>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</si>
  <si>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</si>
  <si>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</si>
  <si>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</si>
  <si>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</si>
  <si>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</si>
  <si>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</si>
  <si>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</si>
  <si>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</si>
  <si>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</si>
  <si>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</si>
  <si>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</si>
  <si>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</si>
  <si>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</si>
  <si>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</si>
  <si>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</si>
  <si>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</si>
  <si>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</si>
  <si>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</si>
  <si>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</si>
  <si>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</si>
  <si>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</si>
  <si>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</si>
  <si>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</si>
  <si>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</si>
  <si>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</si>
  <si>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</si>
  <si>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</si>
  <si>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</si>
  <si>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</si>
  <si>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</si>
  <si>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</si>
  <si>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</si>
  <si>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</si>
  <si>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</si>
  <si>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</si>
  <si>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</si>
  <si>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</si>
  <si>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</si>
  <si>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</si>
  <si>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</si>
  <si>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</si>
  <si>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</si>
  <si>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</si>
  <si>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</si>
  <si>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</si>
  <si>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</si>
  <si>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</si>
  <si>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</si>
  <si>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</si>
  <si>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</si>
  <si>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</si>
  <si>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</si>
  <si>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</si>
  <si>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</si>
  <si>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</si>
  <si>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</si>
  <si>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</si>
  <si>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</si>
  <si>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</si>
  <si>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</si>
  <si>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</si>
  <si>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</si>
  <si>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</si>
  <si>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</si>
  <si>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</si>
  <si>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</si>
  <si>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</si>
  <si>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</si>
  <si>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</si>
  <si>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</si>
  <si>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</si>
  <si>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</si>
  <si>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</si>
  <si>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</si>
  <si>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</si>
  <si>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</si>
  <si>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</si>
  <si>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</si>
  <si>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</si>
  <si>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</si>
  <si>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</si>
  <si>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</si>
  <si>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</si>
  <si>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</si>
  <si>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</si>
  <si>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</si>
  <si>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</si>
  <si>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</si>
  <si>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</si>
  <si>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</si>
  <si>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</si>
  <si>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</si>
  <si>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</si>
  <si>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</si>
  <si>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</si>
  <si>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</si>
  <si>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</si>
  <si>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</si>
  <si>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</si>
  <si>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</si>
  <si>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</si>
  <si>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</si>
  <si>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</si>
  <si>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</si>
  <si>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</si>
  <si>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</si>
  <si>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</si>
  <si>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</si>
  <si>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</si>
  <si>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</si>
  <si>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</si>
  <si>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</si>
  <si>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</si>
  <si>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</si>
  <si>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</si>
  <si>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</si>
  <si>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</si>
  <si>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</si>
  <si>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</si>
  <si>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</si>
  <si>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</si>
  <si>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</si>
  <si>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</si>
  <si>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</si>
  <si>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</si>
  <si>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</si>
  <si>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</si>
  <si>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</si>
  <si>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</si>
  <si>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</si>
  <si>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</si>
  <si>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</si>
  <si>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</si>
  <si>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</si>
  <si>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</si>
  <si>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</si>
  <si>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</si>
  <si>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</si>
  <si>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</si>
  <si>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</si>
  <si>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</si>
  <si>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</si>
  <si>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</si>
  <si>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</si>
  <si>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</si>
  <si>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</si>
  <si>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</si>
  <si>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</si>
  <si>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</si>
  <si>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</si>
  <si>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</si>
  <si>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</si>
  <si>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</si>
  <si>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</si>
  <si>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</si>
  <si>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</si>
  <si>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</si>
  <si>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</si>
  <si>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</si>
  <si>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</si>
  <si>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</si>
  <si>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</si>
  <si>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</si>
  <si>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</si>
  <si>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</si>
  <si>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</si>
  <si>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</si>
  <si>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</si>
  <si>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</si>
  <si>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</si>
  <si>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</si>
  <si>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</si>
  <si>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</si>
  <si>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</si>
  <si>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</si>
  <si>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</si>
  <si>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</si>
  <si>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</si>
  <si>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</si>
  <si>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</si>
  <si>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</si>
  <si>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</si>
  <si>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</si>
  <si>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</si>
  <si>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</si>
  <si>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</si>
  <si>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</si>
  <si>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</si>
  <si>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</si>
  <si>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</si>
  <si>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</si>
  <si>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</si>
  <si>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</si>
  <si>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</si>
  <si>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</si>
  <si>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</si>
  <si>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</si>
  <si>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</si>
  <si>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</si>
  <si>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</si>
  <si>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</si>
  <si>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</si>
  <si>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</si>
  <si>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</si>
  <si>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</si>
  <si>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</si>
  <si>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</si>
  <si>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</si>
  <si>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</si>
  <si>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</si>
  <si>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</si>
  <si>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</si>
  <si>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</si>
  <si>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</si>
  <si>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</si>
  <si>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</si>
  <si>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</si>
  <si>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</si>
  <si>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</si>
  <si>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</si>
  <si>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</si>
  <si>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</si>
  <si>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</si>
  <si>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</si>
  <si>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</si>
  <si>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</si>
  <si>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</si>
  <si>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</si>
  <si>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</si>
  <si>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</si>
  <si>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</si>
  <si>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</si>
  <si>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</si>
  <si>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</si>
  <si>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</si>
  <si>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</si>
  <si>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</si>
  <si>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</si>
  <si>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</si>
  <si>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</si>
  <si>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</si>
  <si>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</si>
  <si>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</si>
  <si>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</si>
  <si>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</si>
  <si>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</si>
  <si>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</si>
  <si>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</si>
  <si>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</si>
  <si>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</si>
  <si>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</si>
  <si>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</si>
  <si>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</si>
  <si>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</si>
  <si>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</si>
  <si>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</si>
  <si>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</si>
  <si>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</si>
  <si>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</si>
  <si>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</si>
  <si>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</si>
  <si>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</si>
  <si>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</si>
  <si>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</si>
  <si>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</si>
  <si>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</si>
  <si>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</si>
  <si>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</si>
  <si>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</si>
  <si>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</si>
  <si>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</si>
  <si>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</si>
  <si>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</si>
  <si>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</si>
  <si>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</si>
  <si>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</si>
  <si>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</si>
  <si>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</si>
  <si>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</si>
  <si>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</si>
  <si>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</si>
  <si>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</si>
  <si>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</si>
  <si>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</si>
  <si>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</si>
  <si>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</si>
  <si>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</si>
  <si>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</si>
  <si>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</si>
  <si>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</si>
  <si>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</si>
  <si>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</si>
  <si>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</si>
  <si>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</si>
  <si>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</si>
  <si>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</si>
  <si>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</si>
  <si>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</si>
  <si>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</si>
  <si>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</si>
  <si>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</si>
  <si>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</si>
  <si>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</si>
  <si>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</si>
  <si>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</si>
  <si>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</si>
  <si>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</si>
  <si>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</si>
  <si>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</si>
  <si>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</si>
  <si>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</si>
  <si>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</si>
  <si>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</si>
  <si>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</si>
  <si>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</si>
  <si>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</si>
  <si>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</si>
  <si>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</si>
  <si>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</si>
  <si>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</si>
  <si>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</si>
  <si>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</si>
  <si>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</si>
  <si>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</si>
  <si>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</si>
  <si>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</si>
  <si>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</si>
  <si>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</si>
  <si>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</si>
  <si>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</si>
  <si>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</si>
  <si>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</si>
  <si>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</si>
  <si>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</si>
  <si>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</si>
  <si>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</si>
  <si>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</si>
  <si>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</si>
  <si>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</si>
  <si>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</si>
  <si>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</si>
  <si>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</si>
  <si>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</si>
  <si>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</si>
  <si>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</si>
  <si>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</si>
  <si>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</si>
  <si>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</si>
  <si>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</si>
  <si>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</si>
  <si>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</si>
  <si>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</si>
  <si>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</si>
  <si>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</si>
  <si>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</si>
  <si>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</si>
  <si>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</si>
  <si>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</si>
  <si>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</si>
  <si>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</si>
  <si>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</si>
  <si>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</si>
  <si>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</si>
  <si>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</si>
  <si>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</si>
  <si>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</si>
  <si>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</si>
  <si>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</si>
  <si>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</si>
  <si>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</si>
  <si>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</si>
  <si>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</si>
  <si>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</si>
  <si>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</si>
  <si>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</si>
  <si>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</si>
  <si>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</si>
  <si>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</si>
  <si>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</si>
  <si>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</si>
  <si>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</si>
  <si>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</si>
  <si>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</si>
  <si>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</si>
  <si>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</si>
  <si>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</si>
  <si>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</si>
  <si>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</si>
  <si>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</si>
  <si>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</si>
  <si>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</si>
  <si>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</si>
  <si>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</si>
  <si>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</si>
  <si>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</si>
  <si>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</si>
  <si>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</si>
  <si>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</si>
  <si>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</si>
  <si>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</si>
  <si>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</si>
  <si>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</si>
  <si>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</si>
  <si>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</si>
  <si>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</si>
  <si>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</si>
  <si>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</si>
  <si>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</si>
  <si>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</si>
  <si>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</si>
  <si>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</si>
  <si>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</si>
  <si>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</si>
  <si>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</si>
  <si>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</si>
  <si>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</si>
  <si>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</si>
  <si>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</si>
  <si>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</si>
  <si>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</si>
  <si>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</si>
  <si>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</si>
  <si>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</si>
  <si>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</si>
  <si>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</si>
  <si>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</si>
  <si>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</si>
  <si>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</si>
  <si>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</si>
  <si>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</si>
  <si>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</si>
  <si>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</si>
  <si>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</si>
  <si>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</si>
  <si>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</si>
  <si>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</si>
  <si>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</si>
  <si>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</si>
  <si>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</si>
  <si>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</si>
  <si>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</si>
  <si>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</si>
  <si>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</si>
  <si>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</si>
  <si>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</si>
  <si>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</si>
  <si>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</si>
  <si>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</si>
  <si>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</si>
  <si>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</si>
  <si>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</si>
  <si>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</si>
  <si>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</si>
  <si>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</si>
  <si>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</si>
  <si>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</si>
  <si>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</si>
  <si>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</si>
  <si>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</si>
  <si>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</si>
  <si>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</si>
  <si>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</si>
  <si>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</si>
  <si>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</si>
  <si>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</si>
  <si>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</si>
  <si>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</si>
  <si>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</si>
  <si>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</si>
  <si>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</si>
  <si>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</si>
  <si>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</si>
  <si>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</si>
  <si>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</si>
  <si>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</si>
  <si>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</si>
  <si>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</si>
  <si>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</si>
  <si>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</si>
  <si>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</si>
  <si>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</si>
  <si>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</si>
  <si>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</si>
  <si>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</si>
  <si>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</si>
  <si>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</si>
  <si>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</si>
  <si>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</si>
  <si>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</si>
  <si>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</si>
  <si>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</si>
  <si>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</si>
  <si>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</si>
  <si>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</si>
  <si>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</si>
  <si>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</si>
  <si>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</si>
  <si>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</si>
  <si>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</si>
  <si>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</si>
  <si>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</si>
  <si>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</si>
  <si>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</si>
  <si>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</si>
  <si>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</si>
  <si>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</si>
  <si>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</si>
  <si>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</si>
  <si>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</si>
  <si>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</si>
  <si>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</si>
  <si>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</si>
  <si>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</si>
  <si>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</si>
  <si>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</si>
  <si>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</si>
  <si>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</si>
  <si>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</si>
  <si>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</si>
  <si>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</si>
  <si>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</si>
  <si>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</si>
  <si>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</si>
  <si>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</si>
  <si>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</si>
  <si>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</si>
  <si>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</si>
  <si>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</si>
  <si>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</si>
  <si>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</si>
  <si>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</si>
  <si>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</si>
  <si>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</si>
  <si>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</si>
  <si>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</si>
  <si>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</si>
  <si>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</si>
  <si>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</si>
  <si>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</si>
  <si>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</si>
  <si>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</si>
  <si>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</si>
  <si>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</si>
  <si>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</si>
  <si>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</si>
  <si>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</si>
  <si>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</si>
  <si>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</si>
  <si>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</si>
  <si>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</si>
  <si>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</si>
  <si>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</si>
  <si>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</si>
  <si>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</si>
  <si>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</si>
  <si>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</si>
  <si>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</si>
  <si>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</si>
  <si>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</si>
  <si>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</si>
  <si>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</si>
  <si>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</si>
  <si>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</si>
  <si>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</si>
  <si>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</si>
  <si>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</si>
  <si>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</si>
  <si>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</si>
  <si>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</si>
  <si>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</si>
  <si>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</si>
  <si>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</si>
  <si>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</si>
  <si>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</si>
  <si>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</si>
  <si>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</si>
  <si>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</si>
  <si>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</si>
  <si>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</si>
  <si>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</si>
  <si>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</si>
  <si>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</si>
  <si>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</si>
  <si>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</si>
  <si>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</si>
  <si>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</si>
  <si>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</si>
  <si>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</si>
  <si>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</si>
  <si>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</si>
  <si>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</si>
  <si>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</si>
  <si>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</si>
  <si>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</si>
  <si>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</si>
  <si>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</si>
  <si>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</si>
  <si>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</si>
  <si>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</si>
  <si>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</si>
  <si>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</si>
  <si>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</si>
  <si>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</si>
  <si>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</si>
  <si>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</si>
  <si>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</si>
  <si>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</si>
  <si>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</si>
  <si>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</si>
  <si>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</si>
  <si>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</si>
  <si>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</si>
  <si>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</si>
  <si>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</si>
  <si>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</si>
  <si>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</si>
  <si>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</si>
  <si>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</si>
  <si>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</si>
  <si>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</si>
  <si>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</si>
  <si>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</si>
  <si>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</si>
  <si>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</si>
  <si>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</si>
  <si>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</si>
  <si>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</si>
  <si>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</si>
  <si>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</si>
  <si>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</si>
  <si>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</si>
  <si>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</si>
  <si>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</si>
  <si>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</si>
  <si>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</si>
  <si>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</si>
  <si>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</si>
  <si>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</si>
  <si>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</si>
  <si>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</si>
  <si>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</si>
  <si>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</si>
  <si>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</si>
  <si>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</si>
  <si>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</si>
  <si>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</si>
  <si>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</si>
  <si>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</si>
  <si>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</si>
  <si>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</si>
  <si>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</si>
  <si>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</si>
  <si>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</si>
  <si>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</si>
  <si>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</si>
  <si>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</si>
  <si>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</si>
  <si>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</si>
  <si>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</si>
  <si>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</si>
  <si>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</si>
  <si>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</si>
  <si>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</si>
  <si>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</si>
  <si>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</si>
  <si>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</si>
  <si>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</si>
  <si>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</si>
  <si>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</si>
  <si>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</si>
  <si>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</si>
  <si>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</si>
  <si>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</si>
  <si>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</si>
  <si>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</si>
  <si>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</si>
  <si>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</si>
  <si>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</si>
  <si>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</si>
  <si>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</si>
  <si>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</si>
  <si>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</si>
  <si>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</si>
  <si>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</si>
  <si>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</si>
  <si>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</si>
  <si>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</si>
  <si>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</si>
  <si>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</si>
  <si>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</si>
  <si>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</si>
  <si>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</si>
  <si>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</si>
  <si>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</si>
  <si>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</si>
  <si>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</si>
  <si>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</si>
  <si>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</si>
  <si>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</si>
  <si>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</si>
  <si>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</si>
  <si>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</si>
  <si>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</si>
  <si>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</si>
  <si>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</si>
  <si>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</si>
  <si>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</si>
  <si>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</si>
  <si>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</si>
  <si>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</si>
  <si>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</si>
  <si>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</si>
  <si>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</si>
  <si>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</si>
  <si>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</si>
  <si>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</si>
  <si>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</si>
  <si>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</si>
  <si>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</si>
  <si>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</si>
  <si>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</si>
  <si>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</si>
  <si>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</si>
  <si>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</si>
  <si>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</si>
  <si>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</si>
  <si>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</si>
  <si>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</si>
  <si>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</si>
  <si>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</si>
  <si>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</si>
  <si>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</si>
  <si>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</si>
  <si>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</si>
  <si>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</si>
  <si>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</si>
  <si>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</si>
  <si>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</si>
  <si>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</si>
  <si>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</si>
  <si>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</si>
  <si>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</si>
  <si>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</si>
  <si>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</si>
  <si>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</si>
  <si>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</si>
  <si>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</si>
  <si>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</si>
  <si>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</si>
  <si>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</si>
  <si>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</si>
  <si>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</si>
  <si>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</si>
  <si>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</si>
  <si>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</si>
  <si>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</si>
  <si>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</si>
  <si>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</si>
  <si>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</si>
  <si>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</si>
  <si>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</si>
  <si>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</si>
  <si>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</si>
  <si>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</si>
  <si>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</si>
  <si>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</si>
  <si>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</si>
  <si>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</si>
  <si>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</si>
  <si>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</si>
  <si>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</si>
  <si>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</si>
  <si>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</si>
  <si>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</si>
  <si>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</si>
  <si>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</si>
  <si>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</si>
  <si>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</si>
  <si>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</si>
  <si>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</si>
  <si>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</si>
  <si>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</si>
  <si>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</si>
  <si>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</si>
  <si>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</si>
  <si>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</si>
  <si>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</si>
  <si>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</si>
  <si>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</si>
  <si>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</si>
  <si>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</si>
  <si>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</si>
  <si>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</si>
  <si>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</si>
  <si>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</si>
  <si>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</si>
  <si>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</si>
  <si>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</si>
  <si>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</si>
  <si>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</si>
  <si>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</si>
  <si>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</si>
  <si>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</si>
  <si>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</si>
  <si>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</si>
  <si>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</si>
  <si>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</si>
  <si>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</si>
  <si>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</si>
  <si>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</si>
  <si>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</si>
  <si>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</si>
  <si>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</si>
  <si>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</si>
  <si>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</si>
  <si>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</si>
  <si>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</si>
  <si>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</si>
  <si>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</si>
  <si>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</si>
  <si>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</si>
  <si>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</si>
  <si>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</si>
  <si>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</si>
  <si>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</si>
  <si>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</si>
  <si>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</si>
  <si>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</si>
  <si>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</si>
  <si>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</si>
  <si>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</si>
  <si>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</si>
  <si>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</si>
  <si>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</si>
  <si>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</si>
  <si>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</si>
  <si>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</si>
  <si>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</si>
  <si>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</si>
  <si>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</si>
  <si>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</si>
  <si>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</si>
  <si>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</si>
  <si>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</si>
  <si>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</si>
  <si>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</si>
  <si>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</si>
  <si>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</si>
  <si>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</si>
  <si>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</si>
  <si>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</si>
  <si>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</si>
  <si>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</si>
  <si>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</si>
  <si>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</si>
  <si>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</si>
  <si>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</si>
  <si>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</si>
  <si>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</si>
  <si>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</si>
  <si>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</si>
  <si>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</si>
  <si>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</si>
  <si>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</si>
  <si>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</si>
  <si>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</si>
  <si>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</si>
  <si>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</si>
  <si>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</si>
  <si>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</si>
  <si>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</si>
  <si>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</si>
  <si>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</si>
  <si>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</si>
  <si>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</si>
  <si>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</si>
  <si>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</si>
  <si>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</si>
  <si>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</si>
  <si>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</si>
  <si>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</si>
  <si>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</si>
  <si>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</si>
  <si>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</si>
  <si>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</si>
  <si>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</si>
  <si>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</si>
  <si>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</si>
  <si>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</si>
  <si>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</si>
  <si>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</si>
  <si>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</si>
  <si>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</si>
  <si>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</si>
  <si>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</si>
  <si>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</si>
  <si>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</si>
  <si>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</si>
  <si>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</si>
  <si>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</si>
  <si>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</si>
  <si>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</si>
  <si>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</si>
  <si>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</si>
  <si>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</si>
  <si>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</si>
  <si>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</si>
  <si>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</si>
  <si>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</si>
  <si>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</si>
  <si>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</si>
  <si>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</si>
  <si>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</si>
  <si>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</si>
  <si>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</si>
  <si>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</si>
  <si>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</si>
  <si>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</si>
  <si>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</si>
  <si>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</si>
  <si>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</si>
  <si>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</si>
  <si>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</si>
  <si>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</si>
  <si>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</si>
  <si>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</si>
  <si>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</si>
  <si>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</si>
  <si>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</si>
  <si>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</si>
  <si>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</si>
  <si>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</si>
  <si>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</si>
  <si>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</si>
  <si>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</si>
  <si>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</si>
  <si>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</si>
  <si>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</si>
  <si>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</si>
  <si>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</si>
  <si>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</si>
  <si>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</si>
  <si>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</si>
  <si>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</si>
  <si>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</si>
  <si>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</si>
  <si>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</si>
  <si>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</si>
  <si>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</si>
  <si>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</si>
  <si>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</si>
  <si>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</si>
  <si>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</si>
  <si>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</si>
  <si>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</si>
  <si>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</si>
  <si>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</si>
  <si>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</si>
  <si>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</si>
  <si>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</si>
  <si>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</si>
  <si>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</si>
  <si>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</si>
  <si>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</si>
  <si>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</si>
  <si>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</si>
  <si>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</si>
  <si>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</si>
  <si>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</si>
  <si>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</si>
  <si>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</si>
  <si>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</si>
  <si>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</si>
  <si>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</si>
  <si>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</si>
  <si>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</si>
  <si>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</si>
  <si>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</si>
  <si>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</si>
  <si>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</si>
  <si>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</si>
  <si>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</si>
  <si>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</si>
  <si>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</si>
  <si>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</si>
  <si>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</si>
  <si>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</si>
  <si>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</si>
  <si>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</si>
  <si>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</si>
  <si>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</si>
  <si>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</si>
  <si>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</si>
  <si>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</si>
  <si>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</si>
  <si>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</si>
  <si>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</si>
  <si>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</si>
  <si>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</si>
  <si>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</si>
  <si>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</si>
  <si>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</si>
  <si>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</si>
  <si>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</si>
  <si>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</si>
  <si>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</si>
  <si>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</si>
  <si>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</si>
  <si>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</si>
  <si>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</si>
  <si>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</si>
  <si>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</si>
  <si>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</si>
  <si>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</si>
  <si>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</si>
  <si>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</si>
  <si>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</si>
  <si>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</si>
  <si>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</si>
  <si>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</si>
  <si>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</si>
  <si>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</si>
  <si>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</si>
  <si>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</si>
  <si>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</si>
  <si>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</si>
  <si>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</si>
  <si>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</si>
  <si>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</si>
  <si>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</si>
  <si>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</si>
  <si>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</si>
  <si>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</si>
  <si>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</si>
  <si>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</si>
  <si>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</si>
  <si>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</si>
  <si>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</si>
  <si>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</si>
  <si>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</si>
  <si>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</si>
  <si>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</si>
  <si>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</si>
  <si>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</si>
  <si>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</si>
  <si>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</si>
  <si>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</si>
  <si>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</si>
  <si>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</si>
  <si>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</si>
  <si>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</si>
  <si>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</si>
  <si>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</si>
  <si>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</si>
  <si>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</si>
  <si>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</si>
  <si>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</si>
  <si>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</si>
  <si>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</si>
  <si>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</si>
  <si>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</si>
  <si>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</si>
  <si>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</si>
  <si>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</si>
  <si>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</si>
  <si>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</si>
  <si>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</si>
  <si>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</si>
  <si>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</si>
  <si>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</si>
  <si>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</si>
  <si>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</si>
  <si>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</si>
  <si>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</si>
  <si>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</si>
  <si>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</si>
  <si>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</si>
  <si>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</si>
  <si>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</si>
  <si>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</si>
  <si>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</si>
  <si>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</si>
  <si>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</si>
  <si>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</si>
  <si>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</si>
  <si>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</si>
  <si>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</si>
  <si>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</si>
  <si>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</si>
  <si>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</si>
  <si>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</si>
  <si>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</si>
  <si>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</si>
  <si>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</si>
  <si>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</si>
  <si>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</si>
  <si>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</si>
  <si>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</si>
  <si>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</si>
  <si>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</si>
  <si>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</si>
  <si>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</si>
  <si>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</si>
  <si>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</si>
  <si>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</si>
  <si>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</si>
  <si>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</si>
  <si>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</si>
  <si>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</si>
  <si>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</si>
  <si>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</si>
  <si>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</si>
  <si>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</si>
  <si>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</si>
  <si>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</si>
  <si>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</si>
  <si>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</si>
  <si>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</si>
  <si>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</si>
  <si>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</si>
  <si>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</si>
  <si>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</si>
  <si>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</si>
  <si>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</si>
  <si>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</si>
  <si>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</si>
  <si>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</si>
  <si>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</si>
  <si>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</si>
  <si>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</si>
  <si>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</si>
  <si>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</si>
  <si>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</si>
  <si>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</si>
  <si>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</si>
  <si>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</si>
  <si>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</si>
  <si>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</si>
  <si>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</si>
  <si>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</si>
  <si>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</si>
  <si>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</si>
  <si>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</si>
  <si>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</si>
  <si>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</si>
  <si>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</si>
  <si>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</si>
  <si>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</si>
  <si>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</si>
  <si>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</si>
  <si>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</si>
  <si>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</si>
  <si>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</si>
  <si>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</si>
  <si>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</si>
  <si>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</si>
  <si>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</si>
  <si>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</si>
  <si>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</si>
  <si>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</si>
  <si>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</si>
  <si>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</si>
  <si>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</si>
  <si>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</si>
  <si>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</si>
  <si>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</si>
  <si>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</si>
  <si>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</si>
  <si>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</si>
  <si>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</si>
  <si>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</si>
  <si>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</si>
  <si>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</si>
  <si>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</si>
  <si>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</si>
  <si>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</si>
  <si>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</si>
  <si>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</si>
  <si>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</si>
  <si>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</si>
  <si>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</si>
  <si>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</si>
  <si>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</si>
  <si>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</si>
  <si>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</si>
  <si>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</si>
  <si>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</si>
  <si>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</si>
  <si>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</si>
  <si>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</si>
  <si>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</si>
  <si>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</si>
  <si>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</si>
  <si>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</si>
  <si>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</si>
  <si>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</si>
  <si>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</si>
  <si>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</si>
  <si>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</si>
  <si>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</si>
  <si>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</si>
  <si>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</si>
  <si>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</si>
  <si>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</si>
  <si>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</si>
  <si>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</si>
  <si>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</si>
  <si>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</si>
  <si>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</si>
  <si>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</si>
  <si>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</si>
  <si>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</si>
  <si>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</si>
  <si>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</si>
  <si>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</si>
  <si>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</si>
  <si>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</si>
  <si>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</si>
  <si>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</si>
  <si>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</si>
  <si>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</si>
  <si>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</si>
  <si>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</si>
  <si>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</si>
  <si>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</si>
  <si>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</si>
  <si>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</si>
  <si>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</si>
  <si>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</si>
  <si>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</si>
  <si>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</si>
  <si>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</si>
  <si>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</si>
  <si>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</si>
  <si>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</si>
  <si>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</si>
  <si>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Ship Mode Imputed</t>
  </si>
  <si>
    <t>Segment Imputed</t>
  </si>
  <si>
    <t>City and State</t>
  </si>
  <si>
    <t>Sub-Category Imputed</t>
  </si>
  <si>
    <t>Total Sales</t>
  </si>
  <si>
    <t>Profit</t>
  </si>
  <si>
    <t xml:space="preserve">CustomerName </t>
  </si>
  <si>
    <t>Country Code</t>
  </si>
  <si>
    <t>Order Year</t>
  </si>
  <si>
    <t>CA</t>
  </si>
  <si>
    <t>US</t>
  </si>
  <si>
    <t>Order ID2</t>
  </si>
  <si>
    <t>Sales price Imputed W category</t>
  </si>
  <si>
    <t>Sales W Sub Category</t>
  </si>
  <si>
    <t>Total Sales W Discount</t>
  </si>
  <si>
    <t>SuperStore Sales Analysis</t>
  </si>
  <si>
    <t>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</si>
</sst>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&quot;₹&quot;\ #,##0.00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2"/>
      <color theme="1"/>
      <name val="Footlight MT Light"/>
      <family val="1"/>
    </font>
    <font>
      <b/>
      <sz val="12"/>
      <color theme="0"/>
      <name val="Footlight MT Light"/>
      <family val="1"/>
    </font>
    <font>
      <sz val="12"/>
      <color theme="1"/>
      <name val="Footlight MT Light"/>
      <family val="1"/>
    </font>
    <font>
      <sz val="28"/>
      <color rgb="FFFFDDFF"/>
      <name val="Stencil"/>
      <family val="5"/>
    </font>
  </fonts>
  <fills count="4">
    <fill>
      <patternFill patternType="none"/>
    </fill>
    <fill>
      <patternFill patternType="gray125"/>
    </fill>
    <fill>
      <patternFill patternType="solid">
        <fgColor rgb="FF960096"/>
        <bgColor indexed="64"/>
      </patternFill>
    </fill>
    <fill>
      <patternFill patternType="solid">
        <fgColor rgb="FFD35BC8"/>
        <bgColor indexed="64"/>
      </patternFill>
    </fill>
  </fills>
  <borders count="1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theme="0" tint="-0.14999847407452621"/>
      </top>
      <bottom/>
      <diagonal/>
    </border>
    <border>
      <left style="thin">
        <color indexed="64"/>
      </left>
      <right style="thin">
        <color indexed="64"/>
      </right>
      <top style="double">
        <color theme="0" tint="-0.14999847407452621"/>
      </top>
      <bottom style="medium">
        <color theme="1" tint="0.14999847407452621"/>
      </bottom>
      <diagonal/>
    </border>
    <border>
      <left style="thin">
        <color indexed="64"/>
      </left>
      <right/>
      <top style="double">
        <color theme="0" tint="-0.14999847407452621"/>
      </top>
      <bottom style="medium">
        <color theme="1" tint="0.14999847407452621"/>
      </bottom>
      <diagonal/>
    </border>
    <border>
      <left style="thin">
        <color theme="1" tint="0.14999847407452621"/>
      </left>
      <right style="thin">
        <color indexed="64"/>
      </right>
      <top style="thin">
        <color theme="1" tint="0.14999847407452621"/>
      </top>
      <bottom style="medium">
        <color theme="1" tint="0.14999847407452621"/>
      </bottom>
      <diagonal/>
    </border>
    <border>
      <left style="thin">
        <color indexed="64"/>
      </left>
      <right style="thin">
        <color indexed="64"/>
      </right>
      <top style="thin">
        <color theme="1" tint="0.14999847407452621"/>
      </top>
      <bottom style="medium">
        <color theme="1" tint="0.14999847407452621"/>
      </bottom>
      <diagonal/>
    </border>
    <border>
      <left/>
      <right style="thin">
        <color theme="1" tint="0.14999847407452621"/>
      </right>
      <top style="thin">
        <color theme="1" tint="0.14999847407452621"/>
      </top>
      <bottom style="medium">
        <color theme="1" tint="0.14999847407452621"/>
      </bottom>
      <diagonal/>
    </border>
    <border>
      <left style="thin">
        <color theme="1" tint="0.14999847407452621"/>
      </left>
      <right/>
      <top style="thin">
        <color theme="1" tint="0.14999847407452621"/>
      </top>
      <bottom style="double">
        <color theme="0" tint="-0.14999847407452621"/>
      </bottom>
      <diagonal/>
    </border>
    <border>
      <left/>
      <right/>
      <top style="thin">
        <color theme="1" tint="0.14999847407452621"/>
      </top>
      <bottom style="double">
        <color theme="0" tint="-0.14999847407452621"/>
      </bottom>
      <diagonal/>
    </border>
    <border>
      <left/>
      <right/>
      <top style="thin">
        <color theme="1" tint="0.14999847407452621"/>
      </top>
      <bottom/>
      <diagonal/>
    </border>
    <border>
      <left style="thin">
        <color theme="1" tint="0.14999847407452621"/>
      </left>
      <right style="thin">
        <color indexed="64"/>
      </right>
      <top style="double">
        <color theme="0" tint="-0.14999847407452621"/>
      </top>
      <bottom style="medium">
        <color theme="1" tint="0.14999847407452621"/>
      </bottom>
      <diagonal/>
    </border>
    <border>
      <left style="thin">
        <color theme="1" tint="0.14999847407452621"/>
      </left>
      <right style="thin">
        <color indexed="64"/>
      </right>
      <top/>
      <bottom/>
      <diagonal/>
    </border>
    <border>
      <left style="thin">
        <color theme="1" tint="0.14999847407452621"/>
      </left>
      <right style="thin">
        <color indexed="64"/>
      </right>
      <top/>
      <bottom style="thin">
        <color theme="1" tint="0.14999847407452621"/>
      </bottom>
      <diagonal/>
    </border>
    <border>
      <left style="thin">
        <color indexed="64"/>
      </left>
      <right style="thin">
        <color indexed="64"/>
      </right>
      <top/>
      <bottom style="thin">
        <color theme="1" tint="0.14999847407452621"/>
      </bottom>
      <diagonal/>
    </border>
    <border>
      <left/>
      <right style="thin">
        <color indexed="64"/>
      </right>
      <top/>
      <bottom style="thin">
        <color theme="1" tint="0.14999847407452621"/>
      </bottom>
      <diagonal/>
    </border>
    <border>
      <left/>
      <right/>
      <top/>
      <bottom style="thin">
        <color theme="1" tint="0.1499984740745262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9">
    <xf numFmtId="0" fontId="0" fillId="0" borderId="0" xfId="0"/>
    <xf numFmtId="0" fontId="2" fillId="0" borderId="0" xfId="0" applyFont="1"/>
    <xf numFmtId="14" fontId="2" fillId="0" borderId="0" xfId="0" applyNumberFormat="1" applyFont="1"/>
    <xf numFmtId="9" fontId="2" fillId="0" borderId="0" xfId="1" applyFont="1"/>
    <xf numFmtId="164" fontId="2" fillId="0" borderId="0" xfId="0" applyNumberFormat="1" applyFont="1"/>
    <xf numFmtId="0" fontId="5" fillId="0" borderId="0" xfId="0" applyFont="1"/>
    <xf numFmtId="14" fontId="5" fillId="0" borderId="0" xfId="0" applyNumberFormat="1" applyFont="1"/>
    <xf numFmtId="9" fontId="5" fillId="0" borderId="0" xfId="1" applyFont="1"/>
    <xf numFmtId="0" fontId="0" fillId="0" borderId="1" xfId="0" applyBorder="1"/>
    <xf numFmtId="165" fontId="2" fillId="0" borderId="1" xfId="0" applyNumberFormat="1" applyFont="1" applyBorder="1"/>
    <xf numFmtId="0" fontId="2" fillId="0" borderId="2" xfId="0" applyFont="1" applyBorder="1"/>
    <xf numFmtId="0" fontId="0" fillId="0" borderId="2" xfId="0" applyBorder="1"/>
    <xf numFmtId="0" fontId="0" fillId="0" borderId="0" xfId="0" applyBorder="1"/>
    <xf numFmtId="14" fontId="2" fillId="0" borderId="2" xfId="0" applyNumberFormat="1" applyFont="1" applyBorder="1"/>
    <xf numFmtId="164" fontId="2" fillId="0" borderId="2" xfId="0" applyNumberFormat="1" applyFont="1" applyBorder="1"/>
    <xf numFmtId="9" fontId="2" fillId="0" borderId="2" xfId="1" applyFont="1" applyBorder="1"/>
    <xf numFmtId="165" fontId="2" fillId="0" borderId="2" xfId="0" applyNumberFormat="1" applyFont="1" applyBorder="1"/>
    <xf numFmtId="14" fontId="2" fillId="0" borderId="3" xfId="0" applyNumberFormat="1" applyFont="1" applyBorder="1"/>
    <xf numFmtId="14" fontId="4" fillId="3" borderId="4" xfId="0" applyNumberFormat="1" applyFont="1" applyFill="1" applyBorder="1"/>
    <xf numFmtId="0" fontId="4" fillId="3" borderId="4" xfId="0" applyFont="1" applyFill="1" applyBorder="1"/>
    <xf numFmtId="0" fontId="4" fillId="3" borderId="5" xfId="0" applyFont="1" applyFill="1" applyBorder="1"/>
    <xf numFmtId="9" fontId="4" fillId="3" borderId="6" xfId="1" applyFont="1" applyFill="1" applyBorder="1"/>
    <xf numFmtId="0" fontId="4" fillId="3" borderId="7" xfId="0" applyFont="1" applyFill="1" applyBorder="1"/>
    <xf numFmtId="0" fontId="4" fillId="3" borderId="8" xfId="0" applyFont="1" applyFill="1" applyBorder="1"/>
    <xf numFmtId="0" fontId="0" fillId="0" borderId="11" xfId="0" applyBorder="1"/>
    <xf numFmtId="0" fontId="4" fillId="3" borderId="12" xfId="0" applyFont="1" applyFill="1" applyBorder="1"/>
    <xf numFmtId="0" fontId="3" fillId="0" borderId="0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15" xfId="0" applyFont="1" applyBorder="1"/>
    <xf numFmtId="14" fontId="2" fillId="0" borderId="15" xfId="0" applyNumberFormat="1" applyFont="1" applyBorder="1"/>
    <xf numFmtId="165" fontId="2" fillId="0" borderId="15" xfId="0" applyNumberFormat="1" applyFont="1" applyBorder="1"/>
    <xf numFmtId="9" fontId="2" fillId="0" borderId="15" xfId="1" applyFont="1" applyBorder="1"/>
    <xf numFmtId="164" fontId="2" fillId="0" borderId="15" xfId="0" applyNumberFormat="1" applyFont="1" applyBorder="1"/>
    <xf numFmtId="165" fontId="2" fillId="0" borderId="16" xfId="0" applyNumberFormat="1" applyFont="1" applyBorder="1"/>
    <xf numFmtId="0" fontId="0" fillId="0" borderId="17" xfId="0" applyBorder="1"/>
    <xf numFmtId="0" fontId="6" fillId="2" borderId="9" xfId="0" applyFont="1" applyFill="1" applyBorder="1" applyAlignment="1">
      <alignment horizontal="center"/>
    </xf>
    <xf numFmtId="0" fontId="6" fillId="2" borderId="10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56"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5" formatCode="&quot;₹&quot;\ #,##0.00"/>
      <border diagonalUp="0" diagonalDown="0">
        <left/>
        <right style="thin">
          <color indexed="64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5" formatCode="&quot;₹&quot;\ #,##0.0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4" formatCode="0.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5" formatCode="&quot;₹&quot;\ #,##0.0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9" formatCode="dd/mm/yyyy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>
        <left/>
        <right style="thin">
          <color indexed="64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border>
        <bottom style="medium">
          <color theme="1" tint="0.14999847407452621"/>
        </bottom>
      </border>
    </dxf>
    <dxf>
      <font>
        <b/>
        <strike val="0"/>
        <outline val="0"/>
        <shadow val="0"/>
        <u val="none"/>
        <vertAlign val="baseline"/>
        <sz val="12"/>
        <color theme="0"/>
        <name val="Footlight MT Light"/>
        <family val="1"/>
        <scheme val="none"/>
      </font>
      <fill>
        <patternFill patternType="solid">
          <fgColor indexed="64"/>
          <bgColor rgb="FFD35BC8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4" formatCode="0.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9" formatCode="dd/mm/yyyy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9" formatCode="dd/mm/yyyy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strike val="0"/>
        <outline val="0"/>
        <shadow val="0"/>
        <u val="none"/>
        <vertAlign val="baseline"/>
        <sz val="12"/>
        <color theme="1"/>
        <name val="Footlight MT Light"/>
        <family val="1"/>
        <scheme val="none"/>
      </font>
    </dxf>
  </dxfs>
  <tableStyles count="0" defaultTableStyle="TableStyleMedium2" defaultPivotStyle="PivotStyleLight16"/>
  <colors>
    <mruColors>
      <color rgb="FFD35BC8"/>
      <color rgb="FFCC40BF"/>
      <color rgb="FFFFDDFF"/>
      <color rgb="FF9600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465CC9B-D8B8-4BEE-9184-245B39073B9B}" name="Table2" displayName="Table2" ref="A1:AF600" totalsRowShown="0" headerRowDxfId="55" dataDxfId="54">
  <autoFilter ref="A1:AF600" xr:uid="{60731826-46E7-4EA2-A790-0BF6A3A2D6A0}"/>
  <tableColumns count="32">
    <tableColumn id="1" xr3:uid="{C03A2F66-0230-401E-85F5-71F472D1FDC0}" name="Row ID" dataDxfId="53"/>
    <tableColumn id="2" xr3:uid="{3384F06A-E241-494E-B075-36FE5272CD69}" name="Order ID" dataDxfId="52"/>
    <tableColumn id="3" xr3:uid="{FDE37D14-4C2A-46B1-BE59-9DCEBB04CE4F}" name="Order Date" dataDxfId="51"/>
    <tableColumn id="4" xr3:uid="{31835E1E-D194-4C9B-BD8F-00F3E262F785}" name="Ship Date" dataDxfId="50"/>
    <tableColumn id="5" xr3:uid="{3A2DF021-58C6-444C-8CD6-1CE6F509C7E6}" name="Ship Mode" dataDxfId="49"/>
    <tableColumn id="6" xr3:uid="{9303D4F9-D411-4D99-98EE-B3144DA56CE7}" name="Customer ID" dataDxfId="48"/>
    <tableColumn id="7" xr3:uid="{52906ACA-F5C4-4A2E-A08C-DA46167C0E50}" name="Customer Name" dataDxfId="47"/>
    <tableColumn id="8" xr3:uid="{93F59742-E8B0-4DD6-B7D3-8769D1EE72CF}" name="Segment" dataDxfId="46"/>
    <tableColumn id="9" xr3:uid="{84586936-DE27-472C-9667-15144691D188}" name="Country" dataDxfId="45"/>
    <tableColumn id="10" xr3:uid="{7007F66B-FD5E-466E-A5A5-7DE546341039}" name="City" dataDxfId="44"/>
    <tableColumn id="11" xr3:uid="{990292A5-2859-491F-8962-011AF22C9698}" name="State" dataDxfId="43"/>
    <tableColumn id="12" xr3:uid="{C2753000-7684-433A-B646-6CAF32359EFB}" name="Postal Code" dataDxfId="42"/>
    <tableColumn id="13" xr3:uid="{FDC6B307-A9CE-4E63-AB6E-12A9F0F1C9C0}" name="Region" dataDxfId="41"/>
    <tableColumn id="14" xr3:uid="{CF3704F0-7572-437D-BAA0-A6F3B48C9491}" name="Product ID" dataDxfId="40"/>
    <tableColumn id="15" xr3:uid="{D1215B32-E6B6-4BCD-B498-C65131BAD355}" name="Category" dataDxfId="39"/>
    <tableColumn id="16" xr3:uid="{71731C17-1F03-44D4-BE96-67A11A5D9288}" name="Sub-Category" dataDxfId="38"/>
    <tableColumn id="17" xr3:uid="{0E1A7F5B-F976-4702-8A5B-C5517B924A3E}" name="Product Name" dataDxfId="37"/>
    <tableColumn id="18" xr3:uid="{9034AB6D-0A09-4369-ADF7-5C516625F9BB}" name="Sales" dataDxfId="36"/>
    <tableColumn id="19" xr3:uid="{417377BC-0465-4BD7-9154-A444B3C6984E}" name="Quantity" dataDxfId="35"/>
    <tableColumn id="20" xr3:uid="{6D08479E-486B-4CC3-9883-D50E1562CF05}" name="Discount" dataDxfId="34" dataCellStyle="Percent"/>
    <tableColumn id="21" xr3:uid="{62B7807E-D445-4514-9EF8-AB3184F5F50B}" name="Profit" dataDxfId="33"/>
    <tableColumn id="22" xr3:uid="{78DEC026-3D44-41AF-8A5C-B68CF482DCD1}" name="Ship Mode Imputed" dataDxfId="32">
      <calculatedColumnFormula>IF(ISBLANK(E2),"UNKNOWN",E2)</calculatedColumnFormula>
    </tableColumn>
    <tableColumn id="23" xr3:uid="{359BEC58-7ECB-4ABD-8600-DF634C466B2E}" name="Segment Imputed" dataDxfId="31">
      <calculatedColumnFormula>IF(ISBLANK(H2),"UNKNOWN",H2)</calculatedColumnFormula>
    </tableColumn>
    <tableColumn id="24" xr3:uid="{9157428F-701D-4A40-B1F4-9F36646E6DDB}" name="City and State" dataDxfId="30">
      <calculatedColumnFormula>CONCATENATE(J2," - ",K2)</calculatedColumnFormula>
    </tableColumn>
    <tableColumn id="25" xr3:uid="{3C496A42-F612-4162-879E-F43EE6B49D7F}" name="Sub-Category Imputed" dataDxfId="29">
      <calculatedColumnFormula>IF(ISBLANK(P2),"UNKNOWN",P2)</calculatedColumnFormula>
    </tableColumn>
    <tableColumn id="26" xr3:uid="{3837E28E-8639-4E47-86B4-D30720595640}" name="Sales price Imputed W category" dataDxfId="28">
      <calculatedColumnFormula>IF(ISBLANK(R2),ROUND(AVERAGEIF($O$2:$O$600,O2,$R$2:$R$29),0),R2)</calculatedColumnFormula>
    </tableColumn>
    <tableColumn id="27" xr3:uid="{850C9E4F-3597-4EC7-91A2-BCEE44D84628}" name="Sales W Sub Category" dataDxfId="27">
      <calculatedColumnFormula>IF(ISBLANK(R2),ROUND(AVERAGEIF($Y$2:$Y$600,Y2,$R$2:$R$29),0),R2)</calculatedColumnFormula>
    </tableColumn>
    <tableColumn id="28" xr3:uid="{BB8A0D4B-A60C-4E3D-950D-391FA519AA49}" name="Total Sales" dataDxfId="26">
      <calculatedColumnFormula>AA2*S2</calculatedColumnFormula>
    </tableColumn>
    <tableColumn id="29" xr3:uid="{AA9CDE49-CBA5-4F6D-93BD-5D48DC742436}" name="Total Sales W Discount" dataDxfId="25">
      <calculatedColumnFormula>AB2*(1-T2)</calculatedColumnFormula>
    </tableColumn>
    <tableColumn id="30" xr3:uid="{85F5C4DD-371C-45FA-A607-BFFF6B6A90BC}" name="Country Code" dataDxfId="24"/>
    <tableColumn id="31" xr3:uid="{DE2E936C-E074-4C67-B954-24C055E7BE6D}" name="Order Year" dataDxfId="23">
      <calculatedColumnFormula>MID(B2,4,4)</calculatedColumnFormula>
    </tableColumn>
    <tableColumn id="32" xr3:uid="{4DE07F59-66ED-47A3-862E-B0A9F18BA07C}" name="Order ID2" dataDxfId="22">
      <calculatedColumnFormula>RIGHT(B2,6)</calculatedColumnFormula>
    </tableColumn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CE2974-DAAD-45F2-BB8E-EF4C5C7FF84B}" name="Table1" displayName="Table1" ref="A2:S601" totalsRowShown="0" headerRowDxfId="21" dataDxfId="19" headerRowBorderDxfId="20">
  <autoFilter ref="A2:S601" xr:uid="{57BCF9A1-778C-4AFC-B976-6A5C5874CA94}"/>
  <tableColumns count="19">
    <tableColumn id="1" xr3:uid="{FA33C66B-629F-4B70-94B4-7AEF7B3A9BBE}" name="Row ID" dataDxfId="18"/>
    <tableColumn id="2" xr3:uid="{348A8291-EE6D-476D-A859-DABDC1B80D2E}" name="Product ID" dataDxfId="17"/>
    <tableColumn id="3" xr3:uid="{89520752-42F0-4AE9-8729-F94938879359}" name="Order ID" dataDxfId="16">
      <calculatedColumnFormula>_xlfn.XLOOKUP(B3,DataSet!$N$2:$N$600,DataSet!$AF$2:$AF$600,0)</calculatedColumnFormula>
    </tableColumn>
    <tableColumn id="4" xr3:uid="{D515A088-4C6C-4DBD-BB68-3AB90A9447C2}" name="CustomerName " dataDxfId="15">
      <calculatedColumnFormula>_xlfn.XLOOKUP(B3,DataSet!$N$2:$N$600,DataSet!$G$2:$G$600,0)</calculatedColumnFormula>
    </tableColumn>
    <tableColumn id="5" xr3:uid="{547DC974-32CD-4953-8EAA-F370D35375B7}" name="Customer ID" dataDxfId="14">
      <calculatedColumnFormula>_xlfn.XLOOKUP(B3,DataSet!$N$2:$N$600,DataSet!$F$2:$F$600,0)</calculatedColumnFormula>
    </tableColumn>
    <tableColumn id="6" xr3:uid="{0ED0E26B-DC2B-420B-95DC-80A4C60034F0}" name="Segment" dataDxfId="13">
      <calculatedColumnFormula>_xlfn.XLOOKUP(B3,DataSet!$N$2:$N$600,DataSet!$W$2:$W$600,0)</calculatedColumnFormula>
    </tableColumn>
    <tableColumn id="7" xr3:uid="{D22E3A81-FE57-4E70-8B10-41E028FED0D4}" name="Order Date" dataDxfId="12">
      <calculatedColumnFormula>_xlfn.XLOOKUP(B3,DataSet!$N$2:$N$600,DataSet!$C$2:$C$600,0)</calculatedColumnFormula>
    </tableColumn>
    <tableColumn id="8" xr3:uid="{42E42933-5264-42A6-869C-30669D95A212}" name="Country" dataDxfId="11">
      <calculatedColumnFormula>_xlfn.XLOOKUP(B3,DataSet!$N$2:$N$600,DataSet!$I$2:$I$600,0)</calculatedColumnFormula>
    </tableColumn>
    <tableColumn id="9" xr3:uid="{20D90D77-8CE1-4129-87D5-D39F31527EF9}" name="City and State" dataDxfId="10">
      <calculatedColumnFormula>_xlfn.XLOOKUP(B3,DataSet!$N$2:$N$600,DataSet!$X$2:$X$600,0)</calculatedColumnFormula>
    </tableColumn>
    <tableColumn id="10" xr3:uid="{9342E42C-4C76-4697-B421-09207087723A}" name="Region" dataDxfId="9">
      <calculatedColumnFormula>_xlfn.XLOOKUP(B3,DataSet!$N$2:$N$600,DataSet!$M$2:$M$600,0)</calculatedColumnFormula>
    </tableColumn>
    <tableColumn id="11" xr3:uid="{A191B890-009A-4B4A-AC6A-BC5B0C1AF21B}" name="Category" dataDxfId="8">
      <calculatedColumnFormula>_xlfn.XLOOKUP(B3,DataSet!$N$2:$N$600,DataSet!$O$2:$O$600,0)</calculatedColumnFormula>
    </tableColumn>
    <tableColumn id="12" xr3:uid="{C1F48D6A-CFE2-44A3-92B5-91787DF6073B}" name="Sub-Category" dataDxfId="7">
      <calculatedColumnFormula>_xlfn.XLOOKUP(B3,DataSet!$N$2:$N$600,DataSet!$Y$2:$Y$600,0)</calculatedColumnFormula>
    </tableColumn>
    <tableColumn id="13" xr3:uid="{54E1E791-2413-400B-8924-0D383AFA2550}" name="Product Name" dataDxfId="6">
      <calculatedColumnFormula>_xlfn.XLOOKUP(B3,DataSet!$N$2:$N$600,DataSet!$Q$2:$Q$600,0)</calculatedColumnFormula>
    </tableColumn>
    <tableColumn id="14" xr3:uid="{3FCF832D-DFF8-463B-BDC8-740CC90D6ED9}" name="Sales" dataDxfId="5">
      <calculatedColumnFormula>_xlfn.XLOOKUP(B3,DataSet!$N$2:$N$600,DataSet!$AA$2:$AA$600,0)</calculatedColumnFormula>
    </tableColumn>
    <tableColumn id="15" xr3:uid="{D736E7FF-4364-43EE-9A28-2084176DBD7D}" name="Quantity" dataDxfId="4">
      <calculatedColumnFormula>_xlfn.XLOOKUP(B3,DataSet!$N$2:$N$600,DataSet!$S$2:$S$600,0)</calculatedColumnFormula>
    </tableColumn>
    <tableColumn id="16" xr3:uid="{38284F5A-438D-40D4-8BD1-A1D112462F5B}" name="Discount" dataDxfId="3" dataCellStyle="Percent">
      <calculatedColumnFormula>_xlfn.XLOOKUP(B3,DataSet!$N$2:$N$600,DataSet!$T$2:$T$600,0)</calculatedColumnFormula>
    </tableColumn>
    <tableColumn id="17" xr3:uid="{C5E858A1-9C0A-4679-9D86-0B2DC4EBB123}" name="Profit" dataDxfId="2">
      <calculatedColumnFormula>_xlfn.XLOOKUP(B3,DataSet!$N$2:$N$600,DataSet!$U$2:$U$600,0)</calculatedColumnFormula>
    </tableColumn>
    <tableColumn id="18" xr3:uid="{31DB0EB0-14FD-4761-B0E6-C105CE21224E}" name="Total Sales" dataDxfId="1">
      <calculatedColumnFormula>_xlfn.XLOOKUP(B3,DataSet!$N$2:$N$600,DataSet!$AB$2:$AB$600,0)</calculatedColumnFormula>
    </tableColumn>
    <tableColumn id="19" xr3:uid="{86E9C411-0989-4E7C-85AB-C6C8008DE477}" name="Revenue" dataDxfId="0">
      <calculatedColumnFormula>_xlfn.XLOOKUP(B3,DataSet!$N$2:$N$600,DataSet!$AC$2:$AC$600,0)</calculatedColumnFormula>
    </tableColumn>
  </tableColumns>
  <tableStyleInfo name="TableStyleLight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31826-46E7-4EA2-A790-0BF6A3A2D6A0}">
  <sheetPr codeName="Sheet1"/>
  <dimension ref="A1:AF600"/>
  <sheetViews>
    <sheetView topLeftCell="T1" zoomScale="90" zoomScaleNormal="90" workbookViewId="0">
      <selection activeCell="AC1" sqref="AC1"/>
    </sheetView>
  </sheetViews>
  <sheetFormatPr defaultRowHeight="14.4" x14ac:dyDescent="0.3"/>
  <cols>
    <col min="1" max="1" width="9.109375" customWidth="1"/>
    <col min="2" max="2" width="16" bestFit="1" customWidth="1"/>
    <col min="3" max="3" width="12.5546875" bestFit="1" customWidth="1"/>
    <col min="4" max="4" width="11.6640625" bestFit="1" customWidth="1"/>
    <col min="5" max="5" width="13.109375" bestFit="1" customWidth="1"/>
    <col min="6" max="6" width="14.109375" customWidth="1"/>
    <col min="7" max="7" width="19" bestFit="1" customWidth="1"/>
    <col min="8" max="8" width="11.109375" bestFit="1" customWidth="1"/>
    <col min="9" max="9" width="11.5546875" bestFit="1" customWidth="1"/>
    <col min="10" max="10" width="15.33203125" bestFit="1" customWidth="1"/>
    <col min="11" max="11" width="13.21875" bestFit="1" customWidth="1"/>
    <col min="12" max="12" width="13.44140625" customWidth="1"/>
    <col min="13" max="13" width="11.44140625" customWidth="1"/>
    <col min="14" max="14" width="16.33203125" bestFit="1" customWidth="1"/>
    <col min="15" max="15" width="13.109375" bestFit="1" customWidth="1"/>
    <col min="16" max="16" width="14.77734375" customWidth="1"/>
    <col min="17" max="17" width="87.21875" bestFit="1" customWidth="1"/>
    <col min="19" max="19" width="10.21875" customWidth="1"/>
    <col min="20" max="20" width="10.77734375" customWidth="1"/>
    <col min="21" max="21" width="11.6640625" bestFit="1" customWidth="1"/>
    <col min="22" max="22" width="19.77734375" customWidth="1"/>
    <col min="23" max="23" width="18.5546875" customWidth="1"/>
    <col min="24" max="24" width="26.33203125" bestFit="1" customWidth="1"/>
    <col min="25" max="25" width="22.5546875" customWidth="1"/>
    <col min="26" max="26" width="30.44140625" customWidth="1"/>
    <col min="27" max="27" width="21" customWidth="1"/>
    <col min="28" max="28" width="12.5546875" bestFit="1" customWidth="1"/>
    <col min="29" max="29" width="18.5546875" customWidth="1"/>
    <col min="30" max="30" width="15.109375" customWidth="1"/>
    <col min="31" max="31" width="12.33203125" customWidth="1"/>
    <col min="32" max="32" width="11.44140625" customWidth="1"/>
  </cols>
  <sheetData>
    <row r="1" spans="1:32" s="5" customFormat="1" ht="15" x14ac:dyDescent="0.25">
      <c r="A1" s="5" t="s">
        <v>0</v>
      </c>
      <c r="B1" s="5" t="s">
        <v>1</v>
      </c>
      <c r="C1" s="6" t="s">
        <v>2</v>
      </c>
      <c r="D1" s="6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7" t="s">
        <v>19</v>
      </c>
      <c r="U1" s="5" t="s">
        <v>2009</v>
      </c>
      <c r="V1" s="5" t="s">
        <v>2004</v>
      </c>
      <c r="W1" s="5" t="s">
        <v>2005</v>
      </c>
      <c r="X1" s="5" t="s">
        <v>2006</v>
      </c>
      <c r="Y1" s="5" t="s">
        <v>2007</v>
      </c>
      <c r="Z1" s="5" t="s">
        <v>2016</v>
      </c>
      <c r="AA1" s="5" t="s">
        <v>2017</v>
      </c>
      <c r="AB1" s="5" t="s">
        <v>2008</v>
      </c>
      <c r="AC1" s="5" t="s">
        <v>2018</v>
      </c>
      <c r="AD1" s="5" t="s">
        <v>2011</v>
      </c>
      <c r="AE1" s="5" t="s">
        <v>2012</v>
      </c>
      <c r="AF1" s="5" t="s">
        <v>2015</v>
      </c>
    </row>
    <row r="2" spans="1:32" x14ac:dyDescent="0.3">
      <c r="A2" s="1">
        <v>1</v>
      </c>
      <c r="B2" s="1" t="s">
        <v>20</v>
      </c>
      <c r="C2" s="2">
        <v>42682</v>
      </c>
      <c r="D2" s="2">
        <v>42685</v>
      </c>
      <c r="E2" s="1" t="s">
        <v>21</v>
      </c>
      <c r="F2" s="1" t="s">
        <v>22</v>
      </c>
      <c r="G2" s="1" t="s">
        <v>23</v>
      </c>
      <c r="H2" s="1" t="s">
        <v>24</v>
      </c>
      <c r="I2" s="1" t="s">
        <v>25</v>
      </c>
      <c r="J2" s="1" t="s">
        <v>26</v>
      </c>
      <c r="K2" s="1" t="s">
        <v>27</v>
      </c>
      <c r="L2" s="1">
        <v>42420</v>
      </c>
      <c r="M2" s="1" t="s">
        <v>28</v>
      </c>
      <c r="N2" s="1" t="s">
        <v>29</v>
      </c>
      <c r="O2" s="1" t="s">
        <v>30</v>
      </c>
      <c r="P2" s="1" t="s">
        <v>31</v>
      </c>
      <c r="Q2" s="1" t="s">
        <v>32</v>
      </c>
      <c r="R2" s="1">
        <v>261.95999999999998</v>
      </c>
      <c r="S2" s="1">
        <v>2</v>
      </c>
      <c r="T2" s="3">
        <v>0</v>
      </c>
      <c r="U2" s="4">
        <v>41.913600000000002</v>
      </c>
      <c r="V2" s="1" t="str">
        <f t="shared" ref="V2:V65" si="0">IF(ISBLANK(E2),"UNKNOWN",E2)</f>
        <v>Second Class</v>
      </c>
      <c r="W2" s="1" t="str">
        <f t="shared" ref="W2:W65" si="1">IF(ISBLANK(H2),"UNKNOWN",H2)</f>
        <v>Consumer</v>
      </c>
      <c r="X2" s="1" t="str">
        <f t="shared" ref="X2:X65" si="2">CONCATENATE(J2," - ",K2)</f>
        <v>Henderson - Kentucky</v>
      </c>
      <c r="Y2" s="1" t="str">
        <f t="shared" ref="Y2:Y65" si="3">IF(ISBLANK(P2),"UNKNOWN",P2)</f>
        <v>Bookcases</v>
      </c>
      <c r="Z2" s="1">
        <f t="shared" ref="Z2:Z65" si="4">IF(ISBLANK(R2),ROUND(AVERAGEIF($O$2:$O$600,O2,$R$2:$R$29),0),R2)</f>
        <v>261.95999999999998</v>
      </c>
      <c r="AA2" s="1">
        <f t="shared" ref="AA2:AA65" si="5">IF(ISBLANK(R2),ROUND(AVERAGEIF($Y$2:$Y$600,Y2,$R$2:$R$29),0),R2)</f>
        <v>261.95999999999998</v>
      </c>
      <c r="AB2" s="1">
        <f t="shared" ref="AB2:AB65" si="6">AA2*S2</f>
        <v>523.91999999999996</v>
      </c>
      <c r="AC2" s="4">
        <f>AB2*(1-T2)</f>
        <v>523.91999999999996</v>
      </c>
      <c r="AD2" s="1" t="s">
        <v>2013</v>
      </c>
      <c r="AE2" s="1" t="str">
        <f>MID(B2,4,4)</f>
        <v>2016</v>
      </c>
      <c r="AF2" s="1" t="str">
        <f>RIGHT(B2,6)</f>
        <v>152156</v>
      </c>
    </row>
    <row r="3" spans="1:32" x14ac:dyDescent="0.3">
      <c r="A3" s="1">
        <v>2</v>
      </c>
      <c r="B3" s="1" t="s">
        <v>20</v>
      </c>
      <c r="C3" s="2">
        <v>42682</v>
      </c>
      <c r="D3" s="2">
        <v>42685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25</v>
      </c>
      <c r="J3" s="1" t="s">
        <v>26</v>
      </c>
      <c r="K3" s="1" t="s">
        <v>27</v>
      </c>
      <c r="L3" s="1">
        <v>42420</v>
      </c>
      <c r="M3" s="1" t="s">
        <v>28</v>
      </c>
      <c r="N3" s="1" t="s">
        <v>33</v>
      </c>
      <c r="O3" s="1" t="s">
        <v>30</v>
      </c>
      <c r="P3" s="1" t="s">
        <v>34</v>
      </c>
      <c r="Q3" s="1" t="s">
        <v>35</v>
      </c>
      <c r="R3" s="1">
        <v>731.94</v>
      </c>
      <c r="S3" s="1">
        <v>3</v>
      </c>
      <c r="T3" s="3">
        <v>0</v>
      </c>
      <c r="U3" s="4">
        <v>219.58199999999999</v>
      </c>
      <c r="V3" s="1" t="str">
        <f t="shared" si="0"/>
        <v>Second Class</v>
      </c>
      <c r="W3" s="1" t="str">
        <f t="shared" si="1"/>
        <v>Consumer</v>
      </c>
      <c r="X3" s="1" t="str">
        <f t="shared" si="2"/>
        <v>Henderson - Kentucky</v>
      </c>
      <c r="Y3" s="1" t="str">
        <f t="shared" si="3"/>
        <v>Chairs</v>
      </c>
      <c r="Z3" s="1">
        <f t="shared" si="4"/>
        <v>731.94</v>
      </c>
      <c r="AA3" s="1">
        <f t="shared" si="5"/>
        <v>731.94</v>
      </c>
      <c r="AB3" s="1">
        <f t="shared" si="6"/>
        <v>2195.8200000000002</v>
      </c>
      <c r="AC3" s="4">
        <f t="shared" ref="AC3:AC66" si="7">AB3*(1-T3)</f>
        <v>2195.8200000000002</v>
      </c>
      <c r="AD3" s="1" t="s">
        <v>2013</v>
      </c>
      <c r="AE3" s="1" t="str">
        <f t="shared" ref="AE3:AE66" si="8">MID(B3,4,4)</f>
        <v>2016</v>
      </c>
      <c r="AF3" s="1" t="str">
        <f t="shared" ref="AF3:AF66" si="9">RIGHT(B3,6)</f>
        <v>152156</v>
      </c>
    </row>
    <row r="4" spans="1:32" x14ac:dyDescent="0.3">
      <c r="A4" s="1">
        <v>3</v>
      </c>
      <c r="B4" s="1" t="s">
        <v>36</v>
      </c>
      <c r="C4" s="2">
        <v>42533</v>
      </c>
      <c r="D4" s="2">
        <v>42537</v>
      </c>
      <c r="E4" s="1" t="s">
        <v>21</v>
      </c>
      <c r="F4" s="1" t="s">
        <v>37</v>
      </c>
      <c r="G4" s="1" t="s">
        <v>38</v>
      </c>
      <c r="H4" s="1" t="s">
        <v>39</v>
      </c>
      <c r="I4" s="1" t="s">
        <v>25</v>
      </c>
      <c r="J4" s="1" t="s">
        <v>40</v>
      </c>
      <c r="K4" s="1" t="s">
        <v>41</v>
      </c>
      <c r="L4" s="1">
        <v>90036</v>
      </c>
      <c r="M4" s="1" t="s">
        <v>42</v>
      </c>
      <c r="N4" s="1" t="s">
        <v>43</v>
      </c>
      <c r="O4" s="1" t="s">
        <v>44</v>
      </c>
      <c r="P4" s="1" t="s">
        <v>45</v>
      </c>
      <c r="Q4" s="1" t="s">
        <v>46</v>
      </c>
      <c r="R4" s="1">
        <v>14.62</v>
      </c>
      <c r="S4" s="1">
        <v>2</v>
      </c>
      <c r="T4" s="3">
        <v>0</v>
      </c>
      <c r="U4" s="4">
        <v>6.8714000000000004</v>
      </c>
      <c r="V4" s="1" t="str">
        <f t="shared" si="0"/>
        <v>Second Class</v>
      </c>
      <c r="W4" s="1" t="str">
        <f t="shared" si="1"/>
        <v>Corporate</v>
      </c>
      <c r="X4" s="1" t="str">
        <f t="shared" si="2"/>
        <v>Los Angeles - California</v>
      </c>
      <c r="Y4" s="1" t="str">
        <f t="shared" si="3"/>
        <v>Labels</v>
      </c>
      <c r="Z4" s="1">
        <f t="shared" si="4"/>
        <v>14.62</v>
      </c>
      <c r="AA4" s="1">
        <f t="shared" si="5"/>
        <v>14.62</v>
      </c>
      <c r="AB4" s="1">
        <f t="shared" si="6"/>
        <v>29.24</v>
      </c>
      <c r="AC4" s="4">
        <f t="shared" si="7"/>
        <v>29.24</v>
      </c>
      <c r="AD4" s="1" t="s">
        <v>2013</v>
      </c>
      <c r="AE4" s="1" t="str">
        <f t="shared" si="8"/>
        <v>2016</v>
      </c>
      <c r="AF4" s="1" t="str">
        <f t="shared" si="9"/>
        <v>138688</v>
      </c>
    </row>
    <row r="5" spans="1:32" x14ac:dyDescent="0.3">
      <c r="A5" s="1">
        <v>4</v>
      </c>
      <c r="B5" s="1" t="s">
        <v>47</v>
      </c>
      <c r="C5" s="2">
        <v>42288</v>
      </c>
      <c r="D5" s="2">
        <v>42295</v>
      </c>
      <c r="E5" s="1" t="s">
        <v>48</v>
      </c>
      <c r="F5" s="1" t="s">
        <v>49</v>
      </c>
      <c r="G5" s="1" t="s">
        <v>50</v>
      </c>
      <c r="H5" s="1" t="s">
        <v>24</v>
      </c>
      <c r="I5" s="1" t="s">
        <v>25</v>
      </c>
      <c r="J5" s="1" t="s">
        <v>51</v>
      </c>
      <c r="K5" s="1" t="s">
        <v>52</v>
      </c>
      <c r="L5" s="1">
        <v>33311</v>
      </c>
      <c r="M5" s="1" t="s">
        <v>28</v>
      </c>
      <c r="N5" s="1" t="s">
        <v>53</v>
      </c>
      <c r="O5" s="1" t="s">
        <v>30</v>
      </c>
      <c r="P5" s="1" t="s">
        <v>54</v>
      </c>
      <c r="Q5" s="1" t="s">
        <v>55</v>
      </c>
      <c r="R5" s="1">
        <v>957.57749999999999</v>
      </c>
      <c r="S5" s="1">
        <v>5</v>
      </c>
      <c r="T5" s="3">
        <v>0.45</v>
      </c>
      <c r="U5" s="4">
        <v>-383.03100000000001</v>
      </c>
      <c r="V5" s="1" t="str">
        <f t="shared" si="0"/>
        <v>Standard Class</v>
      </c>
      <c r="W5" s="1" t="str">
        <f t="shared" si="1"/>
        <v>Consumer</v>
      </c>
      <c r="X5" s="1" t="str">
        <f t="shared" si="2"/>
        <v>Fort Lauderdale - Florida</v>
      </c>
      <c r="Y5" s="1" t="str">
        <f t="shared" si="3"/>
        <v>Tables</v>
      </c>
      <c r="Z5" s="1">
        <f t="shared" si="4"/>
        <v>957.57749999999999</v>
      </c>
      <c r="AA5" s="1">
        <f t="shared" si="5"/>
        <v>957.57749999999999</v>
      </c>
      <c r="AB5" s="1">
        <f t="shared" si="6"/>
        <v>4787.8874999999998</v>
      </c>
      <c r="AC5" s="4">
        <f t="shared" si="7"/>
        <v>2633.3381250000002</v>
      </c>
      <c r="AD5" s="1" t="s">
        <v>2014</v>
      </c>
      <c r="AE5" s="1" t="str">
        <f t="shared" si="8"/>
        <v>2015</v>
      </c>
      <c r="AF5" s="1" t="str">
        <f t="shared" si="9"/>
        <v>108966</v>
      </c>
    </row>
    <row r="6" spans="1:32" x14ac:dyDescent="0.3">
      <c r="A6" s="1">
        <v>5</v>
      </c>
      <c r="B6" s="1" t="s">
        <v>47</v>
      </c>
      <c r="C6" s="2">
        <v>42288</v>
      </c>
      <c r="D6" s="2">
        <v>42295</v>
      </c>
      <c r="E6" s="1" t="s">
        <v>48</v>
      </c>
      <c r="F6" s="1" t="s">
        <v>49</v>
      </c>
      <c r="G6" s="1" t="s">
        <v>50</v>
      </c>
      <c r="H6" s="1" t="s">
        <v>24</v>
      </c>
      <c r="I6" s="1" t="s">
        <v>25</v>
      </c>
      <c r="J6" s="1" t="s">
        <v>51</v>
      </c>
      <c r="K6" s="1" t="s">
        <v>52</v>
      </c>
      <c r="L6" s="1">
        <v>33311</v>
      </c>
      <c r="M6" s="1" t="s">
        <v>28</v>
      </c>
      <c r="N6" s="1" t="s">
        <v>56</v>
      </c>
      <c r="O6" s="1" t="s">
        <v>44</v>
      </c>
      <c r="P6" s="1" t="s">
        <v>57</v>
      </c>
      <c r="Q6" s="1" t="s">
        <v>58</v>
      </c>
      <c r="R6" s="1">
        <v>22.367999999999999</v>
      </c>
      <c r="S6" s="1">
        <v>2</v>
      </c>
      <c r="T6" s="3">
        <v>0.2</v>
      </c>
      <c r="U6" s="4">
        <v>2.5164</v>
      </c>
      <c r="V6" s="1" t="str">
        <f t="shared" si="0"/>
        <v>Standard Class</v>
      </c>
      <c r="W6" s="1" t="str">
        <f t="shared" si="1"/>
        <v>Consumer</v>
      </c>
      <c r="X6" s="1" t="str">
        <f t="shared" si="2"/>
        <v>Fort Lauderdale - Florida</v>
      </c>
      <c r="Y6" s="1" t="str">
        <f t="shared" si="3"/>
        <v>Storage</v>
      </c>
      <c r="Z6" s="1">
        <f t="shared" si="4"/>
        <v>22.367999999999999</v>
      </c>
      <c r="AA6" s="1">
        <f t="shared" si="5"/>
        <v>22.367999999999999</v>
      </c>
      <c r="AB6" s="1">
        <f t="shared" si="6"/>
        <v>44.735999999999997</v>
      </c>
      <c r="AC6" s="4">
        <f t="shared" si="7"/>
        <v>35.788800000000002</v>
      </c>
      <c r="AD6" s="1" t="s">
        <v>2014</v>
      </c>
      <c r="AE6" s="1" t="str">
        <f t="shared" si="8"/>
        <v>2015</v>
      </c>
      <c r="AF6" s="1" t="str">
        <f t="shared" si="9"/>
        <v>108966</v>
      </c>
    </row>
    <row r="7" spans="1:32" x14ac:dyDescent="0.3">
      <c r="A7" s="1">
        <v>6</v>
      </c>
      <c r="B7" s="1" t="s">
        <v>59</v>
      </c>
      <c r="C7" s="2">
        <v>41799</v>
      </c>
      <c r="D7" s="2">
        <v>41804</v>
      </c>
      <c r="E7" s="1" t="s">
        <v>48</v>
      </c>
      <c r="F7" s="1" t="s">
        <v>60</v>
      </c>
      <c r="G7" s="1" t="s">
        <v>61</v>
      </c>
      <c r="H7" s="1" t="s">
        <v>24</v>
      </c>
      <c r="I7" s="1" t="s">
        <v>25</v>
      </c>
      <c r="J7" s="1" t="s">
        <v>40</v>
      </c>
      <c r="K7" s="1" t="s">
        <v>41</v>
      </c>
      <c r="L7" s="1">
        <v>90032</v>
      </c>
      <c r="M7" s="1" t="s">
        <v>42</v>
      </c>
      <c r="N7" s="1" t="s">
        <v>62</v>
      </c>
      <c r="O7" s="1" t="s">
        <v>30</v>
      </c>
      <c r="P7" s="1" t="s">
        <v>63</v>
      </c>
      <c r="Q7" s="1" t="s">
        <v>64</v>
      </c>
      <c r="R7" s="1">
        <v>48.86</v>
      </c>
      <c r="S7" s="1">
        <v>7</v>
      </c>
      <c r="T7" s="3">
        <v>0</v>
      </c>
      <c r="U7" s="4">
        <v>14.1694</v>
      </c>
      <c r="V7" s="1" t="str">
        <f t="shared" si="0"/>
        <v>Standard Class</v>
      </c>
      <c r="W7" s="1" t="str">
        <f t="shared" si="1"/>
        <v>Consumer</v>
      </c>
      <c r="X7" s="1" t="str">
        <f t="shared" si="2"/>
        <v>Los Angeles - California</v>
      </c>
      <c r="Y7" s="1" t="str">
        <f t="shared" si="3"/>
        <v>Furnishings</v>
      </c>
      <c r="Z7" s="1">
        <f t="shared" si="4"/>
        <v>48.86</v>
      </c>
      <c r="AA7" s="1">
        <f t="shared" si="5"/>
        <v>48.86</v>
      </c>
      <c r="AB7" s="1">
        <f t="shared" si="6"/>
        <v>342.02</v>
      </c>
      <c r="AC7" s="4">
        <f t="shared" si="7"/>
        <v>342.02</v>
      </c>
      <c r="AD7" s="1" t="s">
        <v>2013</v>
      </c>
      <c r="AE7" s="1" t="str">
        <f t="shared" si="8"/>
        <v>2014</v>
      </c>
      <c r="AF7" s="1" t="str">
        <f t="shared" si="9"/>
        <v>115812</v>
      </c>
    </row>
    <row r="8" spans="1:32" x14ac:dyDescent="0.3">
      <c r="A8" s="1">
        <v>7</v>
      </c>
      <c r="B8" s="1" t="s">
        <v>59</v>
      </c>
      <c r="C8" s="2">
        <v>41799</v>
      </c>
      <c r="D8" s="2">
        <v>41804</v>
      </c>
      <c r="E8" s="1" t="s">
        <v>48</v>
      </c>
      <c r="F8" s="1" t="s">
        <v>60</v>
      </c>
      <c r="G8" s="1" t="s">
        <v>61</v>
      </c>
      <c r="H8" s="1" t="s">
        <v>24</v>
      </c>
      <c r="I8" s="1" t="s">
        <v>25</v>
      </c>
      <c r="J8" s="1" t="s">
        <v>40</v>
      </c>
      <c r="K8" s="1" t="s">
        <v>41</v>
      </c>
      <c r="L8" s="1">
        <v>90032</v>
      </c>
      <c r="M8" s="1" t="s">
        <v>42</v>
      </c>
      <c r="N8" s="1" t="s">
        <v>65</v>
      </c>
      <c r="O8" s="1" t="s">
        <v>44</v>
      </c>
      <c r="P8" s="1" t="s">
        <v>66</v>
      </c>
      <c r="Q8" s="1" t="s">
        <v>67</v>
      </c>
      <c r="R8" s="1">
        <v>7.28</v>
      </c>
      <c r="S8" s="1">
        <v>4</v>
      </c>
      <c r="T8" s="3">
        <v>0</v>
      </c>
      <c r="U8" s="4">
        <v>1.9656</v>
      </c>
      <c r="V8" s="1" t="str">
        <f t="shared" si="0"/>
        <v>Standard Class</v>
      </c>
      <c r="W8" s="1" t="str">
        <f t="shared" si="1"/>
        <v>Consumer</v>
      </c>
      <c r="X8" s="1" t="str">
        <f t="shared" si="2"/>
        <v>Los Angeles - California</v>
      </c>
      <c r="Y8" s="1" t="str">
        <f t="shared" si="3"/>
        <v>Art</v>
      </c>
      <c r="Z8" s="1">
        <f t="shared" si="4"/>
        <v>7.28</v>
      </c>
      <c r="AA8" s="1">
        <f t="shared" si="5"/>
        <v>7.28</v>
      </c>
      <c r="AB8" s="1">
        <f t="shared" si="6"/>
        <v>29.12</v>
      </c>
      <c r="AC8" s="4">
        <f t="shared" si="7"/>
        <v>29.12</v>
      </c>
      <c r="AD8" s="1" t="s">
        <v>2013</v>
      </c>
      <c r="AE8" s="1" t="str">
        <f t="shared" si="8"/>
        <v>2014</v>
      </c>
      <c r="AF8" s="1" t="str">
        <f t="shared" si="9"/>
        <v>115812</v>
      </c>
    </row>
    <row r="9" spans="1:32" x14ac:dyDescent="0.3">
      <c r="A9" s="1">
        <v>8</v>
      </c>
      <c r="B9" s="1" t="s">
        <v>59</v>
      </c>
      <c r="C9" s="2">
        <v>41799</v>
      </c>
      <c r="D9" s="2">
        <v>41804</v>
      </c>
      <c r="E9" s="1" t="s">
        <v>48</v>
      </c>
      <c r="F9" s="1" t="s">
        <v>60</v>
      </c>
      <c r="G9" s="1" t="s">
        <v>61</v>
      </c>
      <c r="H9" s="1" t="s">
        <v>24</v>
      </c>
      <c r="I9" s="1" t="s">
        <v>25</v>
      </c>
      <c r="J9" s="1" t="s">
        <v>40</v>
      </c>
      <c r="K9" s="1" t="s">
        <v>41</v>
      </c>
      <c r="L9" s="1">
        <v>90032</v>
      </c>
      <c r="M9" s="1" t="s">
        <v>42</v>
      </c>
      <c r="N9" s="1" t="s">
        <v>68</v>
      </c>
      <c r="O9" s="1" t="s">
        <v>69</v>
      </c>
      <c r="P9" s="1" t="s">
        <v>70</v>
      </c>
      <c r="Q9" s="1" t="s">
        <v>71</v>
      </c>
      <c r="R9" s="1">
        <v>907.15200000000004</v>
      </c>
      <c r="S9" s="1">
        <v>6</v>
      </c>
      <c r="T9" s="3">
        <v>0.2</v>
      </c>
      <c r="U9" s="4">
        <v>90.715199999999996</v>
      </c>
      <c r="V9" s="1" t="str">
        <f t="shared" si="0"/>
        <v>Standard Class</v>
      </c>
      <c r="W9" s="1" t="str">
        <f t="shared" si="1"/>
        <v>Consumer</v>
      </c>
      <c r="X9" s="1" t="str">
        <f t="shared" si="2"/>
        <v>Los Angeles - California</v>
      </c>
      <c r="Y9" s="1" t="str">
        <f t="shared" si="3"/>
        <v>Phones</v>
      </c>
      <c r="Z9" s="1">
        <f t="shared" si="4"/>
        <v>907.15200000000004</v>
      </c>
      <c r="AA9" s="1">
        <f t="shared" si="5"/>
        <v>907.15200000000004</v>
      </c>
      <c r="AB9" s="1">
        <f t="shared" si="6"/>
        <v>5442.9120000000003</v>
      </c>
      <c r="AC9" s="4">
        <f t="shared" si="7"/>
        <v>4354.3296</v>
      </c>
      <c r="AD9" s="1" t="s">
        <v>2013</v>
      </c>
      <c r="AE9" s="1" t="str">
        <f t="shared" si="8"/>
        <v>2014</v>
      </c>
      <c r="AF9" s="1" t="str">
        <f t="shared" si="9"/>
        <v>115812</v>
      </c>
    </row>
    <row r="10" spans="1:32" x14ac:dyDescent="0.3">
      <c r="A10" s="1">
        <v>9</v>
      </c>
      <c r="B10" s="1" t="s">
        <v>59</v>
      </c>
      <c r="C10" s="2">
        <v>41799</v>
      </c>
      <c r="D10" s="2">
        <v>41804</v>
      </c>
      <c r="E10" s="1" t="s">
        <v>48</v>
      </c>
      <c r="F10" s="1" t="s">
        <v>60</v>
      </c>
      <c r="G10" s="1" t="s">
        <v>61</v>
      </c>
      <c r="H10" s="1" t="s">
        <v>24</v>
      </c>
      <c r="I10" s="1" t="s">
        <v>25</v>
      </c>
      <c r="J10" s="1" t="s">
        <v>40</v>
      </c>
      <c r="K10" s="1" t="s">
        <v>41</v>
      </c>
      <c r="L10" s="1">
        <v>90032</v>
      </c>
      <c r="M10" s="1" t="s">
        <v>42</v>
      </c>
      <c r="N10" s="1" t="s">
        <v>72</v>
      </c>
      <c r="O10" s="1" t="s">
        <v>44</v>
      </c>
      <c r="P10" s="1" t="s">
        <v>73</v>
      </c>
      <c r="Q10" s="1" t="s">
        <v>74</v>
      </c>
      <c r="R10" s="1">
        <v>18.504000000000001</v>
      </c>
      <c r="S10" s="1">
        <v>3</v>
      </c>
      <c r="T10" s="3">
        <v>0.2</v>
      </c>
      <c r="U10" s="4">
        <v>5.7824999999999998</v>
      </c>
      <c r="V10" s="1" t="str">
        <f t="shared" si="0"/>
        <v>Standard Class</v>
      </c>
      <c r="W10" s="1" t="str">
        <f t="shared" si="1"/>
        <v>Consumer</v>
      </c>
      <c r="X10" s="1" t="str">
        <f t="shared" si="2"/>
        <v>Los Angeles - California</v>
      </c>
      <c r="Y10" s="1" t="str">
        <f t="shared" si="3"/>
        <v>Binders</v>
      </c>
      <c r="Z10" s="1">
        <f t="shared" si="4"/>
        <v>18.504000000000001</v>
      </c>
      <c r="AA10" s="1">
        <f t="shared" si="5"/>
        <v>18.504000000000001</v>
      </c>
      <c r="AB10" s="1">
        <f t="shared" si="6"/>
        <v>55.512</v>
      </c>
      <c r="AC10" s="4">
        <f t="shared" si="7"/>
        <v>44.409600000000005</v>
      </c>
      <c r="AD10" s="1" t="s">
        <v>2013</v>
      </c>
      <c r="AE10" s="1" t="str">
        <f t="shared" si="8"/>
        <v>2014</v>
      </c>
      <c r="AF10" s="1" t="str">
        <f t="shared" si="9"/>
        <v>115812</v>
      </c>
    </row>
    <row r="11" spans="1:32" x14ac:dyDescent="0.3">
      <c r="A11" s="1">
        <v>10</v>
      </c>
      <c r="B11" s="1" t="s">
        <v>59</v>
      </c>
      <c r="C11" s="2">
        <v>41799</v>
      </c>
      <c r="D11" s="2">
        <v>41804</v>
      </c>
      <c r="E11" s="1" t="s">
        <v>48</v>
      </c>
      <c r="F11" s="1" t="s">
        <v>60</v>
      </c>
      <c r="G11" s="1" t="s">
        <v>61</v>
      </c>
      <c r="H11" s="1" t="s">
        <v>24</v>
      </c>
      <c r="I11" s="1" t="s">
        <v>25</v>
      </c>
      <c r="J11" s="1" t="s">
        <v>40</v>
      </c>
      <c r="K11" s="1" t="s">
        <v>41</v>
      </c>
      <c r="L11" s="1">
        <v>90032</v>
      </c>
      <c r="M11" s="1" t="s">
        <v>42</v>
      </c>
      <c r="N11" s="1" t="s">
        <v>75</v>
      </c>
      <c r="O11" s="1" t="s">
        <v>44</v>
      </c>
      <c r="P11" s="1" t="s">
        <v>76</v>
      </c>
      <c r="Q11" s="1" t="s">
        <v>77</v>
      </c>
      <c r="R11" s="1">
        <v>114.9</v>
      </c>
      <c r="S11" s="1">
        <v>5</v>
      </c>
      <c r="T11" s="3">
        <v>0</v>
      </c>
      <c r="U11" s="4">
        <v>34.47</v>
      </c>
      <c r="V11" s="1" t="str">
        <f t="shared" si="0"/>
        <v>Standard Class</v>
      </c>
      <c r="W11" s="1" t="str">
        <f t="shared" si="1"/>
        <v>Consumer</v>
      </c>
      <c r="X11" s="1" t="str">
        <f t="shared" si="2"/>
        <v>Los Angeles - California</v>
      </c>
      <c r="Y11" s="1" t="str">
        <f t="shared" si="3"/>
        <v>Appliances</v>
      </c>
      <c r="Z11" s="1">
        <f t="shared" si="4"/>
        <v>114.9</v>
      </c>
      <c r="AA11" s="1">
        <f t="shared" si="5"/>
        <v>114.9</v>
      </c>
      <c r="AB11" s="1">
        <f t="shared" si="6"/>
        <v>574.5</v>
      </c>
      <c r="AC11" s="4">
        <f t="shared" si="7"/>
        <v>574.5</v>
      </c>
      <c r="AD11" s="1" t="s">
        <v>2013</v>
      </c>
      <c r="AE11" s="1" t="str">
        <f t="shared" si="8"/>
        <v>2014</v>
      </c>
      <c r="AF11" s="1" t="str">
        <f t="shared" si="9"/>
        <v>115812</v>
      </c>
    </row>
    <row r="12" spans="1:32" x14ac:dyDescent="0.3">
      <c r="A12" s="1">
        <v>11</v>
      </c>
      <c r="B12" s="1" t="s">
        <v>59</v>
      </c>
      <c r="C12" s="2">
        <v>41799</v>
      </c>
      <c r="D12" s="2">
        <v>41804</v>
      </c>
      <c r="E12" s="1" t="s">
        <v>48</v>
      </c>
      <c r="F12" s="1" t="s">
        <v>60</v>
      </c>
      <c r="G12" s="1" t="s">
        <v>61</v>
      </c>
      <c r="H12" s="1" t="s">
        <v>24</v>
      </c>
      <c r="I12" s="1" t="s">
        <v>25</v>
      </c>
      <c r="J12" s="1" t="s">
        <v>40</v>
      </c>
      <c r="K12" s="1" t="s">
        <v>41</v>
      </c>
      <c r="L12" s="1">
        <v>90032</v>
      </c>
      <c r="M12" s="1" t="s">
        <v>42</v>
      </c>
      <c r="N12" s="1" t="s">
        <v>78</v>
      </c>
      <c r="O12" s="1" t="s">
        <v>30</v>
      </c>
      <c r="P12" s="1" t="s">
        <v>54</v>
      </c>
      <c r="Q12" s="1" t="s">
        <v>79</v>
      </c>
      <c r="R12" s="1">
        <v>1706.184</v>
      </c>
      <c r="S12" s="1">
        <v>9</v>
      </c>
      <c r="T12" s="3">
        <v>0.2</v>
      </c>
      <c r="U12" s="4">
        <v>85.309200000000004</v>
      </c>
      <c r="V12" s="1" t="str">
        <f t="shared" si="0"/>
        <v>Standard Class</v>
      </c>
      <c r="W12" s="1" t="str">
        <f t="shared" si="1"/>
        <v>Consumer</v>
      </c>
      <c r="X12" s="1" t="str">
        <f t="shared" si="2"/>
        <v>Los Angeles - California</v>
      </c>
      <c r="Y12" s="1" t="str">
        <f t="shared" si="3"/>
        <v>Tables</v>
      </c>
      <c r="Z12" s="1">
        <f t="shared" si="4"/>
        <v>1706.184</v>
      </c>
      <c r="AA12" s="1">
        <f t="shared" si="5"/>
        <v>1706.184</v>
      </c>
      <c r="AB12" s="1">
        <f t="shared" si="6"/>
        <v>15355.655999999999</v>
      </c>
      <c r="AC12" s="4">
        <f t="shared" si="7"/>
        <v>12284.524799999999</v>
      </c>
      <c r="AD12" s="1" t="s">
        <v>2013</v>
      </c>
      <c r="AE12" s="1" t="str">
        <f t="shared" si="8"/>
        <v>2014</v>
      </c>
      <c r="AF12" s="1" t="str">
        <f t="shared" si="9"/>
        <v>115812</v>
      </c>
    </row>
    <row r="13" spans="1:32" x14ac:dyDescent="0.3">
      <c r="A13" s="1">
        <v>12</v>
      </c>
      <c r="B13" s="1" t="s">
        <v>59</v>
      </c>
      <c r="C13" s="2">
        <v>41799</v>
      </c>
      <c r="D13" s="2">
        <v>41804</v>
      </c>
      <c r="E13" s="1" t="s">
        <v>48</v>
      </c>
      <c r="F13" s="1" t="s">
        <v>60</v>
      </c>
      <c r="G13" s="1" t="s">
        <v>61</v>
      </c>
      <c r="H13" s="1" t="s">
        <v>24</v>
      </c>
      <c r="I13" s="1" t="s">
        <v>25</v>
      </c>
      <c r="J13" s="1" t="s">
        <v>40</v>
      </c>
      <c r="K13" s="1" t="s">
        <v>41</v>
      </c>
      <c r="L13" s="1">
        <v>90032</v>
      </c>
      <c r="M13" s="1" t="s">
        <v>42</v>
      </c>
      <c r="N13" s="1" t="s">
        <v>80</v>
      </c>
      <c r="O13" s="1" t="s">
        <v>69</v>
      </c>
      <c r="P13" s="1" t="s">
        <v>70</v>
      </c>
      <c r="Q13" s="1" t="s">
        <v>81</v>
      </c>
      <c r="R13" s="1">
        <v>911.42399999999998</v>
      </c>
      <c r="S13" s="1">
        <v>4</v>
      </c>
      <c r="T13" s="3">
        <v>0.2</v>
      </c>
      <c r="U13" s="4">
        <v>68.356800000000007</v>
      </c>
      <c r="V13" s="1" t="str">
        <f t="shared" si="0"/>
        <v>Standard Class</v>
      </c>
      <c r="W13" s="1" t="str">
        <f t="shared" si="1"/>
        <v>Consumer</v>
      </c>
      <c r="X13" s="1" t="str">
        <f t="shared" si="2"/>
        <v>Los Angeles - California</v>
      </c>
      <c r="Y13" s="1" t="str">
        <f t="shared" si="3"/>
        <v>Phones</v>
      </c>
      <c r="Z13" s="1">
        <f t="shared" si="4"/>
        <v>911.42399999999998</v>
      </c>
      <c r="AA13" s="1">
        <f t="shared" si="5"/>
        <v>911.42399999999998</v>
      </c>
      <c r="AB13" s="1">
        <f t="shared" si="6"/>
        <v>3645.6959999999999</v>
      </c>
      <c r="AC13" s="4">
        <f t="shared" si="7"/>
        <v>2916.5568000000003</v>
      </c>
      <c r="AD13" s="1" t="s">
        <v>2013</v>
      </c>
      <c r="AE13" s="1" t="str">
        <f t="shared" si="8"/>
        <v>2014</v>
      </c>
      <c r="AF13" s="1" t="str">
        <f t="shared" si="9"/>
        <v>115812</v>
      </c>
    </row>
    <row r="14" spans="1:32" x14ac:dyDescent="0.3">
      <c r="A14" s="1">
        <v>13</v>
      </c>
      <c r="B14" s="1" t="s">
        <v>82</v>
      </c>
      <c r="C14" s="2">
        <v>42840</v>
      </c>
      <c r="D14" s="2">
        <v>42845</v>
      </c>
      <c r="E14" s="1" t="s">
        <v>48</v>
      </c>
      <c r="F14" s="1" t="s">
        <v>83</v>
      </c>
      <c r="G14" s="1" t="s">
        <v>84</v>
      </c>
      <c r="H14" s="1" t="s">
        <v>24</v>
      </c>
      <c r="I14" s="1" t="s">
        <v>25</v>
      </c>
      <c r="J14" s="1" t="s">
        <v>85</v>
      </c>
      <c r="K14" s="1" t="s">
        <v>86</v>
      </c>
      <c r="L14" s="1">
        <v>28027</v>
      </c>
      <c r="M14" s="1" t="s">
        <v>28</v>
      </c>
      <c r="N14" s="1" t="s">
        <v>87</v>
      </c>
      <c r="O14" s="1" t="s">
        <v>44</v>
      </c>
      <c r="P14" s="1" t="s">
        <v>88</v>
      </c>
      <c r="Q14" s="1" t="s">
        <v>89</v>
      </c>
      <c r="R14" s="1">
        <v>15.552</v>
      </c>
      <c r="S14" s="1">
        <v>3</v>
      </c>
      <c r="T14" s="3">
        <v>0.2</v>
      </c>
      <c r="U14" s="4">
        <v>5.4432</v>
      </c>
      <c r="V14" s="1" t="str">
        <f t="shared" si="0"/>
        <v>Standard Class</v>
      </c>
      <c r="W14" s="1" t="str">
        <f t="shared" si="1"/>
        <v>Consumer</v>
      </c>
      <c r="X14" s="1" t="str">
        <f t="shared" si="2"/>
        <v>Concord - North Carolina</v>
      </c>
      <c r="Y14" s="1" t="str">
        <f t="shared" si="3"/>
        <v>Paper</v>
      </c>
      <c r="Z14" s="1">
        <f t="shared" si="4"/>
        <v>15.552</v>
      </c>
      <c r="AA14" s="1">
        <f t="shared" si="5"/>
        <v>15.552</v>
      </c>
      <c r="AB14" s="1">
        <f t="shared" si="6"/>
        <v>46.655999999999999</v>
      </c>
      <c r="AC14" s="4">
        <f t="shared" si="7"/>
        <v>37.324800000000003</v>
      </c>
      <c r="AD14" s="1" t="s">
        <v>2013</v>
      </c>
      <c r="AE14" s="1" t="str">
        <f t="shared" si="8"/>
        <v>2017</v>
      </c>
      <c r="AF14" s="1" t="str">
        <f t="shared" si="9"/>
        <v>114412</v>
      </c>
    </row>
    <row r="15" spans="1:32" x14ac:dyDescent="0.3">
      <c r="A15" s="1">
        <v>14</v>
      </c>
      <c r="B15" s="1" t="s">
        <v>90</v>
      </c>
      <c r="C15" s="2">
        <v>42709</v>
      </c>
      <c r="D15" s="2">
        <v>42714</v>
      </c>
      <c r="E15" s="1" t="s">
        <v>48</v>
      </c>
      <c r="F15" s="1" t="s">
        <v>91</v>
      </c>
      <c r="G15" s="1" t="s">
        <v>92</v>
      </c>
      <c r="H15" s="1" t="s">
        <v>24</v>
      </c>
      <c r="I15" s="1" t="s">
        <v>25</v>
      </c>
      <c r="J15" s="1" t="s">
        <v>93</v>
      </c>
      <c r="K15" s="1" t="s">
        <v>94</v>
      </c>
      <c r="L15" s="1">
        <v>98103</v>
      </c>
      <c r="M15" s="1" t="s">
        <v>42</v>
      </c>
      <c r="N15" s="1" t="s">
        <v>95</v>
      </c>
      <c r="O15" s="1" t="s">
        <v>44</v>
      </c>
      <c r="P15" s="1" t="s">
        <v>73</v>
      </c>
      <c r="Q15" s="1" t="s">
        <v>96</v>
      </c>
      <c r="R15" s="1">
        <v>407.976</v>
      </c>
      <c r="S15" s="1">
        <v>3</v>
      </c>
      <c r="T15" s="3">
        <v>0.2</v>
      </c>
      <c r="U15" s="4">
        <v>132.59219999999999</v>
      </c>
      <c r="V15" s="1" t="str">
        <f t="shared" si="0"/>
        <v>Standard Class</v>
      </c>
      <c r="W15" s="1" t="str">
        <f t="shared" si="1"/>
        <v>Consumer</v>
      </c>
      <c r="X15" s="1" t="str">
        <f t="shared" si="2"/>
        <v>Seattle - Washington</v>
      </c>
      <c r="Y15" s="1" t="str">
        <f t="shared" si="3"/>
        <v>Binders</v>
      </c>
      <c r="Z15" s="1">
        <f t="shared" si="4"/>
        <v>407.976</v>
      </c>
      <c r="AA15" s="1">
        <f t="shared" si="5"/>
        <v>407.976</v>
      </c>
      <c r="AB15" s="1">
        <f t="shared" si="6"/>
        <v>1223.9279999999999</v>
      </c>
      <c r="AC15" s="4">
        <f t="shared" si="7"/>
        <v>979.14239999999995</v>
      </c>
      <c r="AD15" s="1" t="s">
        <v>2013</v>
      </c>
      <c r="AE15" s="1" t="str">
        <f t="shared" si="8"/>
        <v>2016</v>
      </c>
      <c r="AF15" s="1" t="str">
        <f t="shared" si="9"/>
        <v>161389</v>
      </c>
    </row>
    <row r="16" spans="1:32" x14ac:dyDescent="0.3">
      <c r="A16" s="1">
        <v>15</v>
      </c>
      <c r="B16" s="1" t="s">
        <v>97</v>
      </c>
      <c r="C16" s="2">
        <v>42330</v>
      </c>
      <c r="D16" s="2">
        <v>42334</v>
      </c>
      <c r="E16" s="1"/>
      <c r="F16" s="1" t="s">
        <v>98</v>
      </c>
      <c r="G16" s="1" t="s">
        <v>99</v>
      </c>
      <c r="H16" s="1" t="s">
        <v>100</v>
      </c>
      <c r="I16" s="1" t="s">
        <v>25</v>
      </c>
      <c r="J16" s="1" t="s">
        <v>101</v>
      </c>
      <c r="K16" s="1" t="s">
        <v>102</v>
      </c>
      <c r="L16" s="1">
        <v>76106</v>
      </c>
      <c r="M16" s="1" t="s">
        <v>103</v>
      </c>
      <c r="N16" s="1" t="s">
        <v>104</v>
      </c>
      <c r="O16" s="1" t="s">
        <v>44</v>
      </c>
      <c r="P16" s="1" t="s">
        <v>76</v>
      </c>
      <c r="Q16" s="1" t="s">
        <v>105</v>
      </c>
      <c r="R16" s="1">
        <v>68.81</v>
      </c>
      <c r="S16" s="1">
        <v>5</v>
      </c>
      <c r="T16" s="3">
        <v>0.8</v>
      </c>
      <c r="U16" s="4">
        <v>-123.858</v>
      </c>
      <c r="V16" s="1" t="str">
        <f t="shared" si="0"/>
        <v>UNKNOWN</v>
      </c>
      <c r="W16" s="1" t="str">
        <f t="shared" si="1"/>
        <v>Home Office</v>
      </c>
      <c r="X16" s="1" t="str">
        <f t="shared" si="2"/>
        <v>Fort Worth - Texas</v>
      </c>
      <c r="Y16" s="1" t="str">
        <f t="shared" si="3"/>
        <v>Appliances</v>
      </c>
      <c r="Z16" s="1">
        <f t="shared" si="4"/>
        <v>68.81</v>
      </c>
      <c r="AA16" s="1">
        <f t="shared" si="5"/>
        <v>68.81</v>
      </c>
      <c r="AB16" s="1">
        <f t="shared" si="6"/>
        <v>344.05</v>
      </c>
      <c r="AC16" s="4">
        <f t="shared" si="7"/>
        <v>68.809999999999988</v>
      </c>
      <c r="AD16" s="1" t="s">
        <v>2014</v>
      </c>
      <c r="AE16" s="1" t="str">
        <f t="shared" si="8"/>
        <v>2015</v>
      </c>
      <c r="AF16" s="1" t="str">
        <f t="shared" si="9"/>
        <v>118983</v>
      </c>
    </row>
    <row r="17" spans="1:32" x14ac:dyDescent="0.3">
      <c r="A17" s="1">
        <v>16</v>
      </c>
      <c r="B17" s="1" t="s">
        <v>97</v>
      </c>
      <c r="C17" s="2">
        <v>42330</v>
      </c>
      <c r="D17" s="2">
        <v>42334</v>
      </c>
      <c r="E17" s="1" t="s">
        <v>48</v>
      </c>
      <c r="F17" s="1" t="s">
        <v>98</v>
      </c>
      <c r="G17" s="1" t="s">
        <v>99</v>
      </c>
      <c r="H17" s="1" t="s">
        <v>100</v>
      </c>
      <c r="I17" s="1" t="s">
        <v>25</v>
      </c>
      <c r="J17" s="1" t="s">
        <v>101</v>
      </c>
      <c r="K17" s="1" t="s">
        <v>102</v>
      </c>
      <c r="L17" s="1">
        <v>76106</v>
      </c>
      <c r="M17" s="1" t="s">
        <v>103</v>
      </c>
      <c r="N17" s="1" t="s">
        <v>106</v>
      </c>
      <c r="O17" s="1" t="s">
        <v>44</v>
      </c>
      <c r="P17" s="1" t="s">
        <v>73</v>
      </c>
      <c r="Q17" s="1" t="s">
        <v>107</v>
      </c>
      <c r="R17" s="1">
        <v>2.544</v>
      </c>
      <c r="S17" s="1">
        <v>3</v>
      </c>
      <c r="T17" s="3">
        <v>0.8</v>
      </c>
      <c r="U17" s="4">
        <v>-3.8159999999999998</v>
      </c>
      <c r="V17" s="1" t="str">
        <f t="shared" si="0"/>
        <v>Standard Class</v>
      </c>
      <c r="W17" s="1" t="str">
        <f t="shared" si="1"/>
        <v>Home Office</v>
      </c>
      <c r="X17" s="1" t="str">
        <f t="shared" si="2"/>
        <v>Fort Worth - Texas</v>
      </c>
      <c r="Y17" s="1" t="str">
        <f t="shared" si="3"/>
        <v>Binders</v>
      </c>
      <c r="Z17" s="1">
        <f t="shared" si="4"/>
        <v>2.544</v>
      </c>
      <c r="AA17" s="1">
        <f t="shared" si="5"/>
        <v>2.544</v>
      </c>
      <c r="AB17" s="1">
        <f t="shared" si="6"/>
        <v>7.6319999999999997</v>
      </c>
      <c r="AC17" s="4">
        <f t="shared" si="7"/>
        <v>1.5263999999999995</v>
      </c>
      <c r="AD17" s="1" t="s">
        <v>2014</v>
      </c>
      <c r="AE17" s="1" t="str">
        <f t="shared" si="8"/>
        <v>2015</v>
      </c>
      <c r="AF17" s="1" t="str">
        <f t="shared" si="9"/>
        <v>118983</v>
      </c>
    </row>
    <row r="18" spans="1:32" x14ac:dyDescent="0.3">
      <c r="A18" s="1">
        <v>17</v>
      </c>
      <c r="B18" s="1" t="s">
        <v>108</v>
      </c>
      <c r="C18" s="2">
        <v>41954</v>
      </c>
      <c r="D18" s="2">
        <v>41961</v>
      </c>
      <c r="E18" s="1" t="s">
        <v>48</v>
      </c>
      <c r="F18" s="1" t="s">
        <v>109</v>
      </c>
      <c r="G18" s="1" t="s">
        <v>110</v>
      </c>
      <c r="H18" s="1" t="s">
        <v>24</v>
      </c>
      <c r="I18" s="1" t="s">
        <v>25</v>
      </c>
      <c r="J18" s="1" t="s">
        <v>111</v>
      </c>
      <c r="K18" s="1" t="s">
        <v>112</v>
      </c>
      <c r="L18" s="1">
        <v>53711</v>
      </c>
      <c r="M18" s="1" t="s">
        <v>103</v>
      </c>
      <c r="N18" s="1" t="s">
        <v>113</v>
      </c>
      <c r="O18" s="1" t="s">
        <v>44</v>
      </c>
      <c r="P18" s="1" t="s">
        <v>57</v>
      </c>
      <c r="Q18" s="1" t="s">
        <v>114</v>
      </c>
      <c r="R18" s="1">
        <v>665.88</v>
      </c>
      <c r="S18" s="1">
        <v>6</v>
      </c>
      <c r="T18" s="3">
        <v>0</v>
      </c>
      <c r="U18" s="4">
        <v>13.317600000000001</v>
      </c>
      <c r="V18" s="1" t="str">
        <f t="shared" si="0"/>
        <v>Standard Class</v>
      </c>
      <c r="W18" s="1" t="str">
        <f t="shared" si="1"/>
        <v>Consumer</v>
      </c>
      <c r="X18" s="1" t="str">
        <f t="shared" si="2"/>
        <v>Madison - Wisconsin</v>
      </c>
      <c r="Y18" s="1" t="str">
        <f t="shared" si="3"/>
        <v>Storage</v>
      </c>
      <c r="Z18" s="1">
        <f t="shared" si="4"/>
        <v>665.88</v>
      </c>
      <c r="AA18" s="1">
        <f t="shared" si="5"/>
        <v>665.88</v>
      </c>
      <c r="AB18" s="1">
        <f t="shared" si="6"/>
        <v>3995.2799999999997</v>
      </c>
      <c r="AC18" s="4">
        <f t="shared" si="7"/>
        <v>3995.2799999999997</v>
      </c>
      <c r="AD18" s="1" t="s">
        <v>2013</v>
      </c>
      <c r="AE18" s="1" t="str">
        <f t="shared" si="8"/>
        <v>2014</v>
      </c>
      <c r="AF18" s="1" t="str">
        <f t="shared" si="9"/>
        <v>105893</v>
      </c>
    </row>
    <row r="19" spans="1:32" x14ac:dyDescent="0.3">
      <c r="A19" s="1">
        <v>18</v>
      </c>
      <c r="B19" s="1" t="s">
        <v>115</v>
      </c>
      <c r="C19" s="2">
        <v>41772</v>
      </c>
      <c r="D19" s="2">
        <v>41774</v>
      </c>
      <c r="E19" s="1" t="s">
        <v>21</v>
      </c>
      <c r="F19" s="1" t="s">
        <v>116</v>
      </c>
      <c r="G19" s="1" t="s">
        <v>117</v>
      </c>
      <c r="H19" s="1" t="s">
        <v>24</v>
      </c>
      <c r="I19" s="1" t="s">
        <v>25</v>
      </c>
      <c r="J19" s="1" t="s">
        <v>118</v>
      </c>
      <c r="K19" s="1" t="s">
        <v>119</v>
      </c>
      <c r="L19" s="1">
        <v>84084</v>
      </c>
      <c r="M19" s="1" t="s">
        <v>42</v>
      </c>
      <c r="N19" s="1" t="s">
        <v>120</v>
      </c>
      <c r="O19" s="1" t="s">
        <v>44</v>
      </c>
      <c r="P19" s="1" t="s">
        <v>57</v>
      </c>
      <c r="Q19" s="1" t="s">
        <v>121</v>
      </c>
      <c r="R19" s="1">
        <v>55.5</v>
      </c>
      <c r="S19" s="1">
        <v>2</v>
      </c>
      <c r="T19" s="3">
        <v>0</v>
      </c>
      <c r="U19" s="4">
        <v>9.99</v>
      </c>
      <c r="V19" s="1" t="str">
        <f t="shared" si="0"/>
        <v>Second Class</v>
      </c>
      <c r="W19" s="1" t="str">
        <f t="shared" si="1"/>
        <v>Consumer</v>
      </c>
      <c r="X19" s="1" t="str">
        <f t="shared" si="2"/>
        <v>West Jordan - Utah</v>
      </c>
      <c r="Y19" s="1" t="str">
        <f t="shared" si="3"/>
        <v>Storage</v>
      </c>
      <c r="Z19" s="1">
        <f t="shared" si="4"/>
        <v>55.5</v>
      </c>
      <c r="AA19" s="1">
        <f t="shared" si="5"/>
        <v>55.5</v>
      </c>
      <c r="AB19" s="1">
        <f t="shared" si="6"/>
        <v>111</v>
      </c>
      <c r="AC19" s="4">
        <f t="shared" si="7"/>
        <v>111</v>
      </c>
      <c r="AD19" s="1" t="s">
        <v>2013</v>
      </c>
      <c r="AE19" s="1" t="str">
        <f t="shared" si="8"/>
        <v>2014</v>
      </c>
      <c r="AF19" s="1" t="str">
        <f t="shared" si="9"/>
        <v>167164</v>
      </c>
    </row>
    <row r="20" spans="1:32" x14ac:dyDescent="0.3">
      <c r="A20" s="1">
        <v>19</v>
      </c>
      <c r="B20" s="1" t="s">
        <v>122</v>
      </c>
      <c r="C20" s="2">
        <v>41878</v>
      </c>
      <c r="D20" s="2">
        <v>41883</v>
      </c>
      <c r="E20" s="1" t="s">
        <v>21</v>
      </c>
      <c r="F20" s="1" t="s">
        <v>123</v>
      </c>
      <c r="G20" s="1" t="s">
        <v>124</v>
      </c>
      <c r="H20" s="1" t="s">
        <v>24</v>
      </c>
      <c r="I20" s="1" t="s">
        <v>25</v>
      </c>
      <c r="J20" s="1" t="s">
        <v>125</v>
      </c>
      <c r="K20" s="1" t="s">
        <v>41</v>
      </c>
      <c r="L20" s="1">
        <v>94109</v>
      </c>
      <c r="M20" s="1" t="s">
        <v>42</v>
      </c>
      <c r="N20" s="1" t="s">
        <v>126</v>
      </c>
      <c r="O20" s="1" t="s">
        <v>44</v>
      </c>
      <c r="P20" s="1" t="s">
        <v>66</v>
      </c>
      <c r="Q20" s="1" t="s">
        <v>127</v>
      </c>
      <c r="R20" s="1">
        <v>8.56</v>
      </c>
      <c r="S20" s="1">
        <v>2</v>
      </c>
      <c r="T20" s="3">
        <v>0</v>
      </c>
      <c r="U20" s="4">
        <v>2.4824000000000002</v>
      </c>
      <c r="V20" s="1" t="str">
        <f t="shared" si="0"/>
        <v>Second Class</v>
      </c>
      <c r="W20" s="1" t="str">
        <f t="shared" si="1"/>
        <v>Consumer</v>
      </c>
      <c r="X20" s="1" t="str">
        <f t="shared" si="2"/>
        <v>San Francisco - California</v>
      </c>
      <c r="Y20" s="1" t="str">
        <f t="shared" si="3"/>
        <v>Art</v>
      </c>
      <c r="Z20" s="1">
        <f t="shared" si="4"/>
        <v>8.56</v>
      </c>
      <c r="AA20" s="1">
        <f t="shared" si="5"/>
        <v>8.56</v>
      </c>
      <c r="AB20" s="1">
        <f t="shared" si="6"/>
        <v>17.12</v>
      </c>
      <c r="AC20" s="4">
        <f t="shared" si="7"/>
        <v>17.12</v>
      </c>
      <c r="AD20" s="1" t="s">
        <v>2013</v>
      </c>
      <c r="AE20" s="1" t="str">
        <f t="shared" si="8"/>
        <v>2014</v>
      </c>
      <c r="AF20" s="1" t="str">
        <f t="shared" si="9"/>
        <v>143336</v>
      </c>
    </row>
    <row r="21" spans="1:32" x14ac:dyDescent="0.3">
      <c r="A21" s="1">
        <v>20</v>
      </c>
      <c r="B21" s="1" t="s">
        <v>122</v>
      </c>
      <c r="C21" s="2">
        <v>41878</v>
      </c>
      <c r="D21" s="2">
        <v>41883</v>
      </c>
      <c r="E21" s="1" t="s">
        <v>21</v>
      </c>
      <c r="F21" s="1" t="s">
        <v>123</v>
      </c>
      <c r="G21" s="1" t="s">
        <v>124</v>
      </c>
      <c r="H21" s="1" t="s">
        <v>24</v>
      </c>
      <c r="I21" s="1" t="s">
        <v>25</v>
      </c>
      <c r="J21" s="1" t="s">
        <v>125</v>
      </c>
      <c r="K21" s="1" t="s">
        <v>41</v>
      </c>
      <c r="L21" s="1">
        <v>94109</v>
      </c>
      <c r="M21" s="1" t="s">
        <v>42</v>
      </c>
      <c r="N21" s="1" t="s">
        <v>128</v>
      </c>
      <c r="O21" s="1" t="s">
        <v>69</v>
      </c>
      <c r="P21" s="1" t="s">
        <v>70</v>
      </c>
      <c r="Q21" s="1" t="s">
        <v>129</v>
      </c>
      <c r="R21" s="1">
        <v>213.48</v>
      </c>
      <c r="S21" s="1">
        <v>3</v>
      </c>
      <c r="T21" s="3">
        <v>0.2</v>
      </c>
      <c r="U21" s="4">
        <v>16.010999999999999</v>
      </c>
      <c r="V21" s="1" t="str">
        <f t="shared" si="0"/>
        <v>Second Class</v>
      </c>
      <c r="W21" s="1" t="str">
        <f t="shared" si="1"/>
        <v>Consumer</v>
      </c>
      <c r="X21" s="1" t="str">
        <f t="shared" si="2"/>
        <v>San Francisco - California</v>
      </c>
      <c r="Y21" s="1" t="str">
        <f t="shared" si="3"/>
        <v>Phones</v>
      </c>
      <c r="Z21" s="1">
        <f t="shared" si="4"/>
        <v>213.48</v>
      </c>
      <c r="AA21" s="1">
        <f t="shared" si="5"/>
        <v>213.48</v>
      </c>
      <c r="AB21" s="1">
        <f t="shared" si="6"/>
        <v>640.43999999999994</v>
      </c>
      <c r="AC21" s="4">
        <f t="shared" si="7"/>
        <v>512.35199999999998</v>
      </c>
      <c r="AD21" s="1" t="s">
        <v>2013</v>
      </c>
      <c r="AE21" s="1" t="str">
        <f t="shared" si="8"/>
        <v>2014</v>
      </c>
      <c r="AF21" s="1" t="str">
        <f t="shared" si="9"/>
        <v>143336</v>
      </c>
    </row>
    <row r="22" spans="1:32" x14ac:dyDescent="0.3">
      <c r="A22" s="1">
        <v>21</v>
      </c>
      <c r="B22" s="1" t="s">
        <v>122</v>
      </c>
      <c r="C22" s="2">
        <v>41878</v>
      </c>
      <c r="D22" s="2">
        <v>41883</v>
      </c>
      <c r="E22" s="1" t="s">
        <v>21</v>
      </c>
      <c r="F22" s="1" t="s">
        <v>123</v>
      </c>
      <c r="G22" s="1" t="s">
        <v>124</v>
      </c>
      <c r="H22" s="1" t="s">
        <v>24</v>
      </c>
      <c r="I22" s="1" t="s">
        <v>25</v>
      </c>
      <c r="J22" s="1" t="s">
        <v>125</v>
      </c>
      <c r="K22" s="1" t="s">
        <v>41</v>
      </c>
      <c r="L22" s="1">
        <v>94109</v>
      </c>
      <c r="M22" s="1" t="s">
        <v>42</v>
      </c>
      <c r="N22" s="1" t="s">
        <v>130</v>
      </c>
      <c r="O22" s="1" t="s">
        <v>44</v>
      </c>
      <c r="P22" s="1"/>
      <c r="Q22" s="1" t="s">
        <v>131</v>
      </c>
      <c r="R22" s="1">
        <v>22.72</v>
      </c>
      <c r="S22" s="1">
        <v>4</v>
      </c>
      <c r="T22" s="3">
        <v>0.2</v>
      </c>
      <c r="U22" s="4">
        <v>7.3840000000000003</v>
      </c>
      <c r="V22" s="1" t="str">
        <f t="shared" si="0"/>
        <v>Second Class</v>
      </c>
      <c r="W22" s="1" t="str">
        <f t="shared" si="1"/>
        <v>Consumer</v>
      </c>
      <c r="X22" s="1" t="str">
        <f t="shared" si="2"/>
        <v>San Francisco - California</v>
      </c>
      <c r="Y22" s="1" t="str">
        <f t="shared" si="3"/>
        <v>UNKNOWN</v>
      </c>
      <c r="Z22" s="1">
        <f t="shared" si="4"/>
        <v>22.72</v>
      </c>
      <c r="AA22" s="1">
        <f t="shared" si="5"/>
        <v>22.72</v>
      </c>
      <c r="AB22" s="1">
        <f t="shared" si="6"/>
        <v>90.88</v>
      </c>
      <c r="AC22" s="4">
        <f t="shared" si="7"/>
        <v>72.703999999999994</v>
      </c>
      <c r="AD22" s="1" t="s">
        <v>2013</v>
      </c>
      <c r="AE22" s="1" t="str">
        <f t="shared" si="8"/>
        <v>2014</v>
      </c>
      <c r="AF22" s="1" t="str">
        <f t="shared" si="9"/>
        <v>143336</v>
      </c>
    </row>
    <row r="23" spans="1:32" x14ac:dyDescent="0.3">
      <c r="A23" s="1">
        <v>22</v>
      </c>
      <c r="B23" s="1" t="s">
        <v>132</v>
      </c>
      <c r="C23" s="2">
        <v>42713</v>
      </c>
      <c r="D23" s="2">
        <v>42717</v>
      </c>
      <c r="E23" s="1" t="s">
        <v>48</v>
      </c>
      <c r="F23" s="1" t="s">
        <v>133</v>
      </c>
      <c r="G23" s="1" t="s">
        <v>134</v>
      </c>
      <c r="H23" s="1" t="s">
        <v>39</v>
      </c>
      <c r="I23" s="1" t="s">
        <v>25</v>
      </c>
      <c r="J23" s="1" t="s">
        <v>135</v>
      </c>
      <c r="K23" s="1" t="s">
        <v>136</v>
      </c>
      <c r="L23" s="1">
        <v>68025</v>
      </c>
      <c r="M23" s="1" t="s">
        <v>103</v>
      </c>
      <c r="N23" s="1" t="s">
        <v>137</v>
      </c>
      <c r="O23" s="1" t="s">
        <v>44</v>
      </c>
      <c r="P23" s="1" t="s">
        <v>66</v>
      </c>
      <c r="Q23" s="1" t="s">
        <v>138</v>
      </c>
      <c r="R23" s="1">
        <v>19.46</v>
      </c>
      <c r="S23" s="1">
        <v>7</v>
      </c>
      <c r="T23" s="3">
        <v>0</v>
      </c>
      <c r="U23" s="4">
        <v>5.0595999999999997</v>
      </c>
      <c r="V23" s="1" t="str">
        <f t="shared" si="0"/>
        <v>Standard Class</v>
      </c>
      <c r="W23" s="1" t="str">
        <f t="shared" si="1"/>
        <v>Corporate</v>
      </c>
      <c r="X23" s="1" t="str">
        <f t="shared" si="2"/>
        <v>Fremont - Nebraska</v>
      </c>
      <c r="Y23" s="1" t="str">
        <f t="shared" si="3"/>
        <v>Art</v>
      </c>
      <c r="Z23" s="1">
        <f t="shared" si="4"/>
        <v>19.46</v>
      </c>
      <c r="AA23" s="1">
        <f t="shared" si="5"/>
        <v>19.46</v>
      </c>
      <c r="AB23" s="1">
        <f t="shared" si="6"/>
        <v>136.22</v>
      </c>
      <c r="AC23" s="4">
        <f t="shared" si="7"/>
        <v>136.22</v>
      </c>
      <c r="AD23" s="1" t="s">
        <v>2013</v>
      </c>
      <c r="AE23" s="1" t="str">
        <f t="shared" si="8"/>
        <v>2016</v>
      </c>
      <c r="AF23" s="1" t="str">
        <f t="shared" si="9"/>
        <v>137330</v>
      </c>
    </row>
    <row r="24" spans="1:32" x14ac:dyDescent="0.3">
      <c r="A24" s="1">
        <v>23</v>
      </c>
      <c r="B24" s="1" t="s">
        <v>132</v>
      </c>
      <c r="C24" s="2">
        <v>42713</v>
      </c>
      <c r="D24" s="2">
        <v>42717</v>
      </c>
      <c r="E24" s="1" t="s">
        <v>48</v>
      </c>
      <c r="F24" s="1" t="s">
        <v>133</v>
      </c>
      <c r="G24" s="1" t="s">
        <v>134</v>
      </c>
      <c r="H24" s="1" t="s">
        <v>39</v>
      </c>
      <c r="I24" s="1" t="s">
        <v>25</v>
      </c>
      <c r="J24" s="1" t="s">
        <v>135</v>
      </c>
      <c r="K24" s="1" t="s">
        <v>136</v>
      </c>
      <c r="L24" s="1">
        <v>68025</v>
      </c>
      <c r="M24" s="1" t="s">
        <v>103</v>
      </c>
      <c r="N24" s="1" t="s">
        <v>139</v>
      </c>
      <c r="O24" s="1" t="s">
        <v>44</v>
      </c>
      <c r="P24" s="1" t="s">
        <v>76</v>
      </c>
      <c r="Q24" s="1" t="s">
        <v>140</v>
      </c>
      <c r="R24" s="1">
        <v>60.34</v>
      </c>
      <c r="S24" s="1">
        <v>7</v>
      </c>
      <c r="T24" s="3">
        <v>0</v>
      </c>
      <c r="U24" s="4">
        <v>15.6884</v>
      </c>
      <c r="V24" s="1" t="str">
        <f t="shared" si="0"/>
        <v>Standard Class</v>
      </c>
      <c r="W24" s="1" t="str">
        <f t="shared" si="1"/>
        <v>Corporate</v>
      </c>
      <c r="X24" s="1" t="str">
        <f t="shared" si="2"/>
        <v>Fremont - Nebraska</v>
      </c>
      <c r="Y24" s="1" t="str">
        <f t="shared" si="3"/>
        <v>Appliances</v>
      </c>
      <c r="Z24" s="1">
        <f t="shared" si="4"/>
        <v>60.34</v>
      </c>
      <c r="AA24" s="1">
        <f t="shared" si="5"/>
        <v>60.34</v>
      </c>
      <c r="AB24" s="1">
        <f t="shared" si="6"/>
        <v>422.38</v>
      </c>
      <c r="AC24" s="4">
        <f t="shared" si="7"/>
        <v>422.38</v>
      </c>
      <c r="AD24" s="1" t="s">
        <v>2013</v>
      </c>
      <c r="AE24" s="1" t="str">
        <f t="shared" si="8"/>
        <v>2016</v>
      </c>
      <c r="AF24" s="1" t="str">
        <f t="shared" si="9"/>
        <v>137330</v>
      </c>
    </row>
    <row r="25" spans="1:32" x14ac:dyDescent="0.3">
      <c r="A25" s="1">
        <v>24</v>
      </c>
      <c r="B25" s="1" t="s">
        <v>141</v>
      </c>
      <c r="C25" s="2">
        <v>42932</v>
      </c>
      <c r="D25" s="2">
        <v>42934</v>
      </c>
      <c r="E25" s="1" t="s">
        <v>21</v>
      </c>
      <c r="F25" s="1" t="s">
        <v>142</v>
      </c>
      <c r="G25" s="1" t="s">
        <v>143</v>
      </c>
      <c r="H25" s="1" t="s">
        <v>24</v>
      </c>
      <c r="I25" s="1" t="s">
        <v>25</v>
      </c>
      <c r="J25" s="1" t="s">
        <v>144</v>
      </c>
      <c r="K25" s="1" t="s">
        <v>145</v>
      </c>
      <c r="L25" s="1">
        <v>19140</v>
      </c>
      <c r="M25" s="1" t="s">
        <v>146</v>
      </c>
      <c r="N25" s="1" t="s">
        <v>147</v>
      </c>
      <c r="O25" s="1" t="s">
        <v>30</v>
      </c>
      <c r="P25" s="1" t="s">
        <v>34</v>
      </c>
      <c r="Q25" s="1" t="s">
        <v>148</v>
      </c>
      <c r="R25" s="1">
        <v>71.372</v>
      </c>
      <c r="S25" s="1">
        <v>2</v>
      </c>
      <c r="T25" s="3">
        <v>0.3</v>
      </c>
      <c r="U25" s="4">
        <v>-1.0196000000000001</v>
      </c>
      <c r="V25" s="1" t="str">
        <f t="shared" si="0"/>
        <v>Second Class</v>
      </c>
      <c r="W25" s="1" t="str">
        <f t="shared" si="1"/>
        <v>Consumer</v>
      </c>
      <c r="X25" s="1" t="str">
        <f t="shared" si="2"/>
        <v>Philadelphia - Pennsylvania</v>
      </c>
      <c r="Y25" s="1" t="str">
        <f t="shared" si="3"/>
        <v>Chairs</v>
      </c>
      <c r="Z25" s="1">
        <f t="shared" si="4"/>
        <v>71.372</v>
      </c>
      <c r="AA25" s="1">
        <f t="shared" si="5"/>
        <v>71.372</v>
      </c>
      <c r="AB25" s="1">
        <f t="shared" si="6"/>
        <v>142.744</v>
      </c>
      <c r="AC25" s="4">
        <f t="shared" si="7"/>
        <v>99.9208</v>
      </c>
      <c r="AD25" s="1" t="s">
        <v>2014</v>
      </c>
      <c r="AE25" s="1" t="str">
        <f t="shared" si="8"/>
        <v>2017</v>
      </c>
      <c r="AF25" s="1" t="str">
        <f t="shared" si="9"/>
        <v>156909</v>
      </c>
    </row>
    <row r="26" spans="1:32" x14ac:dyDescent="0.3">
      <c r="A26" s="1">
        <v>25</v>
      </c>
      <c r="B26" s="1" t="s">
        <v>149</v>
      </c>
      <c r="C26" s="2">
        <v>42272</v>
      </c>
      <c r="D26" s="2">
        <v>42277</v>
      </c>
      <c r="E26" s="1" t="s">
        <v>48</v>
      </c>
      <c r="F26" s="1" t="s">
        <v>150</v>
      </c>
      <c r="G26" s="1" t="s">
        <v>151</v>
      </c>
      <c r="H26" s="1" t="s">
        <v>24</v>
      </c>
      <c r="I26" s="1" t="s">
        <v>25</v>
      </c>
      <c r="J26" s="1" t="s">
        <v>152</v>
      </c>
      <c r="K26" s="1" t="s">
        <v>119</v>
      </c>
      <c r="L26" s="1">
        <v>84057</v>
      </c>
      <c r="M26" s="1" t="s">
        <v>42</v>
      </c>
      <c r="N26" s="1" t="s">
        <v>53</v>
      </c>
      <c r="O26" s="1" t="s">
        <v>30</v>
      </c>
      <c r="P26" s="1" t="s">
        <v>54</v>
      </c>
      <c r="Q26" s="1" t="s">
        <v>55</v>
      </c>
      <c r="R26" s="1">
        <v>1044.6300000000001</v>
      </c>
      <c r="S26" s="1">
        <v>3</v>
      </c>
      <c r="T26" s="3">
        <v>0</v>
      </c>
      <c r="U26" s="4">
        <v>240.26490000000001</v>
      </c>
      <c r="V26" s="1" t="str">
        <f t="shared" si="0"/>
        <v>Standard Class</v>
      </c>
      <c r="W26" s="1" t="str">
        <f t="shared" si="1"/>
        <v>Consumer</v>
      </c>
      <c r="X26" s="1" t="str">
        <f t="shared" si="2"/>
        <v>Orem - Utah</v>
      </c>
      <c r="Y26" s="1" t="str">
        <f t="shared" si="3"/>
        <v>Tables</v>
      </c>
      <c r="Z26" s="1">
        <f t="shared" si="4"/>
        <v>1044.6300000000001</v>
      </c>
      <c r="AA26" s="1">
        <f t="shared" si="5"/>
        <v>1044.6300000000001</v>
      </c>
      <c r="AB26" s="1">
        <f t="shared" si="6"/>
        <v>3133.8900000000003</v>
      </c>
      <c r="AC26" s="4">
        <f t="shared" si="7"/>
        <v>3133.8900000000003</v>
      </c>
      <c r="AD26" s="1" t="s">
        <v>2013</v>
      </c>
      <c r="AE26" s="1" t="str">
        <f t="shared" si="8"/>
        <v>2015</v>
      </c>
      <c r="AF26" s="1" t="str">
        <f t="shared" si="9"/>
        <v>106320</v>
      </c>
    </row>
    <row r="27" spans="1:32" x14ac:dyDescent="0.3">
      <c r="A27" s="1">
        <v>26</v>
      </c>
      <c r="B27" s="1" t="s">
        <v>153</v>
      </c>
      <c r="C27" s="2">
        <v>42385</v>
      </c>
      <c r="D27" s="2">
        <v>42389</v>
      </c>
      <c r="E27" s="1" t="s">
        <v>21</v>
      </c>
      <c r="F27" s="1" t="s">
        <v>154</v>
      </c>
      <c r="G27" s="1" t="s">
        <v>155</v>
      </c>
      <c r="H27" s="1" t="s">
        <v>24</v>
      </c>
      <c r="I27" s="1" t="s">
        <v>25</v>
      </c>
      <c r="J27" s="1" t="s">
        <v>40</v>
      </c>
      <c r="K27" s="1" t="s">
        <v>41</v>
      </c>
      <c r="L27" s="1">
        <v>90049</v>
      </c>
      <c r="M27" s="1" t="s">
        <v>42</v>
      </c>
      <c r="N27" s="1" t="s">
        <v>156</v>
      </c>
      <c r="O27" s="1" t="s">
        <v>44</v>
      </c>
      <c r="P27" s="1" t="s">
        <v>73</v>
      </c>
      <c r="Q27" s="1" t="s">
        <v>157</v>
      </c>
      <c r="R27" s="1">
        <v>11.648</v>
      </c>
      <c r="S27" s="1">
        <v>2</v>
      </c>
      <c r="T27" s="3">
        <v>0.2</v>
      </c>
      <c r="U27" s="4">
        <v>4.2224000000000004</v>
      </c>
      <c r="V27" s="1" t="str">
        <f t="shared" si="0"/>
        <v>Second Class</v>
      </c>
      <c r="W27" s="1" t="str">
        <f t="shared" si="1"/>
        <v>Consumer</v>
      </c>
      <c r="X27" s="1" t="str">
        <f t="shared" si="2"/>
        <v>Los Angeles - California</v>
      </c>
      <c r="Y27" s="1" t="str">
        <f t="shared" si="3"/>
        <v>Binders</v>
      </c>
      <c r="Z27" s="1">
        <f t="shared" si="4"/>
        <v>11.648</v>
      </c>
      <c r="AA27" s="1">
        <f t="shared" si="5"/>
        <v>11.648</v>
      </c>
      <c r="AB27" s="1">
        <f t="shared" si="6"/>
        <v>23.295999999999999</v>
      </c>
      <c r="AC27" s="4">
        <f t="shared" si="7"/>
        <v>18.636800000000001</v>
      </c>
      <c r="AD27" s="1" t="s">
        <v>2013</v>
      </c>
      <c r="AE27" s="1" t="str">
        <f t="shared" si="8"/>
        <v>2016</v>
      </c>
      <c r="AF27" s="1" t="str">
        <f t="shared" si="9"/>
        <v>121755</v>
      </c>
    </row>
    <row r="28" spans="1:32" x14ac:dyDescent="0.3">
      <c r="A28" s="1">
        <v>27</v>
      </c>
      <c r="B28" s="1" t="s">
        <v>153</v>
      </c>
      <c r="C28" s="2">
        <v>42385</v>
      </c>
      <c r="D28" s="2">
        <v>42389</v>
      </c>
      <c r="E28" s="1" t="s">
        <v>21</v>
      </c>
      <c r="F28" s="1" t="s">
        <v>154</v>
      </c>
      <c r="G28" s="1" t="s">
        <v>155</v>
      </c>
      <c r="H28" s="1" t="s">
        <v>24</v>
      </c>
      <c r="I28" s="1" t="s">
        <v>25</v>
      </c>
      <c r="J28" s="1" t="s">
        <v>40</v>
      </c>
      <c r="K28" s="1" t="s">
        <v>41</v>
      </c>
      <c r="L28" s="1">
        <v>90049</v>
      </c>
      <c r="M28" s="1" t="s">
        <v>42</v>
      </c>
      <c r="N28" s="1" t="s">
        <v>158</v>
      </c>
      <c r="O28" s="1" t="s">
        <v>69</v>
      </c>
      <c r="P28" s="1" t="s">
        <v>159</v>
      </c>
      <c r="Q28" s="1" t="s">
        <v>160</v>
      </c>
      <c r="R28" s="1">
        <v>90.57</v>
      </c>
      <c r="S28" s="1">
        <v>3</v>
      </c>
      <c r="T28" s="3">
        <v>0</v>
      </c>
      <c r="U28" s="4">
        <v>11.774100000000001</v>
      </c>
      <c r="V28" s="1" t="str">
        <f t="shared" si="0"/>
        <v>Second Class</v>
      </c>
      <c r="W28" s="1" t="str">
        <f t="shared" si="1"/>
        <v>Consumer</v>
      </c>
      <c r="X28" s="1" t="str">
        <f t="shared" si="2"/>
        <v>Los Angeles - California</v>
      </c>
      <c r="Y28" s="1" t="str">
        <f t="shared" si="3"/>
        <v>Accessories</v>
      </c>
      <c r="Z28" s="1">
        <f t="shared" si="4"/>
        <v>90.57</v>
      </c>
      <c r="AA28" s="1">
        <f t="shared" si="5"/>
        <v>90.57</v>
      </c>
      <c r="AB28" s="1">
        <f t="shared" si="6"/>
        <v>271.70999999999998</v>
      </c>
      <c r="AC28" s="4">
        <f t="shared" si="7"/>
        <v>271.70999999999998</v>
      </c>
      <c r="AD28" s="1" t="s">
        <v>2013</v>
      </c>
      <c r="AE28" s="1" t="str">
        <f t="shared" si="8"/>
        <v>2016</v>
      </c>
      <c r="AF28" s="1" t="str">
        <f t="shared" si="9"/>
        <v>121755</v>
      </c>
    </row>
    <row r="29" spans="1:32" x14ac:dyDescent="0.3">
      <c r="A29" s="1">
        <v>28</v>
      </c>
      <c r="B29" s="1" t="s">
        <v>161</v>
      </c>
      <c r="C29" s="2">
        <v>42264</v>
      </c>
      <c r="D29" s="2">
        <v>42268</v>
      </c>
      <c r="E29" s="1" t="s">
        <v>48</v>
      </c>
      <c r="F29" s="1" t="s">
        <v>162</v>
      </c>
      <c r="G29" s="1" t="s">
        <v>163</v>
      </c>
      <c r="H29" s="1" t="s">
        <v>24</v>
      </c>
      <c r="I29" s="1" t="s">
        <v>25</v>
      </c>
      <c r="J29" s="1" t="s">
        <v>144</v>
      </c>
      <c r="K29" s="1" t="s">
        <v>145</v>
      </c>
      <c r="L29" s="1">
        <v>19140</v>
      </c>
      <c r="M29" s="1" t="s">
        <v>146</v>
      </c>
      <c r="N29" s="1" t="s">
        <v>164</v>
      </c>
      <c r="O29" s="1" t="s">
        <v>30</v>
      </c>
      <c r="P29" s="1" t="s">
        <v>31</v>
      </c>
      <c r="Q29" s="1" t="s">
        <v>165</v>
      </c>
      <c r="R29" s="1">
        <v>3083.43</v>
      </c>
      <c r="S29" s="1">
        <v>7</v>
      </c>
      <c r="T29" s="3">
        <v>0.5</v>
      </c>
      <c r="U29" s="4">
        <v>-1665.0522000000001</v>
      </c>
      <c r="V29" s="1" t="str">
        <f t="shared" si="0"/>
        <v>Standard Class</v>
      </c>
      <c r="W29" s="1" t="str">
        <f t="shared" si="1"/>
        <v>Consumer</v>
      </c>
      <c r="X29" s="1" t="str">
        <f t="shared" si="2"/>
        <v>Philadelphia - Pennsylvania</v>
      </c>
      <c r="Y29" s="1" t="str">
        <f t="shared" si="3"/>
        <v>Bookcases</v>
      </c>
      <c r="Z29" s="1">
        <f t="shared" si="4"/>
        <v>3083.43</v>
      </c>
      <c r="AA29" s="1">
        <f t="shared" si="5"/>
        <v>3083.43</v>
      </c>
      <c r="AB29" s="1">
        <f t="shared" si="6"/>
        <v>21584.01</v>
      </c>
      <c r="AC29" s="4">
        <f t="shared" si="7"/>
        <v>10792.004999999999</v>
      </c>
      <c r="AD29" s="1" t="s">
        <v>2014</v>
      </c>
      <c r="AE29" s="1" t="str">
        <f t="shared" si="8"/>
        <v>2015</v>
      </c>
      <c r="AF29" s="1" t="str">
        <f t="shared" si="9"/>
        <v>150630</v>
      </c>
    </row>
    <row r="30" spans="1:32" x14ac:dyDescent="0.3">
      <c r="A30" s="1">
        <v>29</v>
      </c>
      <c r="B30" s="1" t="s">
        <v>161</v>
      </c>
      <c r="C30" s="2">
        <v>42264</v>
      </c>
      <c r="D30" s="2">
        <v>42268</v>
      </c>
      <c r="E30" s="1" t="s">
        <v>48</v>
      </c>
      <c r="F30" s="1" t="s">
        <v>162</v>
      </c>
      <c r="G30" s="1" t="s">
        <v>163</v>
      </c>
      <c r="H30" s="1" t="s">
        <v>24</v>
      </c>
      <c r="I30" s="1" t="s">
        <v>25</v>
      </c>
      <c r="J30" s="1" t="s">
        <v>144</v>
      </c>
      <c r="K30" s="1" t="s">
        <v>145</v>
      </c>
      <c r="L30" s="1">
        <v>19140</v>
      </c>
      <c r="M30" s="1" t="s">
        <v>146</v>
      </c>
      <c r="N30" s="1" t="s">
        <v>166</v>
      </c>
      <c r="O30" s="1" t="s">
        <v>44</v>
      </c>
      <c r="P30" s="1" t="s">
        <v>73</v>
      </c>
      <c r="Q30" s="1" t="s">
        <v>167</v>
      </c>
      <c r="R30" s="1"/>
      <c r="S30" s="1">
        <v>2</v>
      </c>
      <c r="T30" s="3">
        <v>0.7</v>
      </c>
      <c r="U30" s="4">
        <v>-7.0532000000000004</v>
      </c>
      <c r="V30" s="1" t="str">
        <f t="shared" si="0"/>
        <v>Standard Class</v>
      </c>
      <c r="W30" s="1" t="str">
        <f t="shared" si="1"/>
        <v>Consumer</v>
      </c>
      <c r="X30" s="1" t="str">
        <f t="shared" si="2"/>
        <v>Philadelphia - Pennsylvania</v>
      </c>
      <c r="Y30" s="1" t="str">
        <f t="shared" si="3"/>
        <v>Binders</v>
      </c>
      <c r="Z30" s="1">
        <f t="shared" ca="1" si="4"/>
        <v>124</v>
      </c>
      <c r="AA30" s="1">
        <f t="shared" ca="1" si="5"/>
        <v>190</v>
      </c>
      <c r="AB30" s="1">
        <f t="shared" ca="1" si="6"/>
        <v>380</v>
      </c>
      <c r="AC30" s="4">
        <f t="shared" ca="1" si="7"/>
        <v>114.00000000000001</v>
      </c>
      <c r="AD30" s="1" t="s">
        <v>2014</v>
      </c>
      <c r="AE30" s="1" t="str">
        <f t="shared" si="8"/>
        <v>2015</v>
      </c>
      <c r="AF30" s="1" t="str">
        <f t="shared" si="9"/>
        <v>150630</v>
      </c>
    </row>
    <row r="31" spans="1:32" x14ac:dyDescent="0.3">
      <c r="A31" s="1">
        <v>30</v>
      </c>
      <c r="B31" s="1" t="s">
        <v>161</v>
      </c>
      <c r="C31" s="2">
        <v>42264</v>
      </c>
      <c r="D31" s="2">
        <v>42268</v>
      </c>
      <c r="E31" s="1" t="s">
        <v>48</v>
      </c>
      <c r="F31" s="1" t="s">
        <v>162</v>
      </c>
      <c r="G31" s="1" t="s">
        <v>163</v>
      </c>
      <c r="H31" s="1" t="s">
        <v>24</v>
      </c>
      <c r="I31" s="1" t="s">
        <v>25</v>
      </c>
      <c r="J31" s="1" t="s">
        <v>144</v>
      </c>
      <c r="K31" s="1" t="s">
        <v>145</v>
      </c>
      <c r="L31" s="1">
        <v>19140</v>
      </c>
      <c r="M31" s="1" t="s">
        <v>146</v>
      </c>
      <c r="N31" s="1" t="s">
        <v>168</v>
      </c>
      <c r="O31" s="1" t="s">
        <v>30</v>
      </c>
      <c r="P31" s="1" t="s">
        <v>63</v>
      </c>
      <c r="Q31" s="1" t="s">
        <v>169</v>
      </c>
      <c r="R31" s="1">
        <v>124.2</v>
      </c>
      <c r="S31" s="1">
        <v>3</v>
      </c>
      <c r="T31" s="3">
        <v>0.2</v>
      </c>
      <c r="U31" s="4">
        <v>15.525</v>
      </c>
      <c r="V31" s="1" t="str">
        <f t="shared" si="0"/>
        <v>Standard Class</v>
      </c>
      <c r="W31" s="1" t="str">
        <f t="shared" si="1"/>
        <v>Consumer</v>
      </c>
      <c r="X31" s="1" t="str">
        <f t="shared" si="2"/>
        <v>Philadelphia - Pennsylvania</v>
      </c>
      <c r="Y31" s="1" t="str">
        <f t="shared" si="3"/>
        <v>Furnishings</v>
      </c>
      <c r="Z31" s="1">
        <f t="shared" si="4"/>
        <v>124.2</v>
      </c>
      <c r="AA31" s="1">
        <f t="shared" si="5"/>
        <v>124.2</v>
      </c>
      <c r="AB31" s="1">
        <f t="shared" si="6"/>
        <v>372.6</v>
      </c>
      <c r="AC31" s="4">
        <f t="shared" si="7"/>
        <v>298.08000000000004</v>
      </c>
      <c r="AD31" s="1" t="s">
        <v>2014</v>
      </c>
      <c r="AE31" s="1" t="str">
        <f t="shared" si="8"/>
        <v>2015</v>
      </c>
      <c r="AF31" s="1" t="str">
        <f t="shared" si="9"/>
        <v>150630</v>
      </c>
    </row>
    <row r="32" spans="1:32" x14ac:dyDescent="0.3">
      <c r="A32" s="1">
        <v>31</v>
      </c>
      <c r="B32" s="1" t="s">
        <v>161</v>
      </c>
      <c r="C32" s="2">
        <v>42264</v>
      </c>
      <c r="D32" s="2">
        <v>42268</v>
      </c>
      <c r="E32" s="1" t="s">
        <v>48</v>
      </c>
      <c r="F32" s="1" t="s">
        <v>162</v>
      </c>
      <c r="G32" s="1" t="s">
        <v>163</v>
      </c>
      <c r="H32" s="1" t="s">
        <v>24</v>
      </c>
      <c r="I32" s="1" t="s">
        <v>25</v>
      </c>
      <c r="J32" s="1" t="s">
        <v>144</v>
      </c>
      <c r="K32" s="1" t="s">
        <v>145</v>
      </c>
      <c r="L32" s="1">
        <v>19140</v>
      </c>
      <c r="M32" s="1" t="s">
        <v>146</v>
      </c>
      <c r="N32" s="1" t="s">
        <v>170</v>
      </c>
      <c r="O32" s="1" t="s">
        <v>44</v>
      </c>
      <c r="P32" s="1" t="s">
        <v>171</v>
      </c>
      <c r="Q32" s="1" t="s">
        <v>172</v>
      </c>
      <c r="R32" s="1">
        <v>3.2639999999999998</v>
      </c>
      <c r="S32" s="1">
        <v>2</v>
      </c>
      <c r="T32" s="3">
        <v>0.2</v>
      </c>
      <c r="U32" s="4">
        <v>1.1015999999999999</v>
      </c>
      <c r="V32" s="1" t="str">
        <f t="shared" si="0"/>
        <v>Standard Class</v>
      </c>
      <c r="W32" s="1" t="str">
        <f t="shared" si="1"/>
        <v>Consumer</v>
      </c>
      <c r="X32" s="1" t="str">
        <f t="shared" si="2"/>
        <v>Philadelphia - Pennsylvania</v>
      </c>
      <c r="Y32" s="1" t="str">
        <f t="shared" si="3"/>
        <v>Envelopes</v>
      </c>
      <c r="Z32" s="1">
        <f t="shared" si="4"/>
        <v>3.2639999999999998</v>
      </c>
      <c r="AA32" s="1">
        <f t="shared" si="5"/>
        <v>3.2639999999999998</v>
      </c>
      <c r="AB32" s="1">
        <f t="shared" si="6"/>
        <v>6.5279999999999996</v>
      </c>
      <c r="AC32" s="4">
        <f t="shared" si="7"/>
        <v>5.2224000000000004</v>
      </c>
      <c r="AD32" s="1" t="s">
        <v>2014</v>
      </c>
      <c r="AE32" s="1" t="str">
        <f t="shared" si="8"/>
        <v>2015</v>
      </c>
      <c r="AF32" s="1" t="str">
        <f t="shared" si="9"/>
        <v>150630</v>
      </c>
    </row>
    <row r="33" spans="1:32" x14ac:dyDescent="0.3">
      <c r="A33" s="1">
        <v>32</v>
      </c>
      <c r="B33" s="1" t="s">
        <v>161</v>
      </c>
      <c r="C33" s="2">
        <v>42264</v>
      </c>
      <c r="D33" s="2">
        <v>42268</v>
      </c>
      <c r="E33" s="1" t="s">
        <v>48</v>
      </c>
      <c r="F33" s="1" t="s">
        <v>162</v>
      </c>
      <c r="G33" s="1" t="s">
        <v>163</v>
      </c>
      <c r="H33" s="1" t="s">
        <v>24</v>
      </c>
      <c r="I33" s="1" t="s">
        <v>25</v>
      </c>
      <c r="J33" s="1" t="s">
        <v>144</v>
      </c>
      <c r="K33" s="1" t="s">
        <v>145</v>
      </c>
      <c r="L33" s="1">
        <v>19140</v>
      </c>
      <c r="M33" s="1" t="s">
        <v>146</v>
      </c>
      <c r="N33" s="1" t="s">
        <v>173</v>
      </c>
      <c r="O33" s="1" t="s">
        <v>44</v>
      </c>
      <c r="P33" s="1" t="s">
        <v>66</v>
      </c>
      <c r="Q33" s="1" t="s">
        <v>174</v>
      </c>
      <c r="R33" s="1">
        <v>86.304000000000002</v>
      </c>
      <c r="S33" s="1">
        <v>6</v>
      </c>
      <c r="T33" s="3">
        <v>0.2</v>
      </c>
      <c r="U33" s="4">
        <v>9.7091999999999992</v>
      </c>
      <c r="V33" s="1" t="str">
        <f t="shared" si="0"/>
        <v>Standard Class</v>
      </c>
      <c r="W33" s="1" t="str">
        <f t="shared" si="1"/>
        <v>Consumer</v>
      </c>
      <c r="X33" s="1" t="str">
        <f t="shared" si="2"/>
        <v>Philadelphia - Pennsylvania</v>
      </c>
      <c r="Y33" s="1" t="str">
        <f t="shared" si="3"/>
        <v>Art</v>
      </c>
      <c r="Z33" s="1">
        <f t="shared" si="4"/>
        <v>86.304000000000002</v>
      </c>
      <c r="AA33" s="1">
        <f t="shared" si="5"/>
        <v>86.304000000000002</v>
      </c>
      <c r="AB33" s="1">
        <f t="shared" si="6"/>
        <v>517.82400000000007</v>
      </c>
      <c r="AC33" s="4">
        <f t="shared" si="7"/>
        <v>414.25920000000008</v>
      </c>
      <c r="AD33" s="1" t="s">
        <v>2014</v>
      </c>
      <c r="AE33" s="1" t="str">
        <f t="shared" si="8"/>
        <v>2015</v>
      </c>
      <c r="AF33" s="1" t="str">
        <f t="shared" si="9"/>
        <v>150630</v>
      </c>
    </row>
    <row r="34" spans="1:32" x14ac:dyDescent="0.3">
      <c r="A34" s="1">
        <v>33</v>
      </c>
      <c r="B34" s="1" t="s">
        <v>161</v>
      </c>
      <c r="C34" s="2">
        <v>42264</v>
      </c>
      <c r="D34" s="2">
        <v>42268</v>
      </c>
      <c r="E34" s="1" t="s">
        <v>48</v>
      </c>
      <c r="F34" s="1" t="s">
        <v>162</v>
      </c>
      <c r="G34" s="1" t="s">
        <v>163</v>
      </c>
      <c r="H34" s="1" t="s">
        <v>24</v>
      </c>
      <c r="I34" s="1" t="s">
        <v>25</v>
      </c>
      <c r="J34" s="1" t="s">
        <v>144</v>
      </c>
      <c r="K34" s="1" t="s">
        <v>145</v>
      </c>
      <c r="L34" s="1">
        <v>19140</v>
      </c>
      <c r="M34" s="1" t="s">
        <v>146</v>
      </c>
      <c r="N34" s="1" t="s">
        <v>175</v>
      </c>
      <c r="O34" s="1" t="s">
        <v>44</v>
      </c>
      <c r="P34" s="1" t="s">
        <v>73</v>
      </c>
      <c r="Q34" s="1" t="s">
        <v>176</v>
      </c>
      <c r="R34" s="1">
        <v>6.8579999999999997</v>
      </c>
      <c r="S34" s="1">
        <v>6</v>
      </c>
      <c r="T34" s="3">
        <v>0.7</v>
      </c>
      <c r="U34" s="4">
        <v>-5.7149999999999999</v>
      </c>
      <c r="V34" s="1" t="str">
        <f t="shared" si="0"/>
        <v>Standard Class</v>
      </c>
      <c r="W34" s="1" t="str">
        <f t="shared" si="1"/>
        <v>Consumer</v>
      </c>
      <c r="X34" s="1" t="str">
        <f t="shared" si="2"/>
        <v>Philadelphia - Pennsylvania</v>
      </c>
      <c r="Y34" s="1" t="str">
        <f t="shared" si="3"/>
        <v>Binders</v>
      </c>
      <c r="Z34" s="1">
        <f t="shared" si="4"/>
        <v>6.8579999999999997</v>
      </c>
      <c r="AA34" s="1">
        <f t="shared" si="5"/>
        <v>6.8579999999999997</v>
      </c>
      <c r="AB34" s="1">
        <f t="shared" si="6"/>
        <v>41.147999999999996</v>
      </c>
      <c r="AC34" s="4">
        <f t="shared" si="7"/>
        <v>12.3444</v>
      </c>
      <c r="AD34" s="1" t="s">
        <v>2014</v>
      </c>
      <c r="AE34" s="1" t="str">
        <f t="shared" si="8"/>
        <v>2015</v>
      </c>
      <c r="AF34" s="1" t="str">
        <f t="shared" si="9"/>
        <v>150630</v>
      </c>
    </row>
    <row r="35" spans="1:32" x14ac:dyDescent="0.3">
      <c r="A35" s="1">
        <v>34</v>
      </c>
      <c r="B35" s="1" t="s">
        <v>161</v>
      </c>
      <c r="C35" s="2">
        <v>42264</v>
      </c>
      <c r="D35" s="2">
        <v>42268</v>
      </c>
      <c r="E35" s="1" t="s">
        <v>48</v>
      </c>
      <c r="F35" s="1" t="s">
        <v>162</v>
      </c>
      <c r="G35" s="1" t="s">
        <v>163</v>
      </c>
      <c r="H35" s="1" t="s">
        <v>24</v>
      </c>
      <c r="I35" s="1" t="s">
        <v>25</v>
      </c>
      <c r="J35" s="1" t="s">
        <v>144</v>
      </c>
      <c r="K35" s="1" t="s">
        <v>145</v>
      </c>
      <c r="L35" s="1">
        <v>19140</v>
      </c>
      <c r="M35" s="1" t="s">
        <v>146</v>
      </c>
      <c r="N35" s="1" t="s">
        <v>177</v>
      </c>
      <c r="O35" s="1" t="s">
        <v>44</v>
      </c>
      <c r="P35" s="1" t="s">
        <v>66</v>
      </c>
      <c r="Q35" s="1" t="s">
        <v>178</v>
      </c>
      <c r="R35" s="1">
        <v>15.76</v>
      </c>
      <c r="S35" s="1">
        <v>2</v>
      </c>
      <c r="T35" s="3">
        <v>0.2</v>
      </c>
      <c r="U35" s="4">
        <v>3.5459999999999998</v>
      </c>
      <c r="V35" s="1" t="str">
        <f t="shared" si="0"/>
        <v>Standard Class</v>
      </c>
      <c r="W35" s="1" t="str">
        <f t="shared" si="1"/>
        <v>Consumer</v>
      </c>
      <c r="X35" s="1" t="str">
        <f t="shared" si="2"/>
        <v>Philadelphia - Pennsylvania</v>
      </c>
      <c r="Y35" s="1" t="str">
        <f t="shared" si="3"/>
        <v>Art</v>
      </c>
      <c r="Z35" s="1">
        <f t="shared" si="4"/>
        <v>15.76</v>
      </c>
      <c r="AA35" s="1">
        <f t="shared" si="5"/>
        <v>15.76</v>
      </c>
      <c r="AB35" s="1">
        <f t="shared" si="6"/>
        <v>31.52</v>
      </c>
      <c r="AC35" s="4">
        <f t="shared" si="7"/>
        <v>25.216000000000001</v>
      </c>
      <c r="AD35" s="1" t="s">
        <v>2014</v>
      </c>
      <c r="AE35" s="1" t="str">
        <f t="shared" si="8"/>
        <v>2015</v>
      </c>
      <c r="AF35" s="1" t="str">
        <f t="shared" si="9"/>
        <v>150630</v>
      </c>
    </row>
    <row r="36" spans="1:32" x14ac:dyDescent="0.3">
      <c r="A36" s="1">
        <v>35</v>
      </c>
      <c r="B36" s="1" t="s">
        <v>179</v>
      </c>
      <c r="C36" s="2">
        <v>43027</v>
      </c>
      <c r="D36" s="2">
        <v>43031</v>
      </c>
      <c r="E36" s="1" t="s">
        <v>21</v>
      </c>
      <c r="F36" s="1" t="s">
        <v>180</v>
      </c>
      <c r="G36" s="1" t="s">
        <v>181</v>
      </c>
      <c r="H36" s="1" t="s">
        <v>100</v>
      </c>
      <c r="I36" s="1" t="s">
        <v>25</v>
      </c>
      <c r="J36" s="1" t="s">
        <v>182</v>
      </c>
      <c r="K36" s="1" t="s">
        <v>102</v>
      </c>
      <c r="L36" s="1">
        <v>77095</v>
      </c>
      <c r="M36" s="1" t="s">
        <v>103</v>
      </c>
      <c r="N36" s="1" t="s">
        <v>183</v>
      </c>
      <c r="O36" s="1" t="s">
        <v>44</v>
      </c>
      <c r="P36" s="1" t="s">
        <v>88</v>
      </c>
      <c r="Q36" s="1" t="s">
        <v>184</v>
      </c>
      <c r="R36" s="1">
        <v>29.472000000000001</v>
      </c>
      <c r="S36" s="1">
        <v>3</v>
      </c>
      <c r="T36" s="3">
        <v>0.2</v>
      </c>
      <c r="U36" s="4">
        <v>9.9467999999999996</v>
      </c>
      <c r="V36" s="1" t="str">
        <f t="shared" si="0"/>
        <v>Second Class</v>
      </c>
      <c r="W36" s="1" t="str">
        <f t="shared" si="1"/>
        <v>Home Office</v>
      </c>
      <c r="X36" s="1" t="str">
        <f t="shared" si="2"/>
        <v>Houston - Texas</v>
      </c>
      <c r="Y36" s="1" t="str">
        <f t="shared" si="3"/>
        <v>Paper</v>
      </c>
      <c r="Z36" s="1">
        <f t="shared" si="4"/>
        <v>29.472000000000001</v>
      </c>
      <c r="AA36" s="1">
        <f t="shared" si="5"/>
        <v>29.472000000000001</v>
      </c>
      <c r="AB36" s="1">
        <f t="shared" si="6"/>
        <v>88.415999999999997</v>
      </c>
      <c r="AC36" s="4">
        <f t="shared" si="7"/>
        <v>70.732799999999997</v>
      </c>
      <c r="AD36" s="1" t="s">
        <v>2013</v>
      </c>
      <c r="AE36" s="1" t="str">
        <f t="shared" si="8"/>
        <v>2017</v>
      </c>
      <c r="AF36" s="1" t="str">
        <f t="shared" si="9"/>
        <v>107727</v>
      </c>
    </row>
    <row r="37" spans="1:32" x14ac:dyDescent="0.3">
      <c r="A37" s="1">
        <v>36</v>
      </c>
      <c r="B37" s="1" t="s">
        <v>185</v>
      </c>
      <c r="C37" s="2">
        <v>42712</v>
      </c>
      <c r="D37" s="2">
        <v>42714</v>
      </c>
      <c r="E37" s="1" t="s">
        <v>186</v>
      </c>
      <c r="F37" s="1" t="s">
        <v>187</v>
      </c>
      <c r="G37" s="1" t="s">
        <v>188</v>
      </c>
      <c r="H37" s="1" t="s">
        <v>39</v>
      </c>
      <c r="I37" s="1" t="s">
        <v>25</v>
      </c>
      <c r="J37" s="1" t="s">
        <v>189</v>
      </c>
      <c r="K37" s="1" t="s">
        <v>102</v>
      </c>
      <c r="L37" s="1">
        <v>75080</v>
      </c>
      <c r="M37" s="1" t="s">
        <v>103</v>
      </c>
      <c r="N37" s="1" t="s">
        <v>190</v>
      </c>
      <c r="O37" s="1" t="s">
        <v>69</v>
      </c>
      <c r="P37" s="1" t="s">
        <v>70</v>
      </c>
      <c r="Q37" s="1" t="s">
        <v>191</v>
      </c>
      <c r="R37" s="1">
        <v>1097.5440000000001</v>
      </c>
      <c r="S37" s="1">
        <v>7</v>
      </c>
      <c r="T37" s="3">
        <v>0.2</v>
      </c>
      <c r="U37" s="4">
        <v>123.47369999999999</v>
      </c>
      <c r="V37" s="1" t="str">
        <f t="shared" si="0"/>
        <v>First Class</v>
      </c>
      <c r="W37" s="1" t="str">
        <f t="shared" si="1"/>
        <v>Corporate</v>
      </c>
      <c r="X37" s="1" t="str">
        <f t="shared" si="2"/>
        <v>Richardson - Texas</v>
      </c>
      <c r="Y37" s="1" t="str">
        <f t="shared" si="3"/>
        <v>Phones</v>
      </c>
      <c r="Z37" s="1">
        <f t="shared" si="4"/>
        <v>1097.5440000000001</v>
      </c>
      <c r="AA37" s="1">
        <f t="shared" si="5"/>
        <v>1097.5440000000001</v>
      </c>
      <c r="AB37" s="1">
        <f t="shared" si="6"/>
        <v>7682.8080000000009</v>
      </c>
      <c r="AC37" s="4">
        <f t="shared" si="7"/>
        <v>6146.2464000000009</v>
      </c>
      <c r="AD37" s="1" t="s">
        <v>2013</v>
      </c>
      <c r="AE37" s="1" t="str">
        <f t="shared" si="8"/>
        <v>2016</v>
      </c>
      <c r="AF37" s="1" t="str">
        <f t="shared" si="9"/>
        <v>117590</v>
      </c>
    </row>
    <row r="38" spans="1:32" x14ac:dyDescent="0.3">
      <c r="A38" s="1">
        <v>37</v>
      </c>
      <c r="B38" s="1" t="s">
        <v>185</v>
      </c>
      <c r="C38" s="2">
        <v>42712</v>
      </c>
      <c r="D38" s="2">
        <v>42714</v>
      </c>
      <c r="E38" s="1" t="s">
        <v>186</v>
      </c>
      <c r="F38" s="1" t="s">
        <v>187</v>
      </c>
      <c r="G38" s="1" t="s">
        <v>188</v>
      </c>
      <c r="H38" s="1" t="s">
        <v>39</v>
      </c>
      <c r="I38" s="1" t="s">
        <v>25</v>
      </c>
      <c r="J38" s="1" t="s">
        <v>189</v>
      </c>
      <c r="K38" s="1" t="s">
        <v>102</v>
      </c>
      <c r="L38" s="1">
        <v>75080</v>
      </c>
      <c r="M38" s="1" t="s">
        <v>103</v>
      </c>
      <c r="N38" s="1" t="s">
        <v>192</v>
      </c>
      <c r="O38" s="1" t="s">
        <v>30</v>
      </c>
      <c r="P38" s="1" t="s">
        <v>63</v>
      </c>
      <c r="Q38" s="1" t="s">
        <v>193</v>
      </c>
      <c r="R38" s="1">
        <v>190.92</v>
      </c>
      <c r="S38" s="1">
        <v>5</v>
      </c>
      <c r="T38" s="3">
        <v>0.6</v>
      </c>
      <c r="U38" s="4">
        <v>-147.96299999999999</v>
      </c>
      <c r="V38" s="1" t="str">
        <f t="shared" si="0"/>
        <v>First Class</v>
      </c>
      <c r="W38" s="1" t="str">
        <f t="shared" si="1"/>
        <v>Corporate</v>
      </c>
      <c r="X38" s="1" t="str">
        <f t="shared" si="2"/>
        <v>Richardson - Texas</v>
      </c>
      <c r="Y38" s="1" t="str">
        <f t="shared" si="3"/>
        <v>Furnishings</v>
      </c>
      <c r="Z38" s="1">
        <f t="shared" si="4"/>
        <v>190.92</v>
      </c>
      <c r="AA38" s="1">
        <f t="shared" si="5"/>
        <v>190.92</v>
      </c>
      <c r="AB38" s="1">
        <f t="shared" si="6"/>
        <v>954.59999999999991</v>
      </c>
      <c r="AC38" s="4">
        <f t="shared" si="7"/>
        <v>381.84</v>
      </c>
      <c r="AD38" s="1" t="s">
        <v>2013</v>
      </c>
      <c r="AE38" s="1" t="str">
        <f t="shared" si="8"/>
        <v>2016</v>
      </c>
      <c r="AF38" s="1" t="str">
        <f t="shared" si="9"/>
        <v>117590</v>
      </c>
    </row>
    <row r="39" spans="1:32" x14ac:dyDescent="0.3">
      <c r="A39" s="1">
        <v>38</v>
      </c>
      <c r="B39" s="1" t="s">
        <v>194</v>
      </c>
      <c r="C39" s="2">
        <v>42365</v>
      </c>
      <c r="D39" s="2">
        <v>42369</v>
      </c>
      <c r="E39" s="1" t="s">
        <v>48</v>
      </c>
      <c r="F39" s="1" t="s">
        <v>195</v>
      </c>
      <c r="G39" s="1" t="s">
        <v>196</v>
      </c>
      <c r="H39" s="1" t="s">
        <v>100</v>
      </c>
      <c r="I39" s="1" t="s">
        <v>25</v>
      </c>
      <c r="J39" s="1" t="s">
        <v>182</v>
      </c>
      <c r="K39" s="1" t="s">
        <v>102</v>
      </c>
      <c r="L39" s="1">
        <v>77041</v>
      </c>
      <c r="M39" s="1" t="s">
        <v>103</v>
      </c>
      <c r="N39" s="1" t="s">
        <v>197</v>
      </c>
      <c r="O39" s="1" t="s">
        <v>44</v>
      </c>
      <c r="P39" s="1" t="s">
        <v>171</v>
      </c>
      <c r="Q39" s="1" t="s">
        <v>198</v>
      </c>
      <c r="R39" s="1">
        <v>113.328</v>
      </c>
      <c r="S39" s="1">
        <v>9</v>
      </c>
      <c r="T39" s="3">
        <v>0.2</v>
      </c>
      <c r="U39" s="4">
        <v>35.414999999999999</v>
      </c>
      <c r="V39" s="1" t="str">
        <f t="shared" si="0"/>
        <v>Standard Class</v>
      </c>
      <c r="W39" s="1" t="str">
        <f t="shared" si="1"/>
        <v>Home Office</v>
      </c>
      <c r="X39" s="1" t="str">
        <f t="shared" si="2"/>
        <v>Houston - Texas</v>
      </c>
      <c r="Y39" s="1" t="str">
        <f t="shared" si="3"/>
        <v>Envelopes</v>
      </c>
      <c r="Z39" s="1">
        <f t="shared" si="4"/>
        <v>113.328</v>
      </c>
      <c r="AA39" s="1">
        <f t="shared" si="5"/>
        <v>113.328</v>
      </c>
      <c r="AB39" s="1">
        <f t="shared" si="6"/>
        <v>1019.952</v>
      </c>
      <c r="AC39" s="4">
        <f t="shared" si="7"/>
        <v>815.96160000000009</v>
      </c>
      <c r="AD39" s="1" t="s">
        <v>2013</v>
      </c>
      <c r="AE39" s="1" t="str">
        <f t="shared" si="8"/>
        <v>2015</v>
      </c>
      <c r="AF39" s="1" t="str">
        <f t="shared" si="9"/>
        <v>117415</v>
      </c>
    </row>
    <row r="40" spans="1:32" x14ac:dyDescent="0.3">
      <c r="A40" s="1">
        <v>39</v>
      </c>
      <c r="B40" s="1" t="s">
        <v>194</v>
      </c>
      <c r="C40" s="2">
        <v>42365</v>
      </c>
      <c r="D40" s="2">
        <v>42369</v>
      </c>
      <c r="E40" s="1" t="s">
        <v>48</v>
      </c>
      <c r="F40" s="1" t="s">
        <v>195</v>
      </c>
      <c r="G40" s="1" t="s">
        <v>196</v>
      </c>
      <c r="H40" s="1" t="s">
        <v>100</v>
      </c>
      <c r="I40" s="1" t="s">
        <v>25</v>
      </c>
      <c r="J40" s="1" t="s">
        <v>182</v>
      </c>
      <c r="K40" s="1" t="s">
        <v>102</v>
      </c>
      <c r="L40" s="1">
        <v>77041</v>
      </c>
      <c r="M40" s="1" t="s">
        <v>103</v>
      </c>
      <c r="N40" s="1" t="s">
        <v>199</v>
      </c>
      <c r="O40" s="1" t="s">
        <v>30</v>
      </c>
      <c r="P40" s="1" t="s">
        <v>31</v>
      </c>
      <c r="Q40" s="1" t="s">
        <v>200</v>
      </c>
      <c r="R40" s="1">
        <v>532.39919999999995</v>
      </c>
      <c r="S40" s="1">
        <v>3</v>
      </c>
      <c r="T40" s="3">
        <v>0.32</v>
      </c>
      <c r="U40" s="4">
        <v>-46.976399999999998</v>
      </c>
      <c r="V40" s="1" t="str">
        <f t="shared" si="0"/>
        <v>Standard Class</v>
      </c>
      <c r="W40" s="1" t="str">
        <f t="shared" si="1"/>
        <v>Home Office</v>
      </c>
      <c r="X40" s="1" t="str">
        <f t="shared" si="2"/>
        <v>Houston - Texas</v>
      </c>
      <c r="Y40" s="1" t="str">
        <f t="shared" si="3"/>
        <v>Bookcases</v>
      </c>
      <c r="Z40" s="1">
        <f t="shared" si="4"/>
        <v>532.39919999999995</v>
      </c>
      <c r="AA40" s="1">
        <f t="shared" si="5"/>
        <v>532.39919999999995</v>
      </c>
      <c r="AB40" s="1">
        <f t="shared" si="6"/>
        <v>1597.1976</v>
      </c>
      <c r="AC40" s="4">
        <f t="shared" si="7"/>
        <v>1086.0943679999998</v>
      </c>
      <c r="AD40" s="1" t="s">
        <v>2013</v>
      </c>
      <c r="AE40" s="1" t="str">
        <f t="shared" si="8"/>
        <v>2015</v>
      </c>
      <c r="AF40" s="1" t="str">
        <f t="shared" si="9"/>
        <v>117415</v>
      </c>
    </row>
    <row r="41" spans="1:32" x14ac:dyDescent="0.3">
      <c r="A41" s="1">
        <v>40</v>
      </c>
      <c r="B41" s="1" t="s">
        <v>194</v>
      </c>
      <c r="C41" s="2">
        <v>42365</v>
      </c>
      <c r="D41" s="2">
        <v>42369</v>
      </c>
      <c r="E41" s="1" t="s">
        <v>48</v>
      </c>
      <c r="F41" s="1" t="s">
        <v>195</v>
      </c>
      <c r="G41" s="1" t="s">
        <v>196</v>
      </c>
      <c r="H41" s="1"/>
      <c r="I41" s="1" t="s">
        <v>25</v>
      </c>
      <c r="J41" s="1" t="s">
        <v>182</v>
      </c>
      <c r="K41" s="1" t="s">
        <v>102</v>
      </c>
      <c r="L41" s="1">
        <v>77041</v>
      </c>
      <c r="M41" s="1" t="s">
        <v>103</v>
      </c>
      <c r="N41" s="1" t="s">
        <v>201</v>
      </c>
      <c r="O41" s="1" t="s">
        <v>30</v>
      </c>
      <c r="P41" s="1" t="s">
        <v>34</v>
      </c>
      <c r="Q41" s="1" t="s">
        <v>202</v>
      </c>
      <c r="R41" s="1">
        <v>212.05799999999999</v>
      </c>
      <c r="S41" s="1">
        <v>3</v>
      </c>
      <c r="T41" s="3">
        <v>0.3</v>
      </c>
      <c r="U41" s="4">
        <v>-15.147</v>
      </c>
      <c r="V41" s="1" t="str">
        <f t="shared" si="0"/>
        <v>Standard Class</v>
      </c>
      <c r="W41" s="1" t="str">
        <f t="shared" si="1"/>
        <v>UNKNOWN</v>
      </c>
      <c r="X41" s="1" t="str">
        <f t="shared" si="2"/>
        <v>Houston - Texas</v>
      </c>
      <c r="Y41" s="1" t="str">
        <f t="shared" si="3"/>
        <v>Chairs</v>
      </c>
      <c r="Z41" s="1">
        <f t="shared" si="4"/>
        <v>212.05799999999999</v>
      </c>
      <c r="AA41" s="1">
        <f t="shared" si="5"/>
        <v>212.05799999999999</v>
      </c>
      <c r="AB41" s="1">
        <f t="shared" si="6"/>
        <v>636.17399999999998</v>
      </c>
      <c r="AC41" s="4">
        <f t="shared" si="7"/>
        <v>445.32179999999994</v>
      </c>
      <c r="AD41" s="1" t="s">
        <v>2013</v>
      </c>
      <c r="AE41" s="1" t="str">
        <f t="shared" si="8"/>
        <v>2015</v>
      </c>
      <c r="AF41" s="1" t="str">
        <f t="shared" si="9"/>
        <v>117415</v>
      </c>
    </row>
    <row r="42" spans="1:32" x14ac:dyDescent="0.3">
      <c r="A42" s="1">
        <v>41</v>
      </c>
      <c r="B42" s="1" t="s">
        <v>194</v>
      </c>
      <c r="C42" s="2">
        <v>42365</v>
      </c>
      <c r="D42" s="2">
        <v>42369</v>
      </c>
      <c r="E42" s="1" t="s">
        <v>48</v>
      </c>
      <c r="F42" s="1" t="s">
        <v>195</v>
      </c>
      <c r="G42" s="1" t="s">
        <v>196</v>
      </c>
      <c r="H42" s="1" t="s">
        <v>100</v>
      </c>
      <c r="I42" s="1" t="s">
        <v>25</v>
      </c>
      <c r="J42" s="1" t="s">
        <v>182</v>
      </c>
      <c r="K42" s="1" t="s">
        <v>102</v>
      </c>
      <c r="L42" s="1">
        <v>77041</v>
      </c>
      <c r="M42" s="1" t="s">
        <v>103</v>
      </c>
      <c r="N42" s="1" t="s">
        <v>203</v>
      </c>
      <c r="O42" s="1" t="s">
        <v>69</v>
      </c>
      <c r="P42" s="1" t="s">
        <v>70</v>
      </c>
      <c r="Q42" s="1" t="s">
        <v>204</v>
      </c>
      <c r="R42" s="1">
        <v>371.16800000000001</v>
      </c>
      <c r="S42" s="1">
        <v>4</v>
      </c>
      <c r="T42" s="3">
        <v>0.2</v>
      </c>
      <c r="U42" s="4">
        <v>41.756399999999999</v>
      </c>
      <c r="V42" s="1" t="str">
        <f t="shared" si="0"/>
        <v>Standard Class</v>
      </c>
      <c r="W42" s="1" t="str">
        <f t="shared" si="1"/>
        <v>Home Office</v>
      </c>
      <c r="X42" s="1" t="str">
        <f t="shared" si="2"/>
        <v>Houston - Texas</v>
      </c>
      <c r="Y42" s="1" t="str">
        <f t="shared" si="3"/>
        <v>Phones</v>
      </c>
      <c r="Z42" s="1">
        <f t="shared" si="4"/>
        <v>371.16800000000001</v>
      </c>
      <c r="AA42" s="1">
        <f t="shared" si="5"/>
        <v>371.16800000000001</v>
      </c>
      <c r="AB42" s="1">
        <f t="shared" si="6"/>
        <v>1484.672</v>
      </c>
      <c r="AC42" s="4">
        <f t="shared" si="7"/>
        <v>1187.7376000000002</v>
      </c>
      <c r="AD42" s="1" t="s">
        <v>2013</v>
      </c>
      <c r="AE42" s="1" t="str">
        <f t="shared" si="8"/>
        <v>2015</v>
      </c>
      <c r="AF42" s="1" t="str">
        <f t="shared" si="9"/>
        <v>117415</v>
      </c>
    </row>
    <row r="43" spans="1:32" x14ac:dyDescent="0.3">
      <c r="A43" s="1">
        <v>42</v>
      </c>
      <c r="B43" s="1" t="s">
        <v>205</v>
      </c>
      <c r="C43" s="2">
        <v>42988</v>
      </c>
      <c r="D43" s="2">
        <v>42993</v>
      </c>
      <c r="E43" s="1" t="s">
        <v>48</v>
      </c>
      <c r="F43" s="1" t="s">
        <v>206</v>
      </c>
      <c r="G43" s="1" t="s">
        <v>207</v>
      </c>
      <c r="H43" s="1" t="s">
        <v>39</v>
      </c>
      <c r="I43" s="1" t="s">
        <v>25</v>
      </c>
      <c r="J43" s="1" t="s">
        <v>208</v>
      </c>
      <c r="K43" s="1" t="s">
        <v>209</v>
      </c>
      <c r="L43" s="1">
        <v>60540</v>
      </c>
      <c r="M43" s="1" t="s">
        <v>103</v>
      </c>
      <c r="N43" s="1" t="s">
        <v>210</v>
      </c>
      <c r="O43" s="1" t="s">
        <v>69</v>
      </c>
      <c r="P43" s="1" t="s">
        <v>70</v>
      </c>
      <c r="Q43" s="1" t="s">
        <v>211</v>
      </c>
      <c r="R43" s="1">
        <v>147.16800000000001</v>
      </c>
      <c r="S43" s="1">
        <v>4</v>
      </c>
      <c r="T43" s="3">
        <v>0.2</v>
      </c>
      <c r="U43" s="4">
        <v>16.5564</v>
      </c>
      <c r="V43" s="1" t="str">
        <f t="shared" si="0"/>
        <v>Standard Class</v>
      </c>
      <c r="W43" s="1" t="str">
        <f t="shared" si="1"/>
        <v>Corporate</v>
      </c>
      <c r="X43" s="1" t="str">
        <f t="shared" si="2"/>
        <v>Naperville - Illinois</v>
      </c>
      <c r="Y43" s="1" t="str">
        <f t="shared" si="3"/>
        <v>Phones</v>
      </c>
      <c r="Z43" s="1">
        <f t="shared" si="4"/>
        <v>147.16800000000001</v>
      </c>
      <c r="AA43" s="1">
        <f t="shared" si="5"/>
        <v>147.16800000000001</v>
      </c>
      <c r="AB43" s="1">
        <f t="shared" si="6"/>
        <v>588.67200000000003</v>
      </c>
      <c r="AC43" s="4">
        <f t="shared" si="7"/>
        <v>470.93760000000003</v>
      </c>
      <c r="AD43" s="1" t="s">
        <v>2013</v>
      </c>
      <c r="AE43" s="1" t="str">
        <f t="shared" si="8"/>
        <v>2017</v>
      </c>
      <c r="AF43" s="1" t="str">
        <f t="shared" si="9"/>
        <v>120999</v>
      </c>
    </row>
    <row r="44" spans="1:32" x14ac:dyDescent="0.3">
      <c r="A44" s="1">
        <v>43</v>
      </c>
      <c r="B44" s="1" t="s">
        <v>212</v>
      </c>
      <c r="C44" s="2">
        <v>42568</v>
      </c>
      <c r="D44" s="2">
        <v>42573</v>
      </c>
      <c r="E44" s="1" t="s">
        <v>48</v>
      </c>
      <c r="F44" s="1" t="s">
        <v>213</v>
      </c>
      <c r="G44" s="1" t="s">
        <v>214</v>
      </c>
      <c r="H44" s="1" t="s">
        <v>39</v>
      </c>
      <c r="I44" s="1" t="s">
        <v>25</v>
      </c>
      <c r="J44" s="1" t="s">
        <v>40</v>
      </c>
      <c r="K44" s="1" t="s">
        <v>41</v>
      </c>
      <c r="L44" s="1">
        <v>90049</v>
      </c>
      <c r="M44" s="1" t="s">
        <v>42</v>
      </c>
      <c r="N44" s="1" t="s">
        <v>215</v>
      </c>
      <c r="O44" s="1" t="s">
        <v>44</v>
      </c>
      <c r="P44" s="1" t="s">
        <v>57</v>
      </c>
      <c r="Q44" s="1" t="s">
        <v>216</v>
      </c>
      <c r="R44" s="1">
        <v>77.88</v>
      </c>
      <c r="S44" s="1">
        <v>2</v>
      </c>
      <c r="T44" s="3">
        <v>0</v>
      </c>
      <c r="U44" s="4">
        <v>3.8940000000000001</v>
      </c>
      <c r="V44" s="1" t="str">
        <f t="shared" si="0"/>
        <v>Standard Class</v>
      </c>
      <c r="W44" s="1" t="str">
        <f t="shared" si="1"/>
        <v>Corporate</v>
      </c>
      <c r="X44" s="1" t="str">
        <f t="shared" si="2"/>
        <v>Los Angeles - California</v>
      </c>
      <c r="Y44" s="1" t="str">
        <f t="shared" si="3"/>
        <v>Storage</v>
      </c>
      <c r="Z44" s="1">
        <f t="shared" si="4"/>
        <v>77.88</v>
      </c>
      <c r="AA44" s="1">
        <f t="shared" si="5"/>
        <v>77.88</v>
      </c>
      <c r="AB44" s="1">
        <f t="shared" si="6"/>
        <v>155.76</v>
      </c>
      <c r="AC44" s="4">
        <f t="shared" si="7"/>
        <v>155.76</v>
      </c>
      <c r="AD44" s="1" t="s">
        <v>2013</v>
      </c>
      <c r="AE44" s="1" t="str">
        <f t="shared" si="8"/>
        <v>2016</v>
      </c>
      <c r="AF44" s="1" t="str">
        <f t="shared" si="9"/>
        <v>101343</v>
      </c>
    </row>
    <row r="45" spans="1:32" x14ac:dyDescent="0.3">
      <c r="A45" s="1">
        <v>44</v>
      </c>
      <c r="B45" s="1" t="s">
        <v>217</v>
      </c>
      <c r="C45" s="2">
        <v>42997</v>
      </c>
      <c r="D45" s="2">
        <v>43001</v>
      </c>
      <c r="E45" s="1" t="s">
        <v>48</v>
      </c>
      <c r="F45" s="1" t="s">
        <v>218</v>
      </c>
      <c r="G45" s="1" t="s">
        <v>219</v>
      </c>
      <c r="H45" s="1" t="s">
        <v>39</v>
      </c>
      <c r="I45" s="1" t="s">
        <v>25</v>
      </c>
      <c r="J45" s="1" t="s">
        <v>220</v>
      </c>
      <c r="K45" s="1" t="s">
        <v>52</v>
      </c>
      <c r="L45" s="1">
        <v>32935</v>
      </c>
      <c r="M45" s="1" t="s">
        <v>28</v>
      </c>
      <c r="N45" s="1" t="s">
        <v>221</v>
      </c>
      <c r="O45" s="1" t="s">
        <v>44</v>
      </c>
      <c r="P45" s="1" t="s">
        <v>57</v>
      </c>
      <c r="Q45" s="1" t="s">
        <v>222</v>
      </c>
      <c r="R45" s="1">
        <v>95.616</v>
      </c>
      <c r="S45" s="1">
        <v>2</v>
      </c>
      <c r="T45" s="3">
        <v>0.2</v>
      </c>
      <c r="U45" s="4">
        <v>9.5616000000000003</v>
      </c>
      <c r="V45" s="1" t="str">
        <f t="shared" si="0"/>
        <v>Standard Class</v>
      </c>
      <c r="W45" s="1" t="str">
        <f t="shared" si="1"/>
        <v>Corporate</v>
      </c>
      <c r="X45" s="1" t="str">
        <f t="shared" si="2"/>
        <v>Melbourne - Florida</v>
      </c>
      <c r="Y45" s="1" t="str">
        <f t="shared" si="3"/>
        <v>Storage</v>
      </c>
      <c r="Z45" s="1">
        <f t="shared" si="4"/>
        <v>95.616</v>
      </c>
      <c r="AA45" s="1">
        <f t="shared" si="5"/>
        <v>95.616</v>
      </c>
      <c r="AB45" s="1">
        <f t="shared" si="6"/>
        <v>191.232</v>
      </c>
      <c r="AC45" s="4">
        <f t="shared" si="7"/>
        <v>152.98560000000001</v>
      </c>
      <c r="AD45" s="1" t="s">
        <v>2013</v>
      </c>
      <c r="AE45" s="1" t="str">
        <f t="shared" si="8"/>
        <v>2017</v>
      </c>
      <c r="AF45" s="1" t="str">
        <f t="shared" si="9"/>
        <v>139619</v>
      </c>
    </row>
    <row r="46" spans="1:32" x14ac:dyDescent="0.3">
      <c r="A46" s="1">
        <v>45</v>
      </c>
      <c r="B46" s="1" t="s">
        <v>223</v>
      </c>
      <c r="C46" s="2">
        <v>42440</v>
      </c>
      <c r="D46" s="2">
        <v>42442</v>
      </c>
      <c r="E46" s="1" t="s">
        <v>186</v>
      </c>
      <c r="F46" s="1" t="s">
        <v>224</v>
      </c>
      <c r="G46" s="1" t="s">
        <v>225</v>
      </c>
      <c r="H46" s="1" t="s">
        <v>39</v>
      </c>
      <c r="I46" s="1" t="s">
        <v>25</v>
      </c>
      <c r="J46" s="1" t="s">
        <v>226</v>
      </c>
      <c r="K46" s="1" t="s">
        <v>227</v>
      </c>
      <c r="L46" s="1">
        <v>55122</v>
      </c>
      <c r="M46" s="1" t="s">
        <v>103</v>
      </c>
      <c r="N46" s="1" t="s">
        <v>228</v>
      </c>
      <c r="O46" s="1" t="s">
        <v>69</v>
      </c>
      <c r="P46" s="1" t="s">
        <v>159</v>
      </c>
      <c r="Q46" s="1" t="s">
        <v>229</v>
      </c>
      <c r="R46" s="1">
        <v>45.98</v>
      </c>
      <c r="S46" s="1">
        <v>2</v>
      </c>
      <c r="T46" s="3">
        <v>0</v>
      </c>
      <c r="U46" s="4">
        <v>19.7714</v>
      </c>
      <c r="V46" s="1" t="str">
        <f t="shared" si="0"/>
        <v>First Class</v>
      </c>
      <c r="W46" s="1" t="str">
        <f t="shared" si="1"/>
        <v>Corporate</v>
      </c>
      <c r="X46" s="1" t="str">
        <f t="shared" si="2"/>
        <v>Eagan - Minnesota</v>
      </c>
      <c r="Y46" s="1" t="str">
        <f t="shared" si="3"/>
        <v>Accessories</v>
      </c>
      <c r="Z46" s="1">
        <f t="shared" si="4"/>
        <v>45.98</v>
      </c>
      <c r="AA46" s="1">
        <f t="shared" si="5"/>
        <v>45.98</v>
      </c>
      <c r="AB46" s="1">
        <f t="shared" si="6"/>
        <v>91.96</v>
      </c>
      <c r="AC46" s="4">
        <f t="shared" si="7"/>
        <v>91.96</v>
      </c>
      <c r="AD46" s="1" t="s">
        <v>2013</v>
      </c>
      <c r="AE46" s="1" t="str">
        <f t="shared" si="8"/>
        <v>2016</v>
      </c>
      <c r="AF46" s="1" t="str">
        <f t="shared" si="9"/>
        <v>118255</v>
      </c>
    </row>
    <row r="47" spans="1:32" x14ac:dyDescent="0.3">
      <c r="A47" s="1">
        <v>46</v>
      </c>
      <c r="B47" s="1" t="s">
        <v>223</v>
      </c>
      <c r="C47" s="2">
        <v>42440</v>
      </c>
      <c r="D47" s="2">
        <v>42442</v>
      </c>
      <c r="E47" s="1" t="s">
        <v>186</v>
      </c>
      <c r="F47" s="1" t="s">
        <v>224</v>
      </c>
      <c r="G47" s="1" t="s">
        <v>225</v>
      </c>
      <c r="H47" s="1" t="s">
        <v>39</v>
      </c>
      <c r="I47" s="1" t="s">
        <v>25</v>
      </c>
      <c r="J47" s="1" t="s">
        <v>226</v>
      </c>
      <c r="K47" s="1" t="s">
        <v>227</v>
      </c>
      <c r="L47" s="1">
        <v>55122</v>
      </c>
      <c r="M47" s="1" t="s">
        <v>103</v>
      </c>
      <c r="N47" s="1" t="s">
        <v>230</v>
      </c>
      <c r="O47" s="1" t="s">
        <v>44</v>
      </c>
      <c r="P47" s="1" t="s">
        <v>73</v>
      </c>
      <c r="Q47" s="1" t="s">
        <v>231</v>
      </c>
      <c r="R47" s="1">
        <v>17.46</v>
      </c>
      <c r="S47" s="1">
        <v>2</v>
      </c>
      <c r="T47" s="3">
        <v>0</v>
      </c>
      <c r="U47" s="4">
        <v>8.2062000000000008</v>
      </c>
      <c r="V47" s="1" t="str">
        <f t="shared" si="0"/>
        <v>First Class</v>
      </c>
      <c r="W47" s="1" t="str">
        <f t="shared" si="1"/>
        <v>Corporate</v>
      </c>
      <c r="X47" s="1" t="str">
        <f t="shared" si="2"/>
        <v>Eagan - Minnesota</v>
      </c>
      <c r="Y47" s="1" t="str">
        <f t="shared" si="3"/>
        <v>Binders</v>
      </c>
      <c r="Z47" s="1">
        <f t="shared" si="4"/>
        <v>17.46</v>
      </c>
      <c r="AA47" s="1">
        <f t="shared" si="5"/>
        <v>17.46</v>
      </c>
      <c r="AB47" s="1">
        <f t="shared" si="6"/>
        <v>34.92</v>
      </c>
      <c r="AC47" s="4">
        <f t="shared" si="7"/>
        <v>34.92</v>
      </c>
      <c r="AD47" s="1" t="s">
        <v>2013</v>
      </c>
      <c r="AE47" s="1" t="str">
        <f t="shared" si="8"/>
        <v>2016</v>
      </c>
      <c r="AF47" s="1" t="str">
        <f t="shared" si="9"/>
        <v>118255</v>
      </c>
    </row>
    <row r="48" spans="1:32" x14ac:dyDescent="0.3">
      <c r="A48" s="1">
        <v>47</v>
      </c>
      <c r="B48" s="1" t="s">
        <v>232</v>
      </c>
      <c r="C48" s="2">
        <v>41932</v>
      </c>
      <c r="D48" s="2">
        <v>41937</v>
      </c>
      <c r="E48" s="1" t="s">
        <v>21</v>
      </c>
      <c r="F48" s="1" t="s">
        <v>233</v>
      </c>
      <c r="G48" s="1" t="s">
        <v>234</v>
      </c>
      <c r="H48" s="1" t="s">
        <v>24</v>
      </c>
      <c r="I48" s="1" t="s">
        <v>25</v>
      </c>
      <c r="J48" s="1" t="s">
        <v>235</v>
      </c>
      <c r="K48" s="1" t="s">
        <v>236</v>
      </c>
      <c r="L48" s="1">
        <v>48185</v>
      </c>
      <c r="M48" s="1" t="s">
        <v>103</v>
      </c>
      <c r="N48" s="1" t="s">
        <v>237</v>
      </c>
      <c r="O48" s="1" t="s">
        <v>44</v>
      </c>
      <c r="P48" s="1" t="s">
        <v>57</v>
      </c>
      <c r="Q48" s="1" t="s">
        <v>238</v>
      </c>
      <c r="R48" s="1">
        <v>211.96</v>
      </c>
      <c r="S48" s="1">
        <v>4</v>
      </c>
      <c r="T48" s="3">
        <v>0</v>
      </c>
      <c r="U48" s="4">
        <v>8.4784000000000006</v>
      </c>
      <c r="V48" s="1" t="str">
        <f t="shared" si="0"/>
        <v>Second Class</v>
      </c>
      <c r="W48" s="1" t="str">
        <f t="shared" si="1"/>
        <v>Consumer</v>
      </c>
      <c r="X48" s="1" t="str">
        <f t="shared" si="2"/>
        <v>Westland - Michigan</v>
      </c>
      <c r="Y48" s="1" t="str">
        <f t="shared" si="3"/>
        <v>Storage</v>
      </c>
      <c r="Z48" s="1">
        <f t="shared" si="4"/>
        <v>211.96</v>
      </c>
      <c r="AA48" s="1">
        <f t="shared" si="5"/>
        <v>211.96</v>
      </c>
      <c r="AB48" s="1">
        <f t="shared" si="6"/>
        <v>847.84</v>
      </c>
      <c r="AC48" s="4">
        <f t="shared" si="7"/>
        <v>847.84</v>
      </c>
      <c r="AD48" s="1" t="s">
        <v>2013</v>
      </c>
      <c r="AE48" s="1" t="str">
        <f t="shared" si="8"/>
        <v>2014</v>
      </c>
      <c r="AF48" s="1" t="str">
        <f t="shared" si="9"/>
        <v>146703</v>
      </c>
    </row>
    <row r="49" spans="1:32" x14ac:dyDescent="0.3">
      <c r="A49" s="1">
        <v>48</v>
      </c>
      <c r="B49" s="1" t="s">
        <v>239</v>
      </c>
      <c r="C49" s="2">
        <v>42541</v>
      </c>
      <c r="D49" s="2">
        <v>42546</v>
      </c>
      <c r="E49" s="1" t="s">
        <v>48</v>
      </c>
      <c r="F49" s="1" t="s">
        <v>240</v>
      </c>
      <c r="G49" s="1" t="s">
        <v>241</v>
      </c>
      <c r="H49" s="1" t="s">
        <v>24</v>
      </c>
      <c r="I49" s="1" t="s">
        <v>25</v>
      </c>
      <c r="J49" s="1" t="s">
        <v>242</v>
      </c>
      <c r="K49" s="1" t="s">
        <v>243</v>
      </c>
      <c r="L49" s="1">
        <v>19901</v>
      </c>
      <c r="M49" s="1" t="s">
        <v>146</v>
      </c>
      <c r="N49" s="1" t="s">
        <v>244</v>
      </c>
      <c r="O49" s="1" t="s">
        <v>69</v>
      </c>
      <c r="P49" s="1" t="s">
        <v>159</v>
      </c>
      <c r="Q49" s="1" t="s">
        <v>245</v>
      </c>
      <c r="R49" s="1">
        <v>45</v>
      </c>
      <c r="S49" s="1">
        <v>3</v>
      </c>
      <c r="T49" s="3">
        <v>0</v>
      </c>
      <c r="U49" s="4">
        <v>4.95</v>
      </c>
      <c r="V49" s="1" t="str">
        <f t="shared" si="0"/>
        <v>Standard Class</v>
      </c>
      <c r="W49" s="1" t="str">
        <f t="shared" si="1"/>
        <v>Consumer</v>
      </c>
      <c r="X49" s="1" t="str">
        <f t="shared" si="2"/>
        <v>Dover - Delaware</v>
      </c>
      <c r="Y49" s="1" t="str">
        <f t="shared" si="3"/>
        <v>Accessories</v>
      </c>
      <c r="Z49" s="1">
        <f t="shared" si="4"/>
        <v>45</v>
      </c>
      <c r="AA49" s="1">
        <f t="shared" si="5"/>
        <v>45</v>
      </c>
      <c r="AB49" s="1">
        <f t="shared" si="6"/>
        <v>135</v>
      </c>
      <c r="AC49" s="4">
        <f t="shared" si="7"/>
        <v>135</v>
      </c>
      <c r="AD49" s="1" t="s">
        <v>2013</v>
      </c>
      <c r="AE49" s="1" t="str">
        <f t="shared" si="8"/>
        <v>2016</v>
      </c>
      <c r="AF49" s="1" t="str">
        <f t="shared" si="9"/>
        <v>169194</v>
      </c>
    </row>
    <row r="50" spans="1:32" x14ac:dyDescent="0.3">
      <c r="A50" s="1">
        <v>49</v>
      </c>
      <c r="B50" s="1" t="s">
        <v>239</v>
      </c>
      <c r="C50" s="2">
        <v>42541</v>
      </c>
      <c r="D50" s="2">
        <v>42546</v>
      </c>
      <c r="E50" s="1" t="s">
        <v>48</v>
      </c>
      <c r="F50" s="1" t="s">
        <v>240</v>
      </c>
      <c r="G50" s="1" t="s">
        <v>241</v>
      </c>
      <c r="H50" s="1" t="s">
        <v>24</v>
      </c>
      <c r="I50" s="1" t="s">
        <v>25</v>
      </c>
      <c r="J50" s="1" t="s">
        <v>242</v>
      </c>
      <c r="K50" s="1" t="s">
        <v>243</v>
      </c>
      <c r="L50" s="1">
        <v>19901</v>
      </c>
      <c r="M50" s="1" t="s">
        <v>146</v>
      </c>
      <c r="N50" s="1" t="s">
        <v>246</v>
      </c>
      <c r="O50" s="1" t="s">
        <v>69</v>
      </c>
      <c r="P50" s="1" t="s">
        <v>70</v>
      </c>
      <c r="Q50" s="1" t="s">
        <v>247</v>
      </c>
      <c r="R50" s="1">
        <v>21.8</v>
      </c>
      <c r="S50" s="1">
        <v>2</v>
      </c>
      <c r="T50" s="3">
        <v>0</v>
      </c>
      <c r="U50" s="4">
        <v>6.1040000000000001</v>
      </c>
      <c r="V50" s="1" t="str">
        <f t="shared" si="0"/>
        <v>Standard Class</v>
      </c>
      <c r="W50" s="1" t="str">
        <f t="shared" si="1"/>
        <v>Consumer</v>
      </c>
      <c r="X50" s="1" t="str">
        <f t="shared" si="2"/>
        <v>Dover - Delaware</v>
      </c>
      <c r="Y50" s="1" t="str">
        <f t="shared" si="3"/>
        <v>Phones</v>
      </c>
      <c r="Z50" s="1">
        <f t="shared" si="4"/>
        <v>21.8</v>
      </c>
      <c r="AA50" s="1">
        <f t="shared" si="5"/>
        <v>21.8</v>
      </c>
      <c r="AB50" s="1">
        <f t="shared" si="6"/>
        <v>43.6</v>
      </c>
      <c r="AC50" s="4">
        <f t="shared" si="7"/>
        <v>43.6</v>
      </c>
      <c r="AD50" s="1" t="s">
        <v>2013</v>
      </c>
      <c r="AE50" s="1" t="str">
        <f t="shared" si="8"/>
        <v>2016</v>
      </c>
      <c r="AF50" s="1" t="str">
        <f t="shared" si="9"/>
        <v>169194</v>
      </c>
    </row>
    <row r="51" spans="1:32" x14ac:dyDescent="0.3">
      <c r="A51" s="1">
        <v>50</v>
      </c>
      <c r="B51" s="1" t="s">
        <v>248</v>
      </c>
      <c r="C51" s="2">
        <v>42112</v>
      </c>
      <c r="D51" s="2">
        <v>42116</v>
      </c>
      <c r="E51" s="1" t="s">
        <v>48</v>
      </c>
      <c r="F51" s="1" t="s">
        <v>249</v>
      </c>
      <c r="G51" s="1" t="s">
        <v>250</v>
      </c>
      <c r="H51" s="1" t="s">
        <v>24</v>
      </c>
      <c r="I51" s="1" t="s">
        <v>25</v>
      </c>
      <c r="J51" s="1" t="s">
        <v>251</v>
      </c>
      <c r="K51" s="1" t="s">
        <v>252</v>
      </c>
      <c r="L51" s="1">
        <v>47150</v>
      </c>
      <c r="M51" s="1" t="s">
        <v>103</v>
      </c>
      <c r="N51" s="1" t="s">
        <v>253</v>
      </c>
      <c r="O51" s="1" t="s">
        <v>44</v>
      </c>
      <c r="P51" s="1" t="s">
        <v>73</v>
      </c>
      <c r="Q51" s="1" t="s">
        <v>254</v>
      </c>
      <c r="R51" s="1">
        <v>38.22</v>
      </c>
      <c r="S51" s="1">
        <v>6</v>
      </c>
      <c r="T51" s="3">
        <v>0</v>
      </c>
      <c r="U51" s="4">
        <v>17.9634</v>
      </c>
      <c r="V51" s="1" t="str">
        <f t="shared" si="0"/>
        <v>Standard Class</v>
      </c>
      <c r="W51" s="1" t="str">
        <f t="shared" si="1"/>
        <v>Consumer</v>
      </c>
      <c r="X51" s="1" t="str">
        <f t="shared" si="2"/>
        <v>New Albany - Indiana</v>
      </c>
      <c r="Y51" s="1" t="str">
        <f t="shared" si="3"/>
        <v>Binders</v>
      </c>
      <c r="Z51" s="1">
        <f t="shared" si="4"/>
        <v>38.22</v>
      </c>
      <c r="AA51" s="1">
        <f t="shared" si="5"/>
        <v>38.22</v>
      </c>
      <c r="AB51" s="1">
        <f t="shared" si="6"/>
        <v>229.32</v>
      </c>
      <c r="AC51" s="4">
        <f t="shared" si="7"/>
        <v>229.32</v>
      </c>
      <c r="AD51" s="1" t="s">
        <v>2013</v>
      </c>
      <c r="AE51" s="1" t="str">
        <f t="shared" si="8"/>
        <v>2015</v>
      </c>
      <c r="AF51" s="1" t="str">
        <f t="shared" si="9"/>
        <v>115742</v>
      </c>
    </row>
    <row r="52" spans="1:32" x14ac:dyDescent="0.3">
      <c r="A52" s="1">
        <v>51</v>
      </c>
      <c r="B52" s="1" t="s">
        <v>248</v>
      </c>
      <c r="C52" s="2">
        <v>42112</v>
      </c>
      <c r="D52" s="2">
        <v>42116</v>
      </c>
      <c r="E52" s="1" t="s">
        <v>48</v>
      </c>
      <c r="F52" s="1" t="s">
        <v>249</v>
      </c>
      <c r="G52" s="1" t="s">
        <v>250</v>
      </c>
      <c r="H52" s="1" t="s">
        <v>24</v>
      </c>
      <c r="I52" s="1" t="s">
        <v>25</v>
      </c>
      <c r="J52" s="1" t="s">
        <v>251</v>
      </c>
      <c r="K52" s="1" t="s">
        <v>252</v>
      </c>
      <c r="L52" s="1">
        <v>47150</v>
      </c>
      <c r="M52" s="1" t="s">
        <v>103</v>
      </c>
      <c r="N52" s="1" t="s">
        <v>255</v>
      </c>
      <c r="O52" s="1" t="s">
        <v>44</v>
      </c>
      <c r="P52" s="1" t="s">
        <v>45</v>
      </c>
      <c r="Q52" s="1" t="s">
        <v>256</v>
      </c>
      <c r="R52" s="1">
        <v>75.180000000000007</v>
      </c>
      <c r="S52" s="1">
        <v>6</v>
      </c>
      <c r="T52" s="3">
        <v>0</v>
      </c>
      <c r="U52" s="4">
        <v>35.334600000000002</v>
      </c>
      <c r="V52" s="1" t="str">
        <f t="shared" si="0"/>
        <v>Standard Class</v>
      </c>
      <c r="W52" s="1" t="str">
        <f t="shared" si="1"/>
        <v>Consumer</v>
      </c>
      <c r="X52" s="1" t="str">
        <f t="shared" si="2"/>
        <v>New Albany - Indiana</v>
      </c>
      <c r="Y52" s="1" t="str">
        <f t="shared" si="3"/>
        <v>Labels</v>
      </c>
      <c r="Z52" s="1">
        <f t="shared" si="4"/>
        <v>75.180000000000007</v>
      </c>
      <c r="AA52" s="1">
        <f t="shared" si="5"/>
        <v>75.180000000000007</v>
      </c>
      <c r="AB52" s="1">
        <f t="shared" si="6"/>
        <v>451.08000000000004</v>
      </c>
      <c r="AC52" s="4">
        <f t="shared" si="7"/>
        <v>451.08000000000004</v>
      </c>
      <c r="AD52" s="1" t="s">
        <v>2013</v>
      </c>
      <c r="AE52" s="1" t="str">
        <f t="shared" si="8"/>
        <v>2015</v>
      </c>
      <c r="AF52" s="1" t="str">
        <f t="shared" si="9"/>
        <v>115742</v>
      </c>
    </row>
    <row r="53" spans="1:32" x14ac:dyDescent="0.3">
      <c r="A53" s="1">
        <v>52</v>
      </c>
      <c r="B53" s="1" t="s">
        <v>248</v>
      </c>
      <c r="C53" s="2">
        <v>42112</v>
      </c>
      <c r="D53" s="2">
        <v>42116</v>
      </c>
      <c r="E53" s="1" t="s">
        <v>48</v>
      </c>
      <c r="F53" s="1" t="s">
        <v>249</v>
      </c>
      <c r="G53" s="1" t="s">
        <v>250</v>
      </c>
      <c r="H53" s="1" t="s">
        <v>24</v>
      </c>
      <c r="I53" s="1" t="s">
        <v>25</v>
      </c>
      <c r="J53" s="1" t="s">
        <v>251</v>
      </c>
      <c r="K53" s="1" t="s">
        <v>252</v>
      </c>
      <c r="L53" s="1">
        <v>47150</v>
      </c>
      <c r="M53" s="1" t="s">
        <v>103</v>
      </c>
      <c r="N53" s="1" t="s">
        <v>257</v>
      </c>
      <c r="O53" s="1" t="s">
        <v>30</v>
      </c>
      <c r="P53" s="1" t="s">
        <v>63</v>
      </c>
      <c r="Q53" s="1" t="s">
        <v>258</v>
      </c>
      <c r="R53" s="1">
        <v>6.16</v>
      </c>
      <c r="S53" s="1">
        <v>2</v>
      </c>
      <c r="T53" s="3">
        <v>0</v>
      </c>
      <c r="U53" s="4">
        <v>2.9567999999999999</v>
      </c>
      <c r="V53" s="1" t="str">
        <f t="shared" si="0"/>
        <v>Standard Class</v>
      </c>
      <c r="W53" s="1" t="str">
        <f t="shared" si="1"/>
        <v>Consumer</v>
      </c>
      <c r="X53" s="1" t="str">
        <f t="shared" si="2"/>
        <v>New Albany - Indiana</v>
      </c>
      <c r="Y53" s="1" t="str">
        <f t="shared" si="3"/>
        <v>Furnishings</v>
      </c>
      <c r="Z53" s="1">
        <f t="shared" si="4"/>
        <v>6.16</v>
      </c>
      <c r="AA53" s="1">
        <f t="shared" si="5"/>
        <v>6.16</v>
      </c>
      <c r="AB53" s="1">
        <f t="shared" si="6"/>
        <v>12.32</v>
      </c>
      <c r="AC53" s="4">
        <f t="shared" si="7"/>
        <v>12.32</v>
      </c>
      <c r="AD53" s="1" t="s">
        <v>2013</v>
      </c>
      <c r="AE53" s="1" t="str">
        <f t="shared" si="8"/>
        <v>2015</v>
      </c>
      <c r="AF53" s="1" t="str">
        <f t="shared" si="9"/>
        <v>115742</v>
      </c>
    </row>
    <row r="54" spans="1:32" x14ac:dyDescent="0.3">
      <c r="A54" s="1">
        <v>53</v>
      </c>
      <c r="B54" s="1" t="s">
        <v>248</v>
      </c>
      <c r="C54" s="2">
        <v>42112</v>
      </c>
      <c r="D54" s="2">
        <v>42116</v>
      </c>
      <c r="E54" s="1" t="s">
        <v>48</v>
      </c>
      <c r="F54" s="1" t="s">
        <v>249</v>
      </c>
      <c r="G54" s="1" t="s">
        <v>250</v>
      </c>
      <c r="H54" s="1" t="s">
        <v>24</v>
      </c>
      <c r="I54" s="1" t="s">
        <v>25</v>
      </c>
      <c r="J54" s="1" t="s">
        <v>251</v>
      </c>
      <c r="K54" s="1" t="s">
        <v>252</v>
      </c>
      <c r="L54" s="1">
        <v>47150</v>
      </c>
      <c r="M54" s="1" t="s">
        <v>103</v>
      </c>
      <c r="N54" s="1" t="s">
        <v>259</v>
      </c>
      <c r="O54" s="1" t="s">
        <v>30</v>
      </c>
      <c r="P54" s="1" t="s">
        <v>34</v>
      </c>
      <c r="Q54" s="1" t="s">
        <v>260</v>
      </c>
      <c r="R54" s="1">
        <v>89.99</v>
      </c>
      <c r="S54" s="1">
        <v>1</v>
      </c>
      <c r="T54" s="3">
        <v>0</v>
      </c>
      <c r="U54" s="4">
        <v>17.098099999999999</v>
      </c>
      <c r="V54" s="1" t="str">
        <f t="shared" si="0"/>
        <v>Standard Class</v>
      </c>
      <c r="W54" s="1" t="str">
        <f t="shared" si="1"/>
        <v>Consumer</v>
      </c>
      <c r="X54" s="1" t="str">
        <f t="shared" si="2"/>
        <v>New Albany - Indiana</v>
      </c>
      <c r="Y54" s="1" t="str">
        <f t="shared" si="3"/>
        <v>Chairs</v>
      </c>
      <c r="Z54" s="1">
        <f t="shared" si="4"/>
        <v>89.99</v>
      </c>
      <c r="AA54" s="1">
        <f t="shared" si="5"/>
        <v>89.99</v>
      </c>
      <c r="AB54" s="1">
        <f t="shared" si="6"/>
        <v>89.99</v>
      </c>
      <c r="AC54" s="4">
        <f t="shared" si="7"/>
        <v>89.99</v>
      </c>
      <c r="AD54" s="1" t="s">
        <v>2013</v>
      </c>
      <c r="AE54" s="1" t="str">
        <f t="shared" si="8"/>
        <v>2015</v>
      </c>
      <c r="AF54" s="1" t="str">
        <f t="shared" si="9"/>
        <v>115742</v>
      </c>
    </row>
    <row r="55" spans="1:32" x14ac:dyDescent="0.3">
      <c r="A55" s="1">
        <v>54</v>
      </c>
      <c r="B55" s="1" t="s">
        <v>261</v>
      </c>
      <c r="C55" s="2">
        <v>42715</v>
      </c>
      <c r="D55" s="2">
        <v>42721</v>
      </c>
      <c r="E55" s="1" t="s">
        <v>48</v>
      </c>
      <c r="F55" s="1" t="s">
        <v>262</v>
      </c>
      <c r="G55" s="1" t="s">
        <v>263</v>
      </c>
      <c r="H55" s="1" t="s">
        <v>39</v>
      </c>
      <c r="I55" s="1" t="s">
        <v>25</v>
      </c>
      <c r="J55" s="1" t="s">
        <v>264</v>
      </c>
      <c r="K55" s="1" t="s">
        <v>265</v>
      </c>
      <c r="L55" s="1">
        <v>10024</v>
      </c>
      <c r="M55" s="1" t="s">
        <v>146</v>
      </c>
      <c r="N55" s="1" t="s">
        <v>266</v>
      </c>
      <c r="O55" s="1" t="s">
        <v>44</v>
      </c>
      <c r="P55" s="1" t="s">
        <v>267</v>
      </c>
      <c r="Q55" s="1" t="s">
        <v>268</v>
      </c>
      <c r="R55" s="1">
        <v>15.26</v>
      </c>
      <c r="S55" s="1">
        <v>7</v>
      </c>
      <c r="T55" s="3">
        <v>0</v>
      </c>
      <c r="U55" s="4">
        <v>6.2565999999999997</v>
      </c>
      <c r="V55" s="1" t="str">
        <f t="shared" si="0"/>
        <v>Standard Class</v>
      </c>
      <c r="W55" s="1" t="str">
        <f t="shared" si="1"/>
        <v>Corporate</v>
      </c>
      <c r="X55" s="1" t="str">
        <f t="shared" si="2"/>
        <v>New York City - New York</v>
      </c>
      <c r="Y55" s="1" t="str">
        <f t="shared" si="3"/>
        <v>Fasteners</v>
      </c>
      <c r="Z55" s="1">
        <f t="shared" si="4"/>
        <v>15.26</v>
      </c>
      <c r="AA55" s="1">
        <f t="shared" si="5"/>
        <v>15.26</v>
      </c>
      <c r="AB55" s="1">
        <f t="shared" si="6"/>
        <v>106.82</v>
      </c>
      <c r="AC55" s="4">
        <f t="shared" si="7"/>
        <v>106.82</v>
      </c>
      <c r="AD55" s="1" t="s">
        <v>2013</v>
      </c>
      <c r="AE55" s="1" t="str">
        <f t="shared" si="8"/>
        <v>2016</v>
      </c>
      <c r="AF55" s="1" t="str">
        <f t="shared" si="9"/>
        <v>105816</v>
      </c>
    </row>
    <row r="56" spans="1:32" x14ac:dyDescent="0.3">
      <c r="A56" s="1">
        <v>55</v>
      </c>
      <c r="B56" s="1" t="s">
        <v>261</v>
      </c>
      <c r="C56" s="2">
        <v>42715</v>
      </c>
      <c r="D56" s="2">
        <v>42721</v>
      </c>
      <c r="E56" s="1" t="s">
        <v>48</v>
      </c>
      <c r="F56" s="1" t="s">
        <v>262</v>
      </c>
      <c r="G56" s="1" t="s">
        <v>263</v>
      </c>
      <c r="H56" s="1" t="s">
        <v>39</v>
      </c>
      <c r="I56" s="1" t="s">
        <v>25</v>
      </c>
      <c r="J56" s="1" t="s">
        <v>264</v>
      </c>
      <c r="K56" s="1" t="s">
        <v>265</v>
      </c>
      <c r="L56" s="1">
        <v>10024</v>
      </c>
      <c r="M56" s="1" t="s">
        <v>146</v>
      </c>
      <c r="N56" s="1" t="s">
        <v>269</v>
      </c>
      <c r="O56" s="1" t="s">
        <v>69</v>
      </c>
      <c r="P56" s="1" t="s">
        <v>70</v>
      </c>
      <c r="Q56" s="1" t="s">
        <v>270</v>
      </c>
      <c r="R56" s="1">
        <v>1029.95</v>
      </c>
      <c r="S56" s="1">
        <v>5</v>
      </c>
      <c r="T56" s="3">
        <v>0</v>
      </c>
      <c r="U56" s="4">
        <v>298.68549999999999</v>
      </c>
      <c r="V56" s="1" t="str">
        <f t="shared" si="0"/>
        <v>Standard Class</v>
      </c>
      <c r="W56" s="1" t="str">
        <f t="shared" si="1"/>
        <v>Corporate</v>
      </c>
      <c r="X56" s="1" t="str">
        <f t="shared" si="2"/>
        <v>New York City - New York</v>
      </c>
      <c r="Y56" s="1" t="str">
        <f t="shared" si="3"/>
        <v>Phones</v>
      </c>
      <c r="Z56" s="1">
        <f t="shared" si="4"/>
        <v>1029.95</v>
      </c>
      <c r="AA56" s="1">
        <f t="shared" si="5"/>
        <v>1029.95</v>
      </c>
      <c r="AB56" s="1">
        <f t="shared" si="6"/>
        <v>5149.75</v>
      </c>
      <c r="AC56" s="4">
        <f t="shared" si="7"/>
        <v>5149.75</v>
      </c>
      <c r="AD56" s="1" t="s">
        <v>2013</v>
      </c>
      <c r="AE56" s="1" t="str">
        <f t="shared" si="8"/>
        <v>2016</v>
      </c>
      <c r="AF56" s="1" t="str">
        <f t="shared" si="9"/>
        <v>105816</v>
      </c>
    </row>
    <row r="57" spans="1:32" x14ac:dyDescent="0.3">
      <c r="A57" s="1">
        <v>56</v>
      </c>
      <c r="B57" s="1" t="s">
        <v>271</v>
      </c>
      <c r="C57" s="2">
        <v>42538</v>
      </c>
      <c r="D57" s="2">
        <v>42539</v>
      </c>
      <c r="E57" s="1" t="s">
        <v>186</v>
      </c>
      <c r="F57" s="1" t="s">
        <v>272</v>
      </c>
      <c r="G57" s="1" t="s">
        <v>273</v>
      </c>
      <c r="H57" s="1" t="s">
        <v>24</v>
      </c>
      <c r="I57" s="1" t="s">
        <v>25</v>
      </c>
      <c r="J57" s="1" t="s">
        <v>274</v>
      </c>
      <c r="K57" s="1" t="s">
        <v>265</v>
      </c>
      <c r="L57" s="1">
        <v>12180</v>
      </c>
      <c r="M57" s="1" t="s">
        <v>146</v>
      </c>
      <c r="N57" s="1" t="s">
        <v>275</v>
      </c>
      <c r="O57" s="1" t="s">
        <v>44</v>
      </c>
      <c r="P57" s="1" t="s">
        <v>57</v>
      </c>
      <c r="Q57" s="1" t="s">
        <v>276</v>
      </c>
      <c r="R57" s="1">
        <v>208.56</v>
      </c>
      <c r="S57" s="1">
        <v>6</v>
      </c>
      <c r="T57" s="3">
        <v>0</v>
      </c>
      <c r="U57" s="4">
        <v>52.14</v>
      </c>
      <c r="V57" s="1" t="str">
        <f t="shared" si="0"/>
        <v>First Class</v>
      </c>
      <c r="W57" s="1" t="str">
        <f t="shared" si="1"/>
        <v>Consumer</v>
      </c>
      <c r="X57" s="1" t="str">
        <f t="shared" si="2"/>
        <v>Troy - New York</v>
      </c>
      <c r="Y57" s="1" t="str">
        <f t="shared" si="3"/>
        <v>Storage</v>
      </c>
      <c r="Z57" s="1">
        <f t="shared" si="4"/>
        <v>208.56</v>
      </c>
      <c r="AA57" s="1">
        <f t="shared" si="5"/>
        <v>208.56</v>
      </c>
      <c r="AB57" s="1">
        <f t="shared" si="6"/>
        <v>1251.3600000000001</v>
      </c>
      <c r="AC57" s="4">
        <f t="shared" si="7"/>
        <v>1251.3600000000001</v>
      </c>
      <c r="AD57" s="1" t="s">
        <v>2013</v>
      </c>
      <c r="AE57" s="1" t="str">
        <f t="shared" si="8"/>
        <v>2016</v>
      </c>
      <c r="AF57" s="1" t="str">
        <f t="shared" si="9"/>
        <v>111682</v>
      </c>
    </row>
    <row r="58" spans="1:32" x14ac:dyDescent="0.3">
      <c r="A58" s="1">
        <v>57</v>
      </c>
      <c r="B58" s="1" t="s">
        <v>271</v>
      </c>
      <c r="C58" s="2">
        <v>42538</v>
      </c>
      <c r="D58" s="2">
        <v>42539</v>
      </c>
      <c r="E58" s="1" t="s">
        <v>186</v>
      </c>
      <c r="F58" s="1" t="s">
        <v>272</v>
      </c>
      <c r="G58" s="1" t="s">
        <v>273</v>
      </c>
      <c r="H58" s="1" t="s">
        <v>24</v>
      </c>
      <c r="I58" s="1" t="s">
        <v>25</v>
      </c>
      <c r="J58" s="1" t="s">
        <v>274</v>
      </c>
      <c r="K58" s="1" t="s">
        <v>265</v>
      </c>
      <c r="L58" s="1">
        <v>12180</v>
      </c>
      <c r="M58" s="1" t="s">
        <v>146</v>
      </c>
      <c r="N58" s="1" t="s">
        <v>277</v>
      </c>
      <c r="O58" s="1" t="s">
        <v>44</v>
      </c>
      <c r="P58" s="1" t="s">
        <v>88</v>
      </c>
      <c r="Q58" s="1" t="s">
        <v>278</v>
      </c>
      <c r="R58" s="1">
        <v>32.4</v>
      </c>
      <c r="S58" s="1">
        <v>5</v>
      </c>
      <c r="T58" s="3">
        <v>0</v>
      </c>
      <c r="U58" s="4">
        <v>15.552</v>
      </c>
      <c r="V58" s="1" t="str">
        <f t="shared" si="0"/>
        <v>First Class</v>
      </c>
      <c r="W58" s="1" t="str">
        <f t="shared" si="1"/>
        <v>Consumer</v>
      </c>
      <c r="X58" s="1" t="str">
        <f t="shared" si="2"/>
        <v>Troy - New York</v>
      </c>
      <c r="Y58" s="1" t="str">
        <f t="shared" si="3"/>
        <v>Paper</v>
      </c>
      <c r="Z58" s="1">
        <f t="shared" si="4"/>
        <v>32.4</v>
      </c>
      <c r="AA58" s="1">
        <f t="shared" si="5"/>
        <v>32.4</v>
      </c>
      <c r="AB58" s="1">
        <f t="shared" si="6"/>
        <v>162</v>
      </c>
      <c r="AC58" s="4">
        <f t="shared" si="7"/>
        <v>162</v>
      </c>
      <c r="AD58" s="1" t="s">
        <v>2013</v>
      </c>
      <c r="AE58" s="1" t="str">
        <f t="shared" si="8"/>
        <v>2016</v>
      </c>
      <c r="AF58" s="1" t="str">
        <f t="shared" si="9"/>
        <v>111682</v>
      </c>
    </row>
    <row r="59" spans="1:32" x14ac:dyDescent="0.3">
      <c r="A59" s="1">
        <v>58</v>
      </c>
      <c r="B59" s="1" t="s">
        <v>271</v>
      </c>
      <c r="C59" s="2">
        <v>42538</v>
      </c>
      <c r="D59" s="2">
        <v>42539</v>
      </c>
      <c r="E59" s="1" t="s">
        <v>186</v>
      </c>
      <c r="F59" s="1" t="s">
        <v>272</v>
      </c>
      <c r="G59" s="1" t="s">
        <v>273</v>
      </c>
      <c r="H59" s="1" t="s">
        <v>24</v>
      </c>
      <c r="I59" s="1" t="s">
        <v>25</v>
      </c>
      <c r="J59" s="1" t="s">
        <v>274</v>
      </c>
      <c r="K59" s="1" t="s">
        <v>265</v>
      </c>
      <c r="L59" s="1">
        <v>12180</v>
      </c>
      <c r="M59" s="1" t="s">
        <v>146</v>
      </c>
      <c r="N59" s="1" t="s">
        <v>279</v>
      </c>
      <c r="O59" s="1" t="s">
        <v>30</v>
      </c>
      <c r="P59" s="1" t="s">
        <v>34</v>
      </c>
      <c r="Q59" s="1" t="s">
        <v>280</v>
      </c>
      <c r="R59" s="1">
        <v>319.41000000000003</v>
      </c>
      <c r="S59" s="1">
        <v>5</v>
      </c>
      <c r="T59" s="3">
        <v>0.1</v>
      </c>
      <c r="U59" s="4">
        <v>7.0979999999999999</v>
      </c>
      <c r="V59" s="1" t="str">
        <f t="shared" si="0"/>
        <v>First Class</v>
      </c>
      <c r="W59" s="1" t="str">
        <f t="shared" si="1"/>
        <v>Consumer</v>
      </c>
      <c r="X59" s="1" t="str">
        <f t="shared" si="2"/>
        <v>Troy - New York</v>
      </c>
      <c r="Y59" s="1" t="str">
        <f t="shared" si="3"/>
        <v>Chairs</v>
      </c>
      <c r="Z59" s="1">
        <f t="shared" si="4"/>
        <v>319.41000000000003</v>
      </c>
      <c r="AA59" s="1">
        <f t="shared" si="5"/>
        <v>319.41000000000003</v>
      </c>
      <c r="AB59" s="1">
        <f t="shared" si="6"/>
        <v>1597.0500000000002</v>
      </c>
      <c r="AC59" s="4">
        <f t="shared" si="7"/>
        <v>1437.3450000000003</v>
      </c>
      <c r="AD59" s="1" t="s">
        <v>2013</v>
      </c>
      <c r="AE59" s="1" t="str">
        <f t="shared" si="8"/>
        <v>2016</v>
      </c>
      <c r="AF59" s="1" t="str">
        <f t="shared" si="9"/>
        <v>111682</v>
      </c>
    </row>
    <row r="60" spans="1:32" x14ac:dyDescent="0.3">
      <c r="A60" s="1">
        <v>59</v>
      </c>
      <c r="B60" s="1" t="s">
        <v>271</v>
      </c>
      <c r="C60" s="2">
        <v>42538</v>
      </c>
      <c r="D60" s="2">
        <v>42539</v>
      </c>
      <c r="E60" s="1" t="s">
        <v>186</v>
      </c>
      <c r="F60" s="1" t="s">
        <v>272</v>
      </c>
      <c r="G60" s="1" t="s">
        <v>273</v>
      </c>
      <c r="H60" s="1" t="s">
        <v>24</v>
      </c>
      <c r="I60" s="1" t="s">
        <v>25</v>
      </c>
      <c r="J60" s="1" t="s">
        <v>274</v>
      </c>
      <c r="K60" s="1" t="s">
        <v>265</v>
      </c>
      <c r="L60" s="1">
        <v>12180</v>
      </c>
      <c r="M60" s="1" t="s">
        <v>146</v>
      </c>
      <c r="N60" s="1" t="s">
        <v>281</v>
      </c>
      <c r="O60" s="1" t="s">
        <v>44</v>
      </c>
      <c r="P60" s="1" t="s">
        <v>88</v>
      </c>
      <c r="Q60" s="1" t="s">
        <v>282</v>
      </c>
      <c r="R60" s="1">
        <v>14.56</v>
      </c>
      <c r="S60" s="1">
        <v>2</v>
      </c>
      <c r="T60" s="3">
        <v>0</v>
      </c>
      <c r="U60" s="4">
        <v>6.9888000000000003</v>
      </c>
      <c r="V60" s="1" t="str">
        <f t="shared" si="0"/>
        <v>First Class</v>
      </c>
      <c r="W60" s="1" t="str">
        <f t="shared" si="1"/>
        <v>Consumer</v>
      </c>
      <c r="X60" s="1" t="str">
        <f t="shared" si="2"/>
        <v>Troy - New York</v>
      </c>
      <c r="Y60" s="1" t="str">
        <f t="shared" si="3"/>
        <v>Paper</v>
      </c>
      <c r="Z60" s="1">
        <f t="shared" si="4"/>
        <v>14.56</v>
      </c>
      <c r="AA60" s="1">
        <f t="shared" si="5"/>
        <v>14.56</v>
      </c>
      <c r="AB60" s="1">
        <f t="shared" si="6"/>
        <v>29.12</v>
      </c>
      <c r="AC60" s="4">
        <f t="shared" si="7"/>
        <v>29.12</v>
      </c>
      <c r="AD60" s="1" t="s">
        <v>2013</v>
      </c>
      <c r="AE60" s="1" t="str">
        <f t="shared" si="8"/>
        <v>2016</v>
      </c>
      <c r="AF60" s="1" t="str">
        <f t="shared" si="9"/>
        <v>111682</v>
      </c>
    </row>
    <row r="61" spans="1:32" x14ac:dyDescent="0.3">
      <c r="A61" s="1">
        <v>60</v>
      </c>
      <c r="B61" s="1" t="s">
        <v>271</v>
      </c>
      <c r="C61" s="2">
        <v>42538</v>
      </c>
      <c r="D61" s="2">
        <v>42539</v>
      </c>
      <c r="E61" s="1" t="s">
        <v>186</v>
      </c>
      <c r="F61" s="1" t="s">
        <v>272</v>
      </c>
      <c r="G61" s="1" t="s">
        <v>273</v>
      </c>
      <c r="H61" s="1" t="s">
        <v>24</v>
      </c>
      <c r="I61" s="1" t="s">
        <v>25</v>
      </c>
      <c r="J61" s="1" t="s">
        <v>274</v>
      </c>
      <c r="K61" s="1" t="s">
        <v>265</v>
      </c>
      <c r="L61" s="1">
        <v>12180</v>
      </c>
      <c r="M61" s="1" t="s">
        <v>146</v>
      </c>
      <c r="N61" s="1" t="s">
        <v>244</v>
      </c>
      <c r="O61" s="1" t="s">
        <v>69</v>
      </c>
      <c r="P61" s="1" t="s">
        <v>159</v>
      </c>
      <c r="Q61" s="1" t="s">
        <v>245</v>
      </c>
      <c r="R61" s="1"/>
      <c r="S61" s="1">
        <v>2</v>
      </c>
      <c r="T61" s="3">
        <v>0</v>
      </c>
      <c r="U61" s="4">
        <v>3.3</v>
      </c>
      <c r="V61" s="1" t="str">
        <f t="shared" si="0"/>
        <v>First Class</v>
      </c>
      <c r="W61" s="1" t="str">
        <f t="shared" si="1"/>
        <v>Consumer</v>
      </c>
      <c r="X61" s="1" t="str">
        <f t="shared" si="2"/>
        <v>Troy - New York</v>
      </c>
      <c r="Y61" s="1" t="str">
        <f t="shared" si="3"/>
        <v>Accessories</v>
      </c>
      <c r="Z61" s="1">
        <f t="shared" ca="1" si="4"/>
        <v>507</v>
      </c>
      <c r="AA61" s="1">
        <f t="shared" ca="1" si="5"/>
        <v>250</v>
      </c>
      <c r="AB61" s="1">
        <f t="shared" ca="1" si="6"/>
        <v>500</v>
      </c>
      <c r="AC61" s="4">
        <f t="shared" ca="1" si="7"/>
        <v>500</v>
      </c>
      <c r="AD61" s="1" t="s">
        <v>2013</v>
      </c>
      <c r="AE61" s="1" t="str">
        <f t="shared" si="8"/>
        <v>2016</v>
      </c>
      <c r="AF61" s="1" t="str">
        <f t="shared" si="9"/>
        <v>111682</v>
      </c>
    </row>
    <row r="62" spans="1:32" x14ac:dyDescent="0.3">
      <c r="A62" s="1">
        <v>61</v>
      </c>
      <c r="B62" s="1" t="s">
        <v>271</v>
      </c>
      <c r="C62" s="2">
        <v>42538</v>
      </c>
      <c r="D62" s="2">
        <v>42539</v>
      </c>
      <c r="E62" s="1" t="s">
        <v>186</v>
      </c>
      <c r="F62" s="1" t="s">
        <v>272</v>
      </c>
      <c r="G62" s="1" t="s">
        <v>273</v>
      </c>
      <c r="H62" s="1" t="s">
        <v>24</v>
      </c>
      <c r="I62" s="1" t="s">
        <v>25</v>
      </c>
      <c r="J62" s="1" t="s">
        <v>274</v>
      </c>
      <c r="K62" s="1" t="s">
        <v>265</v>
      </c>
      <c r="L62" s="1">
        <v>12180</v>
      </c>
      <c r="M62" s="1" t="s">
        <v>146</v>
      </c>
      <c r="N62" s="1" t="s">
        <v>283</v>
      </c>
      <c r="O62" s="1" t="s">
        <v>44</v>
      </c>
      <c r="P62" s="1" t="s">
        <v>73</v>
      </c>
      <c r="Q62" s="1" t="s">
        <v>284</v>
      </c>
      <c r="R62" s="1">
        <v>48.48</v>
      </c>
      <c r="S62" s="1">
        <v>4</v>
      </c>
      <c r="T62" s="3">
        <v>0.2</v>
      </c>
      <c r="U62" s="4">
        <v>16.361999999999998</v>
      </c>
      <c r="V62" s="1" t="str">
        <f t="shared" si="0"/>
        <v>First Class</v>
      </c>
      <c r="W62" s="1" t="str">
        <f t="shared" si="1"/>
        <v>Consumer</v>
      </c>
      <c r="X62" s="1" t="str">
        <f t="shared" si="2"/>
        <v>Troy - New York</v>
      </c>
      <c r="Y62" s="1" t="str">
        <f t="shared" si="3"/>
        <v>Binders</v>
      </c>
      <c r="Z62" s="1">
        <f t="shared" si="4"/>
        <v>48.48</v>
      </c>
      <c r="AA62" s="1">
        <f t="shared" si="5"/>
        <v>48.48</v>
      </c>
      <c r="AB62" s="1">
        <f t="shared" si="6"/>
        <v>193.92</v>
      </c>
      <c r="AC62" s="4">
        <f t="shared" si="7"/>
        <v>155.136</v>
      </c>
      <c r="AD62" s="1" t="s">
        <v>2013</v>
      </c>
      <c r="AE62" s="1" t="str">
        <f t="shared" si="8"/>
        <v>2016</v>
      </c>
      <c r="AF62" s="1" t="str">
        <f t="shared" si="9"/>
        <v>111682</v>
      </c>
    </row>
    <row r="63" spans="1:32" x14ac:dyDescent="0.3">
      <c r="A63" s="1">
        <v>62</v>
      </c>
      <c r="B63" s="1" t="s">
        <v>271</v>
      </c>
      <c r="C63" s="2">
        <v>42538</v>
      </c>
      <c r="D63" s="2">
        <v>42539</v>
      </c>
      <c r="E63" s="1" t="s">
        <v>186</v>
      </c>
      <c r="F63" s="1" t="s">
        <v>272</v>
      </c>
      <c r="G63" s="1" t="s">
        <v>273</v>
      </c>
      <c r="H63" s="1" t="s">
        <v>24</v>
      </c>
      <c r="I63" s="1" t="s">
        <v>25</v>
      </c>
      <c r="J63" s="1" t="s">
        <v>274</v>
      </c>
      <c r="K63" s="1" t="s">
        <v>265</v>
      </c>
      <c r="L63" s="1">
        <v>12180</v>
      </c>
      <c r="M63" s="1" t="s">
        <v>146</v>
      </c>
      <c r="N63" s="1" t="s">
        <v>285</v>
      </c>
      <c r="O63" s="1" t="s">
        <v>44</v>
      </c>
      <c r="P63" s="1" t="s">
        <v>66</v>
      </c>
      <c r="Q63" s="1" t="s">
        <v>286</v>
      </c>
      <c r="R63" s="1">
        <v>1.68</v>
      </c>
      <c r="S63" s="1">
        <v>1</v>
      </c>
      <c r="T63" s="3">
        <v>0</v>
      </c>
      <c r="U63" s="4">
        <v>0.84</v>
      </c>
      <c r="V63" s="1" t="str">
        <f t="shared" si="0"/>
        <v>First Class</v>
      </c>
      <c r="W63" s="1" t="str">
        <f t="shared" si="1"/>
        <v>Consumer</v>
      </c>
      <c r="X63" s="1" t="str">
        <f t="shared" si="2"/>
        <v>Troy - New York</v>
      </c>
      <c r="Y63" s="1" t="str">
        <f t="shared" si="3"/>
        <v>Art</v>
      </c>
      <c r="Z63" s="1">
        <f t="shared" si="4"/>
        <v>1.68</v>
      </c>
      <c r="AA63" s="1">
        <f t="shared" si="5"/>
        <v>1.68</v>
      </c>
      <c r="AB63" s="1">
        <f t="shared" si="6"/>
        <v>1.68</v>
      </c>
      <c r="AC63" s="4">
        <f t="shared" si="7"/>
        <v>1.68</v>
      </c>
      <c r="AD63" s="1" t="s">
        <v>2013</v>
      </c>
      <c r="AE63" s="1" t="str">
        <f t="shared" si="8"/>
        <v>2016</v>
      </c>
      <c r="AF63" s="1" t="str">
        <f t="shared" si="9"/>
        <v>111682</v>
      </c>
    </row>
    <row r="64" spans="1:32" x14ac:dyDescent="0.3">
      <c r="A64" s="1">
        <v>63</v>
      </c>
      <c r="B64" s="1" t="s">
        <v>287</v>
      </c>
      <c r="C64" s="2">
        <v>42332</v>
      </c>
      <c r="D64" s="2">
        <v>42338</v>
      </c>
      <c r="E64" s="1" t="s">
        <v>48</v>
      </c>
      <c r="F64" s="1" t="s">
        <v>288</v>
      </c>
      <c r="G64" s="1" t="s">
        <v>289</v>
      </c>
      <c r="H64" s="1" t="s">
        <v>24</v>
      </c>
      <c r="I64" s="1" t="s">
        <v>25</v>
      </c>
      <c r="J64" s="1" t="s">
        <v>40</v>
      </c>
      <c r="K64" s="1" t="s">
        <v>41</v>
      </c>
      <c r="L64" s="1">
        <v>90004</v>
      </c>
      <c r="M64" s="1" t="s">
        <v>42</v>
      </c>
      <c r="N64" s="1" t="s">
        <v>290</v>
      </c>
      <c r="O64" s="1" t="s">
        <v>69</v>
      </c>
      <c r="P64" s="1" t="s">
        <v>159</v>
      </c>
      <c r="Q64" s="1" t="s">
        <v>291</v>
      </c>
      <c r="R64" s="1">
        <v>13.98</v>
      </c>
      <c r="S64" s="1">
        <v>2</v>
      </c>
      <c r="T64" s="3">
        <v>0</v>
      </c>
      <c r="U64" s="4">
        <v>6.1512000000000002</v>
      </c>
      <c r="V64" s="1" t="str">
        <f t="shared" si="0"/>
        <v>Standard Class</v>
      </c>
      <c r="W64" s="1" t="str">
        <f t="shared" si="1"/>
        <v>Consumer</v>
      </c>
      <c r="X64" s="1" t="str">
        <f t="shared" si="2"/>
        <v>Los Angeles - California</v>
      </c>
      <c r="Y64" s="1" t="str">
        <f t="shared" si="3"/>
        <v>Accessories</v>
      </c>
      <c r="Z64" s="1">
        <f t="shared" si="4"/>
        <v>13.98</v>
      </c>
      <c r="AA64" s="1">
        <f t="shared" si="5"/>
        <v>13.98</v>
      </c>
      <c r="AB64" s="1">
        <f t="shared" si="6"/>
        <v>27.96</v>
      </c>
      <c r="AC64" s="4">
        <f t="shared" si="7"/>
        <v>27.96</v>
      </c>
      <c r="AD64" s="1" t="s">
        <v>2013</v>
      </c>
      <c r="AE64" s="1" t="str">
        <f t="shared" si="8"/>
        <v>2015</v>
      </c>
      <c r="AF64" s="1" t="str">
        <f t="shared" si="9"/>
        <v>135545</v>
      </c>
    </row>
    <row r="65" spans="1:32" x14ac:dyDescent="0.3">
      <c r="A65" s="1">
        <v>64</v>
      </c>
      <c r="B65" s="1" t="s">
        <v>287</v>
      </c>
      <c r="C65" s="2">
        <v>42332</v>
      </c>
      <c r="D65" s="2">
        <v>42338</v>
      </c>
      <c r="E65" s="1" t="s">
        <v>48</v>
      </c>
      <c r="F65" s="1" t="s">
        <v>288</v>
      </c>
      <c r="G65" s="1" t="s">
        <v>289</v>
      </c>
      <c r="H65" s="1" t="s">
        <v>24</v>
      </c>
      <c r="I65" s="1" t="s">
        <v>25</v>
      </c>
      <c r="J65" s="1" t="s">
        <v>40</v>
      </c>
      <c r="K65" s="1" t="s">
        <v>41</v>
      </c>
      <c r="L65" s="1">
        <v>90004</v>
      </c>
      <c r="M65" s="1" t="s">
        <v>42</v>
      </c>
      <c r="N65" s="1" t="s">
        <v>292</v>
      </c>
      <c r="O65" s="1" t="s">
        <v>44</v>
      </c>
      <c r="P65" s="1" t="s">
        <v>73</v>
      </c>
      <c r="Q65" s="1" t="s">
        <v>293</v>
      </c>
      <c r="R65" s="1">
        <v>25.824000000000002</v>
      </c>
      <c r="S65" s="1">
        <v>6</v>
      </c>
      <c r="T65" s="3">
        <v>0.2</v>
      </c>
      <c r="U65" s="4">
        <v>9.3612000000000002</v>
      </c>
      <c r="V65" s="1" t="str">
        <f t="shared" si="0"/>
        <v>Standard Class</v>
      </c>
      <c r="W65" s="1" t="str">
        <f t="shared" si="1"/>
        <v>Consumer</v>
      </c>
      <c r="X65" s="1" t="str">
        <f t="shared" si="2"/>
        <v>Los Angeles - California</v>
      </c>
      <c r="Y65" s="1" t="str">
        <f t="shared" si="3"/>
        <v>Binders</v>
      </c>
      <c r="Z65" s="1">
        <f t="shared" si="4"/>
        <v>25.824000000000002</v>
      </c>
      <c r="AA65" s="1">
        <f t="shared" si="5"/>
        <v>25.824000000000002</v>
      </c>
      <c r="AB65" s="1">
        <f t="shared" si="6"/>
        <v>154.94400000000002</v>
      </c>
      <c r="AC65" s="4">
        <f t="shared" si="7"/>
        <v>123.95520000000002</v>
      </c>
      <c r="AD65" s="1" t="s">
        <v>2013</v>
      </c>
      <c r="AE65" s="1" t="str">
        <f t="shared" si="8"/>
        <v>2015</v>
      </c>
      <c r="AF65" s="1" t="str">
        <f t="shared" si="9"/>
        <v>135545</v>
      </c>
    </row>
    <row r="66" spans="1:32" x14ac:dyDescent="0.3">
      <c r="A66" s="1">
        <v>65</v>
      </c>
      <c r="B66" s="1" t="s">
        <v>287</v>
      </c>
      <c r="C66" s="2">
        <v>42332</v>
      </c>
      <c r="D66" s="2">
        <v>42338</v>
      </c>
      <c r="E66" s="1" t="s">
        <v>48</v>
      </c>
      <c r="F66" s="1" t="s">
        <v>288</v>
      </c>
      <c r="G66" s="1" t="s">
        <v>289</v>
      </c>
      <c r="H66" s="1" t="s">
        <v>24</v>
      </c>
      <c r="I66" s="1" t="s">
        <v>25</v>
      </c>
      <c r="J66" s="1" t="s">
        <v>40</v>
      </c>
      <c r="K66" s="1" t="s">
        <v>41</v>
      </c>
      <c r="L66" s="1">
        <v>90004</v>
      </c>
      <c r="M66" s="1" t="s">
        <v>42</v>
      </c>
      <c r="N66" s="1" t="s">
        <v>294</v>
      </c>
      <c r="O66" s="1" t="s">
        <v>44</v>
      </c>
      <c r="P66" s="1" t="s">
        <v>88</v>
      </c>
      <c r="Q66" s="1" t="s">
        <v>295</v>
      </c>
      <c r="R66" s="1">
        <v>146.72999999999999</v>
      </c>
      <c r="S66" s="1">
        <v>3</v>
      </c>
      <c r="T66" s="3">
        <v>0</v>
      </c>
      <c r="U66" s="4">
        <v>68.963099999999997</v>
      </c>
      <c r="V66" s="1" t="str">
        <f t="shared" ref="V66:V129" si="10">IF(ISBLANK(E66),"UNKNOWN",E66)</f>
        <v>Standard Class</v>
      </c>
      <c r="W66" s="1" t="str">
        <f t="shared" ref="W66:W129" si="11">IF(ISBLANK(H66),"UNKNOWN",H66)</f>
        <v>Consumer</v>
      </c>
      <c r="X66" s="1" t="str">
        <f t="shared" ref="X66:X129" si="12">CONCATENATE(J66," - ",K66)</f>
        <v>Los Angeles - California</v>
      </c>
      <c r="Y66" s="1" t="str">
        <f t="shared" ref="Y66:Y129" si="13">IF(ISBLANK(P66),"UNKNOWN",P66)</f>
        <v>Paper</v>
      </c>
      <c r="Z66" s="1">
        <f t="shared" ref="Z66:Z129" si="14">IF(ISBLANK(R66),ROUND(AVERAGEIF($O$2:$O$600,O66,$R$2:$R$29),0),R66)</f>
        <v>146.72999999999999</v>
      </c>
      <c r="AA66" s="1">
        <f t="shared" ref="AA66:AA129" si="15">IF(ISBLANK(R66),ROUND(AVERAGEIF($Y$2:$Y$600,Y66,$R$2:$R$29),0),R66)</f>
        <v>146.72999999999999</v>
      </c>
      <c r="AB66" s="1">
        <f t="shared" ref="AB66:AB129" si="16">AA66*S66</f>
        <v>440.18999999999994</v>
      </c>
      <c r="AC66" s="4">
        <f t="shared" si="7"/>
        <v>440.18999999999994</v>
      </c>
      <c r="AD66" s="1" t="s">
        <v>2013</v>
      </c>
      <c r="AE66" s="1" t="str">
        <f t="shared" si="8"/>
        <v>2015</v>
      </c>
      <c r="AF66" s="1" t="str">
        <f t="shared" si="9"/>
        <v>135545</v>
      </c>
    </row>
    <row r="67" spans="1:32" x14ac:dyDescent="0.3">
      <c r="A67" s="1">
        <v>66</v>
      </c>
      <c r="B67" s="1" t="s">
        <v>287</v>
      </c>
      <c r="C67" s="2">
        <v>42332</v>
      </c>
      <c r="D67" s="2">
        <v>42338</v>
      </c>
      <c r="E67" s="1" t="s">
        <v>48</v>
      </c>
      <c r="F67" s="1" t="s">
        <v>288</v>
      </c>
      <c r="G67" s="1" t="s">
        <v>289</v>
      </c>
      <c r="H67" s="1" t="s">
        <v>24</v>
      </c>
      <c r="I67" s="1" t="s">
        <v>25</v>
      </c>
      <c r="J67" s="1" t="s">
        <v>40</v>
      </c>
      <c r="K67" s="1" t="s">
        <v>41</v>
      </c>
      <c r="L67" s="1">
        <v>90004</v>
      </c>
      <c r="M67" s="1" t="s">
        <v>42</v>
      </c>
      <c r="N67" s="1" t="s">
        <v>296</v>
      </c>
      <c r="O67" s="1" t="s">
        <v>30</v>
      </c>
      <c r="P67" s="1" t="s">
        <v>63</v>
      </c>
      <c r="Q67" s="1" t="s">
        <v>297</v>
      </c>
      <c r="R67" s="1">
        <v>79.760000000000005</v>
      </c>
      <c r="S67" s="1">
        <v>4</v>
      </c>
      <c r="T67" s="3">
        <v>0</v>
      </c>
      <c r="U67" s="4">
        <v>22.332799999999999</v>
      </c>
      <c r="V67" s="1" t="str">
        <f t="shared" si="10"/>
        <v>Standard Class</v>
      </c>
      <c r="W67" s="1" t="str">
        <f t="shared" si="11"/>
        <v>Consumer</v>
      </c>
      <c r="X67" s="1" t="str">
        <f t="shared" si="12"/>
        <v>Los Angeles - California</v>
      </c>
      <c r="Y67" s="1" t="str">
        <f t="shared" si="13"/>
        <v>Furnishings</v>
      </c>
      <c r="Z67" s="1">
        <f t="shared" si="14"/>
        <v>79.760000000000005</v>
      </c>
      <c r="AA67" s="1">
        <f t="shared" si="15"/>
        <v>79.760000000000005</v>
      </c>
      <c r="AB67" s="1">
        <f t="shared" si="16"/>
        <v>319.04000000000002</v>
      </c>
      <c r="AC67" s="4">
        <f t="shared" ref="AC67:AC130" si="17">AB67*(1-T67)</f>
        <v>319.04000000000002</v>
      </c>
      <c r="AD67" s="1" t="s">
        <v>2013</v>
      </c>
      <c r="AE67" s="1" t="str">
        <f t="shared" ref="AE67:AE130" si="18">MID(B67,4,4)</f>
        <v>2015</v>
      </c>
      <c r="AF67" s="1" t="str">
        <f t="shared" ref="AF67:AF130" si="19">RIGHT(B67,6)</f>
        <v>135545</v>
      </c>
    </row>
    <row r="68" spans="1:32" x14ac:dyDescent="0.3">
      <c r="A68" s="1">
        <v>67</v>
      </c>
      <c r="B68" s="1" t="s">
        <v>298</v>
      </c>
      <c r="C68" s="2">
        <v>42124</v>
      </c>
      <c r="D68" s="2">
        <v>42129</v>
      </c>
      <c r="E68" s="1" t="s">
        <v>48</v>
      </c>
      <c r="F68" s="1" t="s">
        <v>299</v>
      </c>
      <c r="G68" s="1" t="s">
        <v>300</v>
      </c>
      <c r="H68" s="1" t="s">
        <v>100</v>
      </c>
      <c r="I68" s="1" t="s">
        <v>25</v>
      </c>
      <c r="J68" s="1" t="s">
        <v>301</v>
      </c>
      <c r="K68" s="1" t="s">
        <v>209</v>
      </c>
      <c r="L68" s="1">
        <v>60610</v>
      </c>
      <c r="M68" s="1" t="s">
        <v>103</v>
      </c>
      <c r="N68" s="1" t="s">
        <v>302</v>
      </c>
      <c r="O68" s="1" t="s">
        <v>30</v>
      </c>
      <c r="P68" s="1" t="s">
        <v>34</v>
      </c>
      <c r="Q68" s="1" t="s">
        <v>303</v>
      </c>
      <c r="R68" s="1">
        <v>213.11500000000001</v>
      </c>
      <c r="S68" s="1">
        <v>5</v>
      </c>
      <c r="T68" s="3">
        <v>0.3</v>
      </c>
      <c r="U68" s="4">
        <v>-15.2225</v>
      </c>
      <c r="V68" s="1" t="str">
        <f t="shared" si="10"/>
        <v>Standard Class</v>
      </c>
      <c r="W68" s="1" t="str">
        <f t="shared" si="11"/>
        <v>Home Office</v>
      </c>
      <c r="X68" s="1" t="str">
        <f t="shared" si="12"/>
        <v>Chicago - Illinois</v>
      </c>
      <c r="Y68" s="1" t="str">
        <f t="shared" si="13"/>
        <v>Chairs</v>
      </c>
      <c r="Z68" s="1">
        <f t="shared" si="14"/>
        <v>213.11500000000001</v>
      </c>
      <c r="AA68" s="1">
        <f t="shared" si="15"/>
        <v>213.11500000000001</v>
      </c>
      <c r="AB68" s="1">
        <f t="shared" si="16"/>
        <v>1065.575</v>
      </c>
      <c r="AC68" s="4">
        <f t="shared" si="17"/>
        <v>745.90250000000003</v>
      </c>
      <c r="AD68" s="1" t="s">
        <v>2014</v>
      </c>
      <c r="AE68" s="1" t="str">
        <f t="shared" si="18"/>
        <v>2015</v>
      </c>
      <c r="AF68" s="1" t="str">
        <f t="shared" si="19"/>
        <v>164175</v>
      </c>
    </row>
    <row r="69" spans="1:32" x14ac:dyDescent="0.3">
      <c r="A69" s="1">
        <v>68</v>
      </c>
      <c r="B69" s="1" t="s">
        <v>304</v>
      </c>
      <c r="C69" s="2">
        <v>41978</v>
      </c>
      <c r="D69" s="2">
        <v>41983</v>
      </c>
      <c r="E69" s="1" t="s">
        <v>48</v>
      </c>
      <c r="F69" s="1" t="s">
        <v>305</v>
      </c>
      <c r="G69" s="1" t="s">
        <v>306</v>
      </c>
      <c r="H69" s="1" t="s">
        <v>39</v>
      </c>
      <c r="I69" s="1" t="s">
        <v>25</v>
      </c>
      <c r="J69" s="1" t="s">
        <v>307</v>
      </c>
      <c r="K69" s="1" t="s">
        <v>308</v>
      </c>
      <c r="L69" s="1">
        <v>85234</v>
      </c>
      <c r="M69" s="1" t="s">
        <v>42</v>
      </c>
      <c r="N69" s="1" t="s">
        <v>309</v>
      </c>
      <c r="O69" s="1" t="s">
        <v>44</v>
      </c>
      <c r="P69" s="1" t="s">
        <v>66</v>
      </c>
      <c r="Q69" s="1" t="s">
        <v>310</v>
      </c>
      <c r="R69" s="1">
        <v>1113.0239999999999</v>
      </c>
      <c r="S69" s="1">
        <v>8</v>
      </c>
      <c r="T69" s="3">
        <v>0.2</v>
      </c>
      <c r="U69" s="4">
        <v>111.30240000000001</v>
      </c>
      <c r="V69" s="1" t="str">
        <f t="shared" si="10"/>
        <v>Standard Class</v>
      </c>
      <c r="W69" s="1" t="str">
        <f t="shared" si="11"/>
        <v>Corporate</v>
      </c>
      <c r="X69" s="1" t="str">
        <f t="shared" si="12"/>
        <v>Gilbert - Arizona</v>
      </c>
      <c r="Y69" s="1" t="str">
        <f t="shared" si="13"/>
        <v>Art</v>
      </c>
      <c r="Z69" s="1">
        <f t="shared" si="14"/>
        <v>1113.0239999999999</v>
      </c>
      <c r="AA69" s="1">
        <f t="shared" si="15"/>
        <v>1113.0239999999999</v>
      </c>
      <c r="AB69" s="1">
        <f t="shared" si="16"/>
        <v>8904.1919999999991</v>
      </c>
      <c r="AC69" s="4">
        <f t="shared" si="17"/>
        <v>7123.3535999999995</v>
      </c>
      <c r="AD69" s="1" t="s">
        <v>2013</v>
      </c>
      <c r="AE69" s="1" t="str">
        <f t="shared" si="18"/>
        <v>2014</v>
      </c>
      <c r="AF69" s="1" t="str">
        <f t="shared" si="19"/>
        <v>106376</v>
      </c>
    </row>
    <row r="70" spans="1:32" x14ac:dyDescent="0.3">
      <c r="A70" s="1">
        <v>69</v>
      </c>
      <c r="B70" s="1" t="s">
        <v>304</v>
      </c>
      <c r="C70" s="2">
        <v>41978</v>
      </c>
      <c r="D70" s="2">
        <v>41983</v>
      </c>
      <c r="E70" s="1" t="s">
        <v>48</v>
      </c>
      <c r="F70" s="1" t="s">
        <v>305</v>
      </c>
      <c r="G70" s="1" t="s">
        <v>306</v>
      </c>
      <c r="H70" s="1" t="s">
        <v>39</v>
      </c>
      <c r="I70" s="1" t="s">
        <v>25</v>
      </c>
      <c r="J70" s="1" t="s">
        <v>307</v>
      </c>
      <c r="K70" s="1" t="s">
        <v>308</v>
      </c>
      <c r="L70" s="1">
        <v>85234</v>
      </c>
      <c r="M70" s="1" t="s">
        <v>42</v>
      </c>
      <c r="N70" s="1" t="s">
        <v>311</v>
      </c>
      <c r="O70" s="1" t="s">
        <v>69</v>
      </c>
      <c r="P70" s="1" t="s">
        <v>70</v>
      </c>
      <c r="Q70" s="1" t="s">
        <v>312</v>
      </c>
      <c r="R70" s="1">
        <v>167.96799999999999</v>
      </c>
      <c r="S70" s="1">
        <v>4</v>
      </c>
      <c r="T70" s="3">
        <v>0.2</v>
      </c>
      <c r="U70" s="4">
        <v>62.988</v>
      </c>
      <c r="V70" s="1" t="str">
        <f t="shared" si="10"/>
        <v>Standard Class</v>
      </c>
      <c r="W70" s="1" t="str">
        <f t="shared" si="11"/>
        <v>Corporate</v>
      </c>
      <c r="X70" s="1" t="str">
        <f t="shared" si="12"/>
        <v>Gilbert - Arizona</v>
      </c>
      <c r="Y70" s="1" t="str">
        <f t="shared" si="13"/>
        <v>Phones</v>
      </c>
      <c r="Z70" s="1">
        <f t="shared" si="14"/>
        <v>167.96799999999999</v>
      </c>
      <c r="AA70" s="1">
        <f t="shared" si="15"/>
        <v>167.96799999999999</v>
      </c>
      <c r="AB70" s="1">
        <f t="shared" si="16"/>
        <v>671.87199999999996</v>
      </c>
      <c r="AC70" s="4">
        <f t="shared" si="17"/>
        <v>537.49760000000003</v>
      </c>
      <c r="AD70" s="1" t="s">
        <v>2013</v>
      </c>
      <c r="AE70" s="1" t="str">
        <f t="shared" si="18"/>
        <v>2014</v>
      </c>
      <c r="AF70" s="1" t="str">
        <f t="shared" si="19"/>
        <v>106376</v>
      </c>
    </row>
    <row r="71" spans="1:32" x14ac:dyDescent="0.3">
      <c r="A71" s="1">
        <v>70</v>
      </c>
      <c r="B71" s="1" t="s">
        <v>313</v>
      </c>
      <c r="C71" s="2">
        <v>42525</v>
      </c>
      <c r="D71" s="2">
        <v>42527</v>
      </c>
      <c r="E71" s="1" t="s">
        <v>186</v>
      </c>
      <c r="F71" s="1" t="s">
        <v>314</v>
      </c>
      <c r="G71" s="1" t="s">
        <v>315</v>
      </c>
      <c r="H71" s="1" t="s">
        <v>24</v>
      </c>
      <c r="I71" s="1" t="s">
        <v>25</v>
      </c>
      <c r="J71" s="1" t="s">
        <v>316</v>
      </c>
      <c r="K71" s="1" t="s">
        <v>317</v>
      </c>
      <c r="L71" s="1">
        <v>22153</v>
      </c>
      <c r="M71" s="1" t="s">
        <v>28</v>
      </c>
      <c r="N71" s="1" t="s">
        <v>318</v>
      </c>
      <c r="O71" s="1" t="s">
        <v>44</v>
      </c>
      <c r="P71" s="1" t="s">
        <v>88</v>
      </c>
      <c r="Q71" s="1" t="s">
        <v>319</v>
      </c>
      <c r="R71" s="1">
        <v>75.88</v>
      </c>
      <c r="S71" s="1">
        <v>2</v>
      </c>
      <c r="T71" s="3">
        <v>0</v>
      </c>
      <c r="U71" s="4">
        <v>35.663600000000002</v>
      </c>
      <c r="V71" s="1" t="str">
        <f t="shared" si="10"/>
        <v>First Class</v>
      </c>
      <c r="W71" s="1" t="str">
        <f t="shared" si="11"/>
        <v>Consumer</v>
      </c>
      <c r="X71" s="1" t="str">
        <f t="shared" si="12"/>
        <v>Springfield - Virginia</v>
      </c>
      <c r="Y71" s="1" t="str">
        <f t="shared" si="13"/>
        <v>Paper</v>
      </c>
      <c r="Z71" s="1">
        <f t="shared" si="14"/>
        <v>75.88</v>
      </c>
      <c r="AA71" s="1">
        <f t="shared" si="15"/>
        <v>75.88</v>
      </c>
      <c r="AB71" s="1">
        <f t="shared" si="16"/>
        <v>151.76</v>
      </c>
      <c r="AC71" s="4">
        <f t="shared" si="17"/>
        <v>151.76</v>
      </c>
      <c r="AD71" s="1" t="s">
        <v>2013</v>
      </c>
      <c r="AE71" s="1" t="str">
        <f t="shared" si="18"/>
        <v>2016</v>
      </c>
      <c r="AF71" s="1" t="str">
        <f t="shared" si="19"/>
        <v>119823</v>
      </c>
    </row>
    <row r="72" spans="1:32" x14ac:dyDescent="0.3">
      <c r="A72" s="1">
        <v>71</v>
      </c>
      <c r="B72" s="1" t="s">
        <v>320</v>
      </c>
      <c r="C72" s="2">
        <v>42631</v>
      </c>
      <c r="D72" s="2">
        <v>42636</v>
      </c>
      <c r="E72" s="1" t="s">
        <v>48</v>
      </c>
      <c r="F72" s="1" t="s">
        <v>321</v>
      </c>
      <c r="G72" s="1" t="s">
        <v>322</v>
      </c>
      <c r="H72" s="1" t="s">
        <v>24</v>
      </c>
      <c r="I72" s="1" t="s">
        <v>25</v>
      </c>
      <c r="J72" s="1" t="s">
        <v>264</v>
      </c>
      <c r="K72" s="1" t="s">
        <v>265</v>
      </c>
      <c r="L72" s="1">
        <v>10009</v>
      </c>
      <c r="M72" s="1" t="s">
        <v>146</v>
      </c>
      <c r="N72" s="1" t="s">
        <v>323</v>
      </c>
      <c r="O72" s="1" t="s">
        <v>44</v>
      </c>
      <c r="P72" s="1" t="s">
        <v>73</v>
      </c>
      <c r="Q72" s="1" t="s">
        <v>324</v>
      </c>
      <c r="R72" s="1">
        <v>4.6159999999999997</v>
      </c>
      <c r="S72" s="1">
        <v>1</v>
      </c>
      <c r="T72" s="3">
        <v>0.2</v>
      </c>
      <c r="U72" s="4">
        <v>1.7310000000000001</v>
      </c>
      <c r="V72" s="1" t="str">
        <f t="shared" si="10"/>
        <v>Standard Class</v>
      </c>
      <c r="W72" s="1" t="str">
        <f t="shared" si="11"/>
        <v>Consumer</v>
      </c>
      <c r="X72" s="1" t="str">
        <f t="shared" si="12"/>
        <v>New York City - New York</v>
      </c>
      <c r="Y72" s="1" t="str">
        <f t="shared" si="13"/>
        <v>Binders</v>
      </c>
      <c r="Z72" s="1">
        <f t="shared" si="14"/>
        <v>4.6159999999999997</v>
      </c>
      <c r="AA72" s="1">
        <f t="shared" si="15"/>
        <v>4.6159999999999997</v>
      </c>
      <c r="AB72" s="1">
        <f t="shared" si="16"/>
        <v>4.6159999999999997</v>
      </c>
      <c r="AC72" s="4">
        <f t="shared" si="17"/>
        <v>3.6928000000000001</v>
      </c>
      <c r="AD72" s="1" t="s">
        <v>2013</v>
      </c>
      <c r="AE72" s="1" t="str">
        <f t="shared" si="18"/>
        <v>2016</v>
      </c>
      <c r="AF72" s="1" t="str">
        <f t="shared" si="19"/>
        <v>106075</v>
      </c>
    </row>
    <row r="73" spans="1:32" x14ac:dyDescent="0.3">
      <c r="A73" s="1">
        <v>72</v>
      </c>
      <c r="B73" s="1" t="s">
        <v>325</v>
      </c>
      <c r="C73" s="2">
        <v>42992</v>
      </c>
      <c r="D73" s="2">
        <v>42995</v>
      </c>
      <c r="E73" s="1" t="s">
        <v>21</v>
      </c>
      <c r="F73" s="1" t="s">
        <v>162</v>
      </c>
      <c r="G73" s="1" t="s">
        <v>163</v>
      </c>
      <c r="H73" s="1" t="s">
        <v>24</v>
      </c>
      <c r="I73" s="1" t="s">
        <v>25</v>
      </c>
      <c r="J73" s="1" t="s">
        <v>326</v>
      </c>
      <c r="K73" s="1" t="s">
        <v>236</v>
      </c>
      <c r="L73" s="1">
        <v>49201</v>
      </c>
      <c r="M73" s="1" t="s">
        <v>103</v>
      </c>
      <c r="N73" s="1" t="s">
        <v>327</v>
      </c>
      <c r="O73" s="1" t="s">
        <v>44</v>
      </c>
      <c r="P73" s="1" t="s">
        <v>88</v>
      </c>
      <c r="Q73" s="1" t="s">
        <v>328</v>
      </c>
      <c r="R73" s="1">
        <v>19.05</v>
      </c>
      <c r="S73" s="1">
        <v>3</v>
      </c>
      <c r="T73" s="3">
        <v>0</v>
      </c>
      <c r="U73" s="4">
        <v>8.7629999999999999</v>
      </c>
      <c r="V73" s="1" t="str">
        <f t="shared" si="10"/>
        <v>Second Class</v>
      </c>
      <c r="W73" s="1" t="str">
        <f t="shared" si="11"/>
        <v>Consumer</v>
      </c>
      <c r="X73" s="1" t="str">
        <f t="shared" si="12"/>
        <v>Jackson - Michigan</v>
      </c>
      <c r="Y73" s="1" t="str">
        <f t="shared" si="13"/>
        <v>Paper</v>
      </c>
      <c r="Z73" s="1">
        <f t="shared" si="14"/>
        <v>19.05</v>
      </c>
      <c r="AA73" s="1">
        <f t="shared" si="15"/>
        <v>19.05</v>
      </c>
      <c r="AB73" s="1">
        <f t="shared" si="16"/>
        <v>57.150000000000006</v>
      </c>
      <c r="AC73" s="4">
        <f t="shared" si="17"/>
        <v>57.150000000000006</v>
      </c>
      <c r="AD73" s="1" t="s">
        <v>2013</v>
      </c>
      <c r="AE73" s="1" t="str">
        <f t="shared" si="18"/>
        <v>2017</v>
      </c>
      <c r="AF73" s="1" t="str">
        <f t="shared" si="19"/>
        <v>114440</v>
      </c>
    </row>
    <row r="74" spans="1:32" x14ac:dyDescent="0.3">
      <c r="A74" s="1">
        <v>73</v>
      </c>
      <c r="B74" s="1" t="s">
        <v>329</v>
      </c>
      <c r="C74" s="2">
        <v>42120</v>
      </c>
      <c r="D74" s="2">
        <v>42126</v>
      </c>
      <c r="E74" s="1" t="s">
        <v>48</v>
      </c>
      <c r="F74" s="1" t="s">
        <v>330</v>
      </c>
      <c r="G74" s="1" t="s">
        <v>331</v>
      </c>
      <c r="H74" s="1" t="s">
        <v>24</v>
      </c>
      <c r="I74" s="1" t="s">
        <v>25</v>
      </c>
      <c r="J74" s="1" t="s">
        <v>332</v>
      </c>
      <c r="K74" s="1" t="s">
        <v>333</v>
      </c>
      <c r="L74" s="1">
        <v>38109</v>
      </c>
      <c r="M74" s="1" t="s">
        <v>28</v>
      </c>
      <c r="N74" s="1" t="s">
        <v>334</v>
      </c>
      <c r="O74" s="1" t="s">
        <v>30</v>
      </c>
      <c r="P74" s="1" t="s">
        <v>34</v>
      </c>
      <c r="Q74" s="1" t="s">
        <v>335</v>
      </c>
      <c r="R74" s="1">
        <v>831.93600000000004</v>
      </c>
      <c r="S74" s="1">
        <v>8</v>
      </c>
      <c r="T74" s="3">
        <v>0.2</v>
      </c>
      <c r="U74" s="4">
        <v>-114.3912</v>
      </c>
      <c r="V74" s="1" t="str">
        <f t="shared" si="10"/>
        <v>Standard Class</v>
      </c>
      <c r="W74" s="1" t="str">
        <f t="shared" si="11"/>
        <v>Consumer</v>
      </c>
      <c r="X74" s="1" t="str">
        <f t="shared" si="12"/>
        <v>Memphis - Tennessee</v>
      </c>
      <c r="Y74" s="1" t="str">
        <f t="shared" si="13"/>
        <v>Chairs</v>
      </c>
      <c r="Z74" s="1">
        <f t="shared" si="14"/>
        <v>831.93600000000004</v>
      </c>
      <c r="AA74" s="1">
        <f t="shared" si="15"/>
        <v>831.93600000000004</v>
      </c>
      <c r="AB74" s="1">
        <f t="shared" si="16"/>
        <v>6655.4880000000003</v>
      </c>
      <c r="AC74" s="4">
        <f t="shared" si="17"/>
        <v>5324.3904000000002</v>
      </c>
      <c r="AD74" s="1" t="s">
        <v>2014</v>
      </c>
      <c r="AE74" s="1" t="str">
        <f t="shared" si="18"/>
        <v>2015</v>
      </c>
      <c r="AF74" s="1" t="str">
        <f t="shared" si="19"/>
        <v>134026</v>
      </c>
    </row>
    <row r="75" spans="1:32" x14ac:dyDescent="0.3">
      <c r="A75" s="1">
        <v>74</v>
      </c>
      <c r="B75" s="1" t="s">
        <v>329</v>
      </c>
      <c r="C75" s="2">
        <v>42120</v>
      </c>
      <c r="D75" s="2">
        <v>42126</v>
      </c>
      <c r="E75" s="1" t="s">
        <v>48</v>
      </c>
      <c r="F75" s="1" t="s">
        <v>330</v>
      </c>
      <c r="G75" s="1" t="s">
        <v>331</v>
      </c>
      <c r="H75" s="1" t="s">
        <v>24</v>
      </c>
      <c r="I75" s="1" t="s">
        <v>25</v>
      </c>
      <c r="J75" s="1" t="s">
        <v>332</v>
      </c>
      <c r="K75" s="1" t="s">
        <v>333</v>
      </c>
      <c r="L75" s="1">
        <v>38109</v>
      </c>
      <c r="M75" s="1" t="s">
        <v>28</v>
      </c>
      <c r="N75" s="1" t="s">
        <v>336</v>
      </c>
      <c r="O75" s="1" t="s">
        <v>30</v>
      </c>
      <c r="P75" s="1" t="s">
        <v>63</v>
      </c>
      <c r="Q75" s="1" t="s">
        <v>337</v>
      </c>
      <c r="R75" s="1">
        <v>97.04</v>
      </c>
      <c r="S75" s="1">
        <v>2</v>
      </c>
      <c r="T75" s="3">
        <v>0.2</v>
      </c>
      <c r="U75" s="4">
        <v>1.2130000000000001</v>
      </c>
      <c r="V75" s="1" t="str">
        <f t="shared" si="10"/>
        <v>Standard Class</v>
      </c>
      <c r="W75" s="1" t="str">
        <f t="shared" si="11"/>
        <v>Consumer</v>
      </c>
      <c r="X75" s="1" t="str">
        <f t="shared" si="12"/>
        <v>Memphis - Tennessee</v>
      </c>
      <c r="Y75" s="1" t="str">
        <f t="shared" si="13"/>
        <v>Furnishings</v>
      </c>
      <c r="Z75" s="1">
        <f t="shared" si="14"/>
        <v>97.04</v>
      </c>
      <c r="AA75" s="1">
        <f t="shared" si="15"/>
        <v>97.04</v>
      </c>
      <c r="AB75" s="1">
        <f t="shared" si="16"/>
        <v>194.08</v>
      </c>
      <c r="AC75" s="4">
        <f t="shared" si="17"/>
        <v>155.26400000000001</v>
      </c>
      <c r="AD75" s="1" t="s">
        <v>2014</v>
      </c>
      <c r="AE75" s="1" t="str">
        <f t="shared" si="18"/>
        <v>2015</v>
      </c>
      <c r="AF75" s="1" t="str">
        <f t="shared" si="19"/>
        <v>134026</v>
      </c>
    </row>
    <row r="76" spans="1:32" x14ac:dyDescent="0.3">
      <c r="A76" s="1">
        <v>75</v>
      </c>
      <c r="B76" s="1" t="s">
        <v>329</v>
      </c>
      <c r="C76" s="2">
        <v>42120</v>
      </c>
      <c r="D76" s="2">
        <v>42126</v>
      </c>
      <c r="E76" s="1" t="s">
        <v>48</v>
      </c>
      <c r="F76" s="1" t="s">
        <v>330</v>
      </c>
      <c r="G76" s="1" t="s">
        <v>331</v>
      </c>
      <c r="H76" s="1" t="s">
        <v>24</v>
      </c>
      <c r="I76" s="1" t="s">
        <v>25</v>
      </c>
      <c r="J76" s="1" t="s">
        <v>332</v>
      </c>
      <c r="K76" s="1" t="s">
        <v>333</v>
      </c>
      <c r="L76" s="1">
        <v>38109</v>
      </c>
      <c r="M76" s="1" t="s">
        <v>28</v>
      </c>
      <c r="N76" s="1" t="s">
        <v>338</v>
      </c>
      <c r="O76" s="1" t="s">
        <v>44</v>
      </c>
      <c r="P76" s="1" t="s">
        <v>57</v>
      </c>
      <c r="Q76" s="1" t="s">
        <v>339</v>
      </c>
      <c r="R76" s="1">
        <v>72.784000000000006</v>
      </c>
      <c r="S76" s="1">
        <v>1</v>
      </c>
      <c r="T76" s="3">
        <v>0.2</v>
      </c>
      <c r="U76" s="4">
        <v>-18.196000000000002</v>
      </c>
      <c r="V76" s="1" t="str">
        <f t="shared" si="10"/>
        <v>Standard Class</v>
      </c>
      <c r="W76" s="1" t="str">
        <f t="shared" si="11"/>
        <v>Consumer</v>
      </c>
      <c r="X76" s="1" t="str">
        <f t="shared" si="12"/>
        <v>Memphis - Tennessee</v>
      </c>
      <c r="Y76" s="1" t="str">
        <f t="shared" si="13"/>
        <v>Storage</v>
      </c>
      <c r="Z76" s="1">
        <f t="shared" si="14"/>
        <v>72.784000000000006</v>
      </c>
      <c r="AA76" s="1">
        <f t="shared" si="15"/>
        <v>72.784000000000006</v>
      </c>
      <c r="AB76" s="1">
        <f t="shared" si="16"/>
        <v>72.784000000000006</v>
      </c>
      <c r="AC76" s="4">
        <f t="shared" si="17"/>
        <v>58.227200000000011</v>
      </c>
      <c r="AD76" s="1" t="s">
        <v>2014</v>
      </c>
      <c r="AE76" s="1" t="str">
        <f t="shared" si="18"/>
        <v>2015</v>
      </c>
      <c r="AF76" s="1" t="str">
        <f t="shared" si="19"/>
        <v>134026</v>
      </c>
    </row>
    <row r="77" spans="1:32" x14ac:dyDescent="0.3">
      <c r="A77" s="1">
        <v>76</v>
      </c>
      <c r="B77" s="1" t="s">
        <v>340</v>
      </c>
      <c r="C77" s="2">
        <v>43078</v>
      </c>
      <c r="D77" s="2">
        <v>43080</v>
      </c>
      <c r="E77" s="1" t="s">
        <v>186</v>
      </c>
      <c r="F77" s="1" t="s">
        <v>341</v>
      </c>
      <c r="G77" s="1" t="s">
        <v>342</v>
      </c>
      <c r="H77" s="1" t="s">
        <v>39</v>
      </c>
      <c r="I77" s="1" t="s">
        <v>25</v>
      </c>
      <c r="J77" s="1" t="s">
        <v>182</v>
      </c>
      <c r="K77" s="1" t="s">
        <v>102</v>
      </c>
      <c r="L77" s="1">
        <v>77041</v>
      </c>
      <c r="M77" s="1" t="s">
        <v>103</v>
      </c>
      <c r="N77" s="1" t="s">
        <v>343</v>
      </c>
      <c r="O77" s="1" t="s">
        <v>44</v>
      </c>
      <c r="P77" s="1" t="s">
        <v>73</v>
      </c>
      <c r="Q77" s="1" t="s">
        <v>344</v>
      </c>
      <c r="R77" s="1">
        <v>1.248</v>
      </c>
      <c r="S77" s="1">
        <v>3</v>
      </c>
      <c r="T77" s="3">
        <v>0.8</v>
      </c>
      <c r="U77" s="4">
        <v>-1.9343999999999999</v>
      </c>
      <c r="V77" s="1" t="str">
        <f t="shared" si="10"/>
        <v>First Class</v>
      </c>
      <c r="W77" s="1" t="str">
        <f t="shared" si="11"/>
        <v>Corporate</v>
      </c>
      <c r="X77" s="1" t="str">
        <f t="shared" si="12"/>
        <v>Houston - Texas</v>
      </c>
      <c r="Y77" s="1" t="str">
        <f t="shared" si="13"/>
        <v>Binders</v>
      </c>
      <c r="Z77" s="1">
        <f t="shared" si="14"/>
        <v>1.248</v>
      </c>
      <c r="AA77" s="1">
        <f t="shared" si="15"/>
        <v>1.248</v>
      </c>
      <c r="AB77" s="1">
        <f t="shared" si="16"/>
        <v>3.7439999999999998</v>
      </c>
      <c r="AC77" s="4">
        <f t="shared" si="17"/>
        <v>0.7487999999999998</v>
      </c>
      <c r="AD77" s="1" t="s">
        <v>2014</v>
      </c>
      <c r="AE77" s="1" t="str">
        <f t="shared" si="18"/>
        <v>2017</v>
      </c>
      <c r="AF77" s="1" t="str">
        <f t="shared" si="19"/>
        <v>118038</v>
      </c>
    </row>
    <row r="78" spans="1:32" x14ac:dyDescent="0.3">
      <c r="A78" s="1">
        <v>77</v>
      </c>
      <c r="B78" s="1" t="s">
        <v>340</v>
      </c>
      <c r="C78" s="2">
        <v>43078</v>
      </c>
      <c r="D78" s="2">
        <v>43080</v>
      </c>
      <c r="E78" s="1" t="s">
        <v>186</v>
      </c>
      <c r="F78" s="1" t="s">
        <v>341</v>
      </c>
      <c r="G78" s="1" t="s">
        <v>342</v>
      </c>
      <c r="H78" s="1" t="s">
        <v>39</v>
      </c>
      <c r="I78" s="1" t="s">
        <v>25</v>
      </c>
      <c r="J78" s="1" t="s">
        <v>182</v>
      </c>
      <c r="K78" s="1" t="s">
        <v>102</v>
      </c>
      <c r="L78" s="1">
        <v>77041</v>
      </c>
      <c r="M78" s="1" t="s">
        <v>103</v>
      </c>
      <c r="N78" s="1" t="s">
        <v>345</v>
      </c>
      <c r="O78" s="1" t="s">
        <v>30</v>
      </c>
      <c r="P78" s="1" t="s">
        <v>63</v>
      </c>
      <c r="Q78" s="1" t="s">
        <v>346</v>
      </c>
      <c r="R78" s="1">
        <v>9.7080000000000002</v>
      </c>
      <c r="S78" s="1">
        <v>3</v>
      </c>
      <c r="T78" s="3">
        <v>0.6</v>
      </c>
      <c r="U78" s="4">
        <v>-5.8247999999999998</v>
      </c>
      <c r="V78" s="1" t="str">
        <f t="shared" si="10"/>
        <v>First Class</v>
      </c>
      <c r="W78" s="1" t="str">
        <f t="shared" si="11"/>
        <v>Corporate</v>
      </c>
      <c r="X78" s="1" t="str">
        <f t="shared" si="12"/>
        <v>Houston - Texas</v>
      </c>
      <c r="Y78" s="1" t="str">
        <f t="shared" si="13"/>
        <v>Furnishings</v>
      </c>
      <c r="Z78" s="1">
        <f t="shared" si="14"/>
        <v>9.7080000000000002</v>
      </c>
      <c r="AA78" s="1">
        <f t="shared" si="15"/>
        <v>9.7080000000000002</v>
      </c>
      <c r="AB78" s="1">
        <f t="shared" si="16"/>
        <v>29.124000000000002</v>
      </c>
      <c r="AC78" s="4">
        <f t="shared" si="17"/>
        <v>11.649600000000001</v>
      </c>
      <c r="AD78" s="1" t="s">
        <v>2014</v>
      </c>
      <c r="AE78" s="1" t="str">
        <f t="shared" si="18"/>
        <v>2017</v>
      </c>
      <c r="AF78" s="1" t="str">
        <f t="shared" si="19"/>
        <v>118038</v>
      </c>
    </row>
    <row r="79" spans="1:32" x14ac:dyDescent="0.3">
      <c r="A79" s="1">
        <v>78</v>
      </c>
      <c r="B79" s="1" t="s">
        <v>340</v>
      </c>
      <c r="C79" s="2">
        <v>43078</v>
      </c>
      <c r="D79" s="2">
        <v>43080</v>
      </c>
      <c r="E79" s="1"/>
      <c r="F79" s="1" t="s">
        <v>341</v>
      </c>
      <c r="G79" s="1" t="s">
        <v>342</v>
      </c>
      <c r="H79" s="1" t="s">
        <v>39</v>
      </c>
      <c r="I79" s="1" t="s">
        <v>25</v>
      </c>
      <c r="J79" s="1" t="s">
        <v>182</v>
      </c>
      <c r="K79" s="1" t="s">
        <v>102</v>
      </c>
      <c r="L79" s="1">
        <v>77041</v>
      </c>
      <c r="M79" s="1" t="s">
        <v>103</v>
      </c>
      <c r="N79" s="1" t="s">
        <v>347</v>
      </c>
      <c r="O79" s="1" t="s">
        <v>44</v>
      </c>
      <c r="P79" s="1" t="s">
        <v>57</v>
      </c>
      <c r="Q79" s="1" t="s">
        <v>348</v>
      </c>
      <c r="R79" s="1">
        <v>27.24</v>
      </c>
      <c r="S79" s="1">
        <v>3</v>
      </c>
      <c r="T79" s="3">
        <v>0.2</v>
      </c>
      <c r="U79" s="4">
        <v>2.7240000000000002</v>
      </c>
      <c r="V79" s="1" t="str">
        <f t="shared" si="10"/>
        <v>UNKNOWN</v>
      </c>
      <c r="W79" s="1" t="str">
        <f t="shared" si="11"/>
        <v>Corporate</v>
      </c>
      <c r="X79" s="1" t="str">
        <f t="shared" si="12"/>
        <v>Houston - Texas</v>
      </c>
      <c r="Y79" s="1" t="str">
        <f t="shared" si="13"/>
        <v>Storage</v>
      </c>
      <c r="Z79" s="1">
        <f t="shared" si="14"/>
        <v>27.24</v>
      </c>
      <c r="AA79" s="1">
        <f t="shared" si="15"/>
        <v>27.24</v>
      </c>
      <c r="AB79" s="1">
        <f t="shared" si="16"/>
        <v>81.72</v>
      </c>
      <c r="AC79" s="4">
        <f t="shared" si="17"/>
        <v>65.376000000000005</v>
      </c>
      <c r="AD79" s="1" t="s">
        <v>2014</v>
      </c>
      <c r="AE79" s="1" t="str">
        <f t="shared" si="18"/>
        <v>2017</v>
      </c>
      <c r="AF79" s="1" t="str">
        <f t="shared" si="19"/>
        <v>118038</v>
      </c>
    </row>
    <row r="80" spans="1:32" x14ac:dyDescent="0.3">
      <c r="A80" s="1">
        <v>79</v>
      </c>
      <c r="B80" s="1" t="s">
        <v>349</v>
      </c>
      <c r="C80" s="2">
        <v>41969</v>
      </c>
      <c r="D80" s="2">
        <v>41974</v>
      </c>
      <c r="E80" s="1" t="s">
        <v>21</v>
      </c>
      <c r="F80" s="1" t="s">
        <v>330</v>
      </c>
      <c r="G80" s="1" t="s">
        <v>331</v>
      </c>
      <c r="H80" s="1" t="s">
        <v>24</v>
      </c>
      <c r="I80" s="1" t="s">
        <v>25</v>
      </c>
      <c r="J80" s="1" t="s">
        <v>182</v>
      </c>
      <c r="K80" s="1" t="s">
        <v>102</v>
      </c>
      <c r="L80" s="1">
        <v>77070</v>
      </c>
      <c r="M80" s="1" t="s">
        <v>103</v>
      </c>
      <c r="N80" s="1" t="s">
        <v>350</v>
      </c>
      <c r="O80" s="1" t="s">
        <v>30</v>
      </c>
      <c r="P80" s="1" t="s">
        <v>63</v>
      </c>
      <c r="Q80" s="1" t="s">
        <v>351</v>
      </c>
      <c r="R80" s="1">
        <v>19.3</v>
      </c>
      <c r="S80" s="1">
        <v>5</v>
      </c>
      <c r="T80" s="3">
        <v>0.6</v>
      </c>
      <c r="U80" s="4">
        <v>-14.475</v>
      </c>
      <c r="V80" s="1" t="str">
        <f t="shared" si="10"/>
        <v>Second Class</v>
      </c>
      <c r="W80" s="1" t="str">
        <f t="shared" si="11"/>
        <v>Consumer</v>
      </c>
      <c r="X80" s="1" t="str">
        <f t="shared" si="12"/>
        <v>Houston - Texas</v>
      </c>
      <c r="Y80" s="1" t="str">
        <f t="shared" si="13"/>
        <v>Furnishings</v>
      </c>
      <c r="Z80" s="1">
        <f t="shared" si="14"/>
        <v>19.3</v>
      </c>
      <c r="AA80" s="1">
        <f t="shared" si="15"/>
        <v>19.3</v>
      </c>
      <c r="AB80" s="1">
        <f t="shared" si="16"/>
        <v>96.5</v>
      </c>
      <c r="AC80" s="4">
        <f t="shared" si="17"/>
        <v>38.6</v>
      </c>
      <c r="AD80" s="1" t="s">
        <v>2014</v>
      </c>
      <c r="AE80" s="1" t="str">
        <f t="shared" si="18"/>
        <v>2014</v>
      </c>
      <c r="AF80" s="1" t="str">
        <f t="shared" si="19"/>
        <v>147606</v>
      </c>
    </row>
    <row r="81" spans="1:32" x14ac:dyDescent="0.3">
      <c r="A81" s="1">
        <v>80</v>
      </c>
      <c r="B81" s="1" t="s">
        <v>352</v>
      </c>
      <c r="C81" s="2">
        <v>42533</v>
      </c>
      <c r="D81" s="2">
        <v>42536</v>
      </c>
      <c r="E81" s="1" t="s">
        <v>186</v>
      </c>
      <c r="F81" s="1" t="s">
        <v>353</v>
      </c>
      <c r="G81" s="1" t="s">
        <v>354</v>
      </c>
      <c r="H81" s="1" t="s">
        <v>39</v>
      </c>
      <c r="I81" s="1" t="s">
        <v>25</v>
      </c>
      <c r="J81" s="1" t="s">
        <v>355</v>
      </c>
      <c r="K81" s="1" t="s">
        <v>356</v>
      </c>
      <c r="L81" s="1">
        <v>35601</v>
      </c>
      <c r="M81" s="1" t="s">
        <v>28</v>
      </c>
      <c r="N81" s="1" t="s">
        <v>357</v>
      </c>
      <c r="O81" s="1" t="s">
        <v>44</v>
      </c>
      <c r="P81" s="1" t="s">
        <v>76</v>
      </c>
      <c r="Q81" s="1" t="s">
        <v>358</v>
      </c>
      <c r="R81" s="1">
        <v>208.16</v>
      </c>
      <c r="S81" s="1">
        <v>1</v>
      </c>
      <c r="T81" s="3">
        <v>0</v>
      </c>
      <c r="U81" s="4">
        <v>56.203200000000002</v>
      </c>
      <c r="V81" s="1" t="str">
        <f t="shared" si="10"/>
        <v>First Class</v>
      </c>
      <c r="W81" s="1" t="str">
        <f t="shared" si="11"/>
        <v>Corporate</v>
      </c>
      <c r="X81" s="1" t="str">
        <f t="shared" si="12"/>
        <v>Decatur - Alabama</v>
      </c>
      <c r="Y81" s="1" t="str">
        <f t="shared" si="13"/>
        <v>Appliances</v>
      </c>
      <c r="Z81" s="1">
        <f t="shared" si="14"/>
        <v>208.16</v>
      </c>
      <c r="AA81" s="1">
        <f t="shared" si="15"/>
        <v>208.16</v>
      </c>
      <c r="AB81" s="1">
        <f t="shared" si="16"/>
        <v>208.16</v>
      </c>
      <c r="AC81" s="4">
        <f t="shared" si="17"/>
        <v>208.16</v>
      </c>
      <c r="AD81" s="1" t="s">
        <v>2013</v>
      </c>
      <c r="AE81" s="1" t="str">
        <f t="shared" si="18"/>
        <v>2016</v>
      </c>
      <c r="AF81" s="1" t="str">
        <f t="shared" si="19"/>
        <v>127208</v>
      </c>
    </row>
    <row r="82" spans="1:32" x14ac:dyDescent="0.3">
      <c r="A82" s="1">
        <v>81</v>
      </c>
      <c r="B82" s="1" t="s">
        <v>352</v>
      </c>
      <c r="C82" s="2">
        <v>42533</v>
      </c>
      <c r="D82" s="2">
        <v>42536</v>
      </c>
      <c r="E82" s="1" t="s">
        <v>186</v>
      </c>
      <c r="F82" s="1" t="s">
        <v>353</v>
      </c>
      <c r="G82" s="1" t="s">
        <v>354</v>
      </c>
      <c r="H82" s="1" t="s">
        <v>39</v>
      </c>
      <c r="I82" s="1" t="s">
        <v>25</v>
      </c>
      <c r="J82" s="1" t="s">
        <v>355</v>
      </c>
      <c r="K82" s="1" t="s">
        <v>356</v>
      </c>
      <c r="L82" s="1">
        <v>35601</v>
      </c>
      <c r="M82" s="1" t="s">
        <v>28</v>
      </c>
      <c r="N82" s="1" t="s">
        <v>359</v>
      </c>
      <c r="O82" s="1" t="s">
        <v>44</v>
      </c>
      <c r="P82" s="1" t="s">
        <v>73</v>
      </c>
      <c r="Q82" s="1" t="s">
        <v>360</v>
      </c>
      <c r="R82" s="1">
        <v>16.739999999999998</v>
      </c>
      <c r="S82" s="1">
        <v>3</v>
      </c>
      <c r="T82" s="3">
        <v>0</v>
      </c>
      <c r="U82" s="4">
        <v>8.0351999999999997</v>
      </c>
      <c r="V82" s="1" t="str">
        <f t="shared" si="10"/>
        <v>First Class</v>
      </c>
      <c r="W82" s="1" t="str">
        <f t="shared" si="11"/>
        <v>Corporate</v>
      </c>
      <c r="X82" s="1" t="str">
        <f t="shared" si="12"/>
        <v>Decatur - Alabama</v>
      </c>
      <c r="Y82" s="1" t="str">
        <f t="shared" si="13"/>
        <v>Binders</v>
      </c>
      <c r="Z82" s="1">
        <f t="shared" si="14"/>
        <v>16.739999999999998</v>
      </c>
      <c r="AA82" s="1">
        <f t="shared" si="15"/>
        <v>16.739999999999998</v>
      </c>
      <c r="AB82" s="1">
        <f t="shared" si="16"/>
        <v>50.22</v>
      </c>
      <c r="AC82" s="4">
        <f t="shared" si="17"/>
        <v>50.22</v>
      </c>
      <c r="AD82" s="1" t="s">
        <v>2013</v>
      </c>
      <c r="AE82" s="1" t="str">
        <f t="shared" si="18"/>
        <v>2016</v>
      </c>
      <c r="AF82" s="1" t="str">
        <f t="shared" si="19"/>
        <v>127208</v>
      </c>
    </row>
    <row r="83" spans="1:32" x14ac:dyDescent="0.3">
      <c r="A83" s="1">
        <v>82</v>
      </c>
      <c r="B83" s="1" t="s">
        <v>361</v>
      </c>
      <c r="C83" s="2">
        <v>41924</v>
      </c>
      <c r="D83" s="2">
        <v>41928</v>
      </c>
      <c r="E83" s="1" t="s">
        <v>48</v>
      </c>
      <c r="F83" s="1" t="s">
        <v>362</v>
      </c>
      <c r="G83" s="1" t="s">
        <v>363</v>
      </c>
      <c r="H83" s="1" t="s">
        <v>24</v>
      </c>
      <c r="I83" s="1" t="s">
        <v>25</v>
      </c>
      <c r="J83" s="1" t="s">
        <v>125</v>
      </c>
      <c r="K83" s="1" t="s">
        <v>41</v>
      </c>
      <c r="L83" s="1">
        <v>94122</v>
      </c>
      <c r="M83" s="1" t="s">
        <v>42</v>
      </c>
      <c r="N83" s="1" t="s">
        <v>364</v>
      </c>
      <c r="O83" s="1" t="s">
        <v>44</v>
      </c>
      <c r="P83" s="1" t="s">
        <v>66</v>
      </c>
      <c r="Q83" s="1" t="s">
        <v>365</v>
      </c>
      <c r="R83" s="1">
        <v>14.9</v>
      </c>
      <c r="S83" s="1">
        <v>5</v>
      </c>
      <c r="T83" s="3">
        <v>0</v>
      </c>
      <c r="U83" s="4">
        <v>4.1719999999999997</v>
      </c>
      <c r="V83" s="1" t="str">
        <f t="shared" si="10"/>
        <v>Standard Class</v>
      </c>
      <c r="W83" s="1" t="str">
        <f t="shared" si="11"/>
        <v>Consumer</v>
      </c>
      <c r="X83" s="1" t="str">
        <f t="shared" si="12"/>
        <v>San Francisco - California</v>
      </c>
      <c r="Y83" s="1" t="str">
        <f t="shared" si="13"/>
        <v>Art</v>
      </c>
      <c r="Z83" s="1">
        <f t="shared" si="14"/>
        <v>14.9</v>
      </c>
      <c r="AA83" s="1">
        <f t="shared" si="15"/>
        <v>14.9</v>
      </c>
      <c r="AB83" s="1">
        <f t="shared" si="16"/>
        <v>74.5</v>
      </c>
      <c r="AC83" s="4">
        <f t="shared" si="17"/>
        <v>74.5</v>
      </c>
      <c r="AD83" s="1" t="s">
        <v>2013</v>
      </c>
      <c r="AE83" s="1" t="str">
        <f t="shared" si="18"/>
        <v>2014</v>
      </c>
      <c r="AF83" s="1" t="str">
        <f t="shared" si="19"/>
        <v>139451</v>
      </c>
    </row>
    <row r="84" spans="1:32" x14ac:dyDescent="0.3">
      <c r="A84" s="1">
        <v>83</v>
      </c>
      <c r="B84" s="1" t="s">
        <v>361</v>
      </c>
      <c r="C84" s="2">
        <v>41924</v>
      </c>
      <c r="D84" s="2">
        <v>41928</v>
      </c>
      <c r="E84" s="1" t="s">
        <v>48</v>
      </c>
      <c r="F84" s="1" t="s">
        <v>362</v>
      </c>
      <c r="G84" s="1" t="s">
        <v>363</v>
      </c>
      <c r="H84" s="1" t="s">
        <v>24</v>
      </c>
      <c r="I84" s="1" t="s">
        <v>25</v>
      </c>
      <c r="J84" s="1" t="s">
        <v>125</v>
      </c>
      <c r="K84" s="1" t="s">
        <v>41</v>
      </c>
      <c r="L84" s="1">
        <v>94122</v>
      </c>
      <c r="M84" s="1" t="s">
        <v>42</v>
      </c>
      <c r="N84" s="1" t="s">
        <v>366</v>
      </c>
      <c r="O84" s="1" t="s">
        <v>44</v>
      </c>
      <c r="P84" s="1" t="s">
        <v>57</v>
      </c>
      <c r="Q84" s="1" t="s">
        <v>367</v>
      </c>
      <c r="R84" s="1">
        <v>21.39</v>
      </c>
      <c r="S84" s="1">
        <v>1</v>
      </c>
      <c r="T84" s="3">
        <v>0</v>
      </c>
      <c r="U84" s="4">
        <v>6.2031000000000001</v>
      </c>
      <c r="V84" s="1" t="str">
        <f t="shared" si="10"/>
        <v>Standard Class</v>
      </c>
      <c r="W84" s="1" t="str">
        <f t="shared" si="11"/>
        <v>Consumer</v>
      </c>
      <c r="X84" s="1" t="str">
        <f t="shared" si="12"/>
        <v>San Francisco - California</v>
      </c>
      <c r="Y84" s="1" t="str">
        <f t="shared" si="13"/>
        <v>Storage</v>
      </c>
      <c r="Z84" s="1">
        <f t="shared" si="14"/>
        <v>21.39</v>
      </c>
      <c r="AA84" s="1">
        <f t="shared" si="15"/>
        <v>21.39</v>
      </c>
      <c r="AB84" s="1">
        <f t="shared" si="16"/>
        <v>21.39</v>
      </c>
      <c r="AC84" s="4">
        <f t="shared" si="17"/>
        <v>21.39</v>
      </c>
      <c r="AD84" s="1" t="s">
        <v>2013</v>
      </c>
      <c r="AE84" s="1" t="str">
        <f t="shared" si="18"/>
        <v>2014</v>
      </c>
      <c r="AF84" s="1" t="str">
        <f t="shared" si="19"/>
        <v>139451</v>
      </c>
    </row>
    <row r="85" spans="1:32" x14ac:dyDescent="0.3">
      <c r="A85" s="1">
        <v>84</v>
      </c>
      <c r="B85" s="1" t="s">
        <v>368</v>
      </c>
      <c r="C85" s="2">
        <v>42250</v>
      </c>
      <c r="D85" s="2">
        <v>42255</v>
      </c>
      <c r="E85" s="1" t="s">
        <v>48</v>
      </c>
      <c r="F85" s="1" t="s">
        <v>369</v>
      </c>
      <c r="G85" s="1" t="s">
        <v>370</v>
      </c>
      <c r="H85" s="1" t="s">
        <v>39</v>
      </c>
      <c r="I85" s="1" t="s">
        <v>25</v>
      </c>
      <c r="J85" s="1" t="s">
        <v>371</v>
      </c>
      <c r="K85" s="1" t="s">
        <v>86</v>
      </c>
      <c r="L85" s="1">
        <v>27707</v>
      </c>
      <c r="M85" s="1" t="s">
        <v>28</v>
      </c>
      <c r="N85" s="1" t="s">
        <v>372</v>
      </c>
      <c r="O85" s="1" t="s">
        <v>44</v>
      </c>
      <c r="P85" s="1" t="s">
        <v>171</v>
      </c>
      <c r="Q85" s="1" t="s">
        <v>373</v>
      </c>
      <c r="R85" s="1">
        <v>200.98400000000001</v>
      </c>
      <c r="S85" s="1">
        <v>7</v>
      </c>
      <c r="T85" s="3">
        <v>0.2</v>
      </c>
      <c r="U85" s="4">
        <v>62.807499999999997</v>
      </c>
      <c r="V85" s="1" t="str">
        <f t="shared" si="10"/>
        <v>Standard Class</v>
      </c>
      <c r="W85" s="1" t="str">
        <f t="shared" si="11"/>
        <v>Corporate</v>
      </c>
      <c r="X85" s="1" t="str">
        <f t="shared" si="12"/>
        <v>Durham - North Carolina</v>
      </c>
      <c r="Y85" s="1" t="str">
        <f t="shared" si="13"/>
        <v>Envelopes</v>
      </c>
      <c r="Z85" s="1">
        <f t="shared" si="14"/>
        <v>200.98400000000001</v>
      </c>
      <c r="AA85" s="1">
        <f t="shared" si="15"/>
        <v>200.98400000000001</v>
      </c>
      <c r="AB85" s="1">
        <f t="shared" si="16"/>
        <v>1406.8880000000001</v>
      </c>
      <c r="AC85" s="4">
        <f t="shared" si="17"/>
        <v>1125.5104000000001</v>
      </c>
      <c r="AD85" s="1" t="s">
        <v>2013</v>
      </c>
      <c r="AE85" s="1" t="str">
        <f t="shared" si="18"/>
        <v>2015</v>
      </c>
      <c r="AF85" s="1" t="str">
        <f t="shared" si="19"/>
        <v>149734</v>
      </c>
    </row>
    <row r="86" spans="1:32" x14ac:dyDescent="0.3">
      <c r="A86" s="1">
        <v>85</v>
      </c>
      <c r="B86" s="1" t="s">
        <v>374</v>
      </c>
      <c r="C86" s="2">
        <v>43052</v>
      </c>
      <c r="D86" s="2">
        <v>43055</v>
      </c>
      <c r="E86" s="1" t="s">
        <v>186</v>
      </c>
      <c r="F86" s="1" t="s">
        <v>375</v>
      </c>
      <c r="G86" s="1" t="s">
        <v>376</v>
      </c>
      <c r="H86" s="1" t="s">
        <v>100</v>
      </c>
      <c r="I86" s="1" t="s">
        <v>25</v>
      </c>
      <c r="J86" s="1" t="s">
        <v>301</v>
      </c>
      <c r="K86" s="1" t="s">
        <v>209</v>
      </c>
      <c r="L86" s="1">
        <v>60623</v>
      </c>
      <c r="M86" s="1" t="s">
        <v>103</v>
      </c>
      <c r="N86" s="1" t="s">
        <v>377</v>
      </c>
      <c r="O86" s="1" t="s">
        <v>44</v>
      </c>
      <c r="P86" s="1" t="s">
        <v>57</v>
      </c>
      <c r="Q86" s="1" t="s">
        <v>378</v>
      </c>
      <c r="R86" s="1">
        <v>230.376</v>
      </c>
      <c r="S86" s="1">
        <v>3</v>
      </c>
      <c r="T86" s="3">
        <v>0.2</v>
      </c>
      <c r="U86" s="4">
        <v>-48.954900000000002</v>
      </c>
      <c r="V86" s="1" t="str">
        <f t="shared" si="10"/>
        <v>First Class</v>
      </c>
      <c r="W86" s="1" t="str">
        <f t="shared" si="11"/>
        <v>Home Office</v>
      </c>
      <c r="X86" s="1" t="str">
        <f t="shared" si="12"/>
        <v>Chicago - Illinois</v>
      </c>
      <c r="Y86" s="1" t="str">
        <f t="shared" si="13"/>
        <v>Storage</v>
      </c>
      <c r="Z86" s="1">
        <f t="shared" si="14"/>
        <v>230.376</v>
      </c>
      <c r="AA86" s="1">
        <f t="shared" si="15"/>
        <v>230.376</v>
      </c>
      <c r="AB86" s="1">
        <f t="shared" si="16"/>
        <v>691.12800000000004</v>
      </c>
      <c r="AC86" s="4">
        <f t="shared" si="17"/>
        <v>552.90240000000006</v>
      </c>
      <c r="AD86" s="1" t="s">
        <v>2014</v>
      </c>
      <c r="AE86" s="1" t="str">
        <f t="shared" si="18"/>
        <v>2017</v>
      </c>
      <c r="AF86" s="1" t="str">
        <f t="shared" si="19"/>
        <v>119662</v>
      </c>
    </row>
    <row r="87" spans="1:32" x14ac:dyDescent="0.3">
      <c r="A87" s="1">
        <v>86</v>
      </c>
      <c r="B87" s="1" t="s">
        <v>379</v>
      </c>
      <c r="C87" s="2">
        <v>42883</v>
      </c>
      <c r="D87" s="2">
        <v>42885</v>
      </c>
      <c r="E87" s="1" t="s">
        <v>21</v>
      </c>
      <c r="F87" s="1" t="s">
        <v>233</v>
      </c>
      <c r="G87" s="1" t="s">
        <v>234</v>
      </c>
      <c r="H87" s="1" t="s">
        <v>24</v>
      </c>
      <c r="I87" s="1" t="s">
        <v>25</v>
      </c>
      <c r="J87" s="1" t="s">
        <v>380</v>
      </c>
      <c r="K87" s="1" t="s">
        <v>381</v>
      </c>
      <c r="L87" s="1">
        <v>29203</v>
      </c>
      <c r="M87" s="1" t="s">
        <v>28</v>
      </c>
      <c r="N87" s="1" t="s">
        <v>382</v>
      </c>
      <c r="O87" s="1" t="s">
        <v>30</v>
      </c>
      <c r="P87" s="1" t="s">
        <v>34</v>
      </c>
      <c r="Q87" s="1" t="s">
        <v>383</v>
      </c>
      <c r="R87" s="1">
        <v>301.95999999999998</v>
      </c>
      <c r="S87" s="1">
        <v>2</v>
      </c>
      <c r="T87" s="3">
        <v>0</v>
      </c>
      <c r="U87" s="4">
        <v>33.215600000000002</v>
      </c>
      <c r="V87" s="1" t="str">
        <f t="shared" si="10"/>
        <v>Second Class</v>
      </c>
      <c r="W87" s="1" t="str">
        <f t="shared" si="11"/>
        <v>Consumer</v>
      </c>
      <c r="X87" s="1" t="str">
        <f t="shared" si="12"/>
        <v>Columbia - South Carolina</v>
      </c>
      <c r="Y87" s="1" t="str">
        <f t="shared" si="13"/>
        <v>Chairs</v>
      </c>
      <c r="Z87" s="1">
        <f t="shared" si="14"/>
        <v>301.95999999999998</v>
      </c>
      <c r="AA87" s="1">
        <f t="shared" si="15"/>
        <v>301.95999999999998</v>
      </c>
      <c r="AB87" s="1">
        <f t="shared" si="16"/>
        <v>603.91999999999996</v>
      </c>
      <c r="AC87" s="4">
        <f t="shared" si="17"/>
        <v>603.91999999999996</v>
      </c>
      <c r="AD87" s="1" t="s">
        <v>2013</v>
      </c>
      <c r="AE87" s="1" t="str">
        <f t="shared" si="18"/>
        <v>2017</v>
      </c>
      <c r="AF87" s="1" t="str">
        <f t="shared" si="19"/>
        <v>140088</v>
      </c>
    </row>
    <row r="88" spans="1:32" x14ac:dyDescent="0.3">
      <c r="A88" s="1">
        <v>87</v>
      </c>
      <c r="B88" s="1" t="s">
        <v>384</v>
      </c>
      <c r="C88" s="2">
        <v>43034</v>
      </c>
      <c r="D88" s="2">
        <v>43041</v>
      </c>
      <c r="E88" s="1" t="s">
        <v>48</v>
      </c>
      <c r="F88" s="1" t="s">
        <v>385</v>
      </c>
      <c r="G88" s="1" t="s">
        <v>386</v>
      </c>
      <c r="H88" s="1" t="s">
        <v>24</v>
      </c>
      <c r="I88" s="1" t="s">
        <v>25</v>
      </c>
      <c r="J88" s="1" t="s">
        <v>387</v>
      </c>
      <c r="K88" s="1" t="s">
        <v>227</v>
      </c>
      <c r="L88" s="1">
        <v>55901</v>
      </c>
      <c r="M88" s="1" t="s">
        <v>103</v>
      </c>
      <c r="N88" s="1" t="s">
        <v>388</v>
      </c>
      <c r="O88" s="1" t="s">
        <v>69</v>
      </c>
      <c r="P88" s="1" t="s">
        <v>159</v>
      </c>
      <c r="Q88" s="1" t="s">
        <v>389</v>
      </c>
      <c r="R88" s="1">
        <v>19.989999999999998</v>
      </c>
      <c r="S88" s="1">
        <v>1</v>
      </c>
      <c r="T88" s="3">
        <v>0</v>
      </c>
      <c r="U88" s="4">
        <v>6.7965999999999998</v>
      </c>
      <c r="V88" s="1" t="str">
        <f t="shared" si="10"/>
        <v>Standard Class</v>
      </c>
      <c r="W88" s="1" t="str">
        <f t="shared" si="11"/>
        <v>Consumer</v>
      </c>
      <c r="X88" s="1" t="str">
        <f t="shared" si="12"/>
        <v>Rochester - Minnesota</v>
      </c>
      <c r="Y88" s="1" t="str">
        <f t="shared" si="13"/>
        <v>Accessories</v>
      </c>
      <c r="Z88" s="1">
        <f t="shared" si="14"/>
        <v>19.989999999999998</v>
      </c>
      <c r="AA88" s="1">
        <f t="shared" si="15"/>
        <v>19.989999999999998</v>
      </c>
      <c r="AB88" s="1">
        <f t="shared" si="16"/>
        <v>19.989999999999998</v>
      </c>
      <c r="AC88" s="4">
        <f t="shared" si="17"/>
        <v>19.989999999999998</v>
      </c>
      <c r="AD88" s="1" t="s">
        <v>2013</v>
      </c>
      <c r="AE88" s="1" t="str">
        <f t="shared" si="18"/>
        <v>2017</v>
      </c>
      <c r="AF88" s="1" t="str">
        <f t="shared" si="19"/>
        <v>155558</v>
      </c>
    </row>
    <row r="89" spans="1:32" x14ac:dyDescent="0.3">
      <c r="A89" s="1">
        <v>88</v>
      </c>
      <c r="B89" s="1" t="s">
        <v>384</v>
      </c>
      <c r="C89" s="2">
        <v>43034</v>
      </c>
      <c r="D89" s="2">
        <v>43041</v>
      </c>
      <c r="E89" s="1" t="s">
        <v>48</v>
      </c>
      <c r="F89" s="1" t="s">
        <v>385</v>
      </c>
      <c r="G89" s="1" t="s">
        <v>386</v>
      </c>
      <c r="H89" s="1" t="s">
        <v>24</v>
      </c>
      <c r="I89" s="1" t="s">
        <v>25</v>
      </c>
      <c r="J89" s="1" t="s">
        <v>387</v>
      </c>
      <c r="K89" s="1" t="s">
        <v>227</v>
      </c>
      <c r="L89" s="1">
        <v>55901</v>
      </c>
      <c r="M89" s="1" t="s">
        <v>103</v>
      </c>
      <c r="N89" s="1" t="s">
        <v>390</v>
      </c>
      <c r="O89" s="1" t="s">
        <v>44</v>
      </c>
      <c r="P89" s="1" t="s">
        <v>45</v>
      </c>
      <c r="Q89" s="1" t="s">
        <v>391</v>
      </c>
      <c r="R89" s="1">
        <v>6.16</v>
      </c>
      <c r="S89" s="1">
        <v>2</v>
      </c>
      <c r="T89" s="3">
        <v>0</v>
      </c>
      <c r="U89" s="4">
        <v>2.9567999999999999</v>
      </c>
      <c r="V89" s="1" t="str">
        <f t="shared" si="10"/>
        <v>Standard Class</v>
      </c>
      <c r="W89" s="1" t="str">
        <f t="shared" si="11"/>
        <v>Consumer</v>
      </c>
      <c r="X89" s="1" t="str">
        <f t="shared" si="12"/>
        <v>Rochester - Minnesota</v>
      </c>
      <c r="Y89" s="1" t="str">
        <f t="shared" si="13"/>
        <v>Labels</v>
      </c>
      <c r="Z89" s="1">
        <f t="shared" si="14"/>
        <v>6.16</v>
      </c>
      <c r="AA89" s="1">
        <f t="shared" si="15"/>
        <v>6.16</v>
      </c>
      <c r="AB89" s="1">
        <f t="shared" si="16"/>
        <v>12.32</v>
      </c>
      <c r="AC89" s="4">
        <f t="shared" si="17"/>
        <v>12.32</v>
      </c>
      <c r="AD89" s="1" t="s">
        <v>2013</v>
      </c>
      <c r="AE89" s="1" t="str">
        <f t="shared" si="18"/>
        <v>2017</v>
      </c>
      <c r="AF89" s="1" t="str">
        <f t="shared" si="19"/>
        <v>155558</v>
      </c>
    </row>
    <row r="90" spans="1:32" x14ac:dyDescent="0.3">
      <c r="A90" s="1">
        <v>89</v>
      </c>
      <c r="B90" s="1" t="s">
        <v>392</v>
      </c>
      <c r="C90" s="2">
        <v>42465</v>
      </c>
      <c r="D90" s="2">
        <v>42470</v>
      </c>
      <c r="E90" s="1" t="s">
        <v>21</v>
      </c>
      <c r="F90" s="1" t="s">
        <v>393</v>
      </c>
      <c r="G90" s="1" t="s">
        <v>394</v>
      </c>
      <c r="H90" s="1" t="s">
        <v>100</v>
      </c>
      <c r="I90" s="1" t="s">
        <v>25</v>
      </c>
      <c r="J90" s="1" t="s">
        <v>182</v>
      </c>
      <c r="K90" s="1" t="s">
        <v>102</v>
      </c>
      <c r="L90" s="1">
        <v>77095</v>
      </c>
      <c r="M90" s="1" t="s">
        <v>103</v>
      </c>
      <c r="N90" s="1" t="s">
        <v>395</v>
      </c>
      <c r="O90" s="1" t="s">
        <v>44</v>
      </c>
      <c r="P90" s="1" t="s">
        <v>57</v>
      </c>
      <c r="Q90" s="1" t="s">
        <v>396</v>
      </c>
      <c r="R90" s="1">
        <v>158.36799999999999</v>
      </c>
      <c r="S90" s="1">
        <v>7</v>
      </c>
      <c r="T90" s="3">
        <v>0.2</v>
      </c>
      <c r="U90" s="4">
        <v>13.857200000000001</v>
      </c>
      <c r="V90" s="1" t="str">
        <f t="shared" si="10"/>
        <v>Second Class</v>
      </c>
      <c r="W90" s="1" t="str">
        <f t="shared" si="11"/>
        <v>Home Office</v>
      </c>
      <c r="X90" s="1" t="str">
        <f t="shared" si="12"/>
        <v>Houston - Texas</v>
      </c>
      <c r="Y90" s="1" t="str">
        <f t="shared" si="13"/>
        <v>Storage</v>
      </c>
      <c r="Z90" s="1">
        <f t="shared" si="14"/>
        <v>158.36799999999999</v>
      </c>
      <c r="AA90" s="1">
        <f t="shared" si="15"/>
        <v>158.36799999999999</v>
      </c>
      <c r="AB90" s="1">
        <f t="shared" si="16"/>
        <v>1108.576</v>
      </c>
      <c r="AC90" s="4">
        <f t="shared" si="17"/>
        <v>886.86080000000004</v>
      </c>
      <c r="AD90" s="1" t="s">
        <v>2013</v>
      </c>
      <c r="AE90" s="1" t="str">
        <f t="shared" si="18"/>
        <v>2016</v>
      </c>
      <c r="AF90" s="1" t="str">
        <f t="shared" si="19"/>
        <v>159695</v>
      </c>
    </row>
    <row r="91" spans="1:32" x14ac:dyDescent="0.3">
      <c r="A91" s="1">
        <v>90</v>
      </c>
      <c r="B91" s="1" t="s">
        <v>397</v>
      </c>
      <c r="C91" s="2">
        <v>42630</v>
      </c>
      <c r="D91" s="2">
        <v>42635</v>
      </c>
      <c r="E91" s="1" t="s">
        <v>48</v>
      </c>
      <c r="F91" s="1" t="s">
        <v>398</v>
      </c>
      <c r="G91" s="1" t="s">
        <v>399</v>
      </c>
      <c r="H91" s="1" t="s">
        <v>39</v>
      </c>
      <c r="I91" s="1" t="s">
        <v>25</v>
      </c>
      <c r="J91" s="1" t="s">
        <v>40</v>
      </c>
      <c r="K91" s="1" t="s">
        <v>41</v>
      </c>
      <c r="L91" s="1">
        <v>90036</v>
      </c>
      <c r="M91" s="1" t="s">
        <v>42</v>
      </c>
      <c r="N91" s="1" t="s">
        <v>400</v>
      </c>
      <c r="O91" s="1" t="s">
        <v>44</v>
      </c>
      <c r="P91" s="1" t="s">
        <v>66</v>
      </c>
      <c r="Q91" s="1" t="s">
        <v>401</v>
      </c>
      <c r="R91" s="1">
        <v>20.100000000000001</v>
      </c>
      <c r="S91" s="1">
        <v>3</v>
      </c>
      <c r="T91" s="3">
        <v>0</v>
      </c>
      <c r="U91" s="4">
        <v>6.633</v>
      </c>
      <c r="V91" s="1" t="str">
        <f t="shared" si="10"/>
        <v>Standard Class</v>
      </c>
      <c r="W91" s="1" t="str">
        <f t="shared" si="11"/>
        <v>Corporate</v>
      </c>
      <c r="X91" s="1" t="str">
        <f t="shared" si="12"/>
        <v>Los Angeles - California</v>
      </c>
      <c r="Y91" s="1" t="str">
        <f t="shared" si="13"/>
        <v>Art</v>
      </c>
      <c r="Z91" s="1">
        <f t="shared" si="14"/>
        <v>20.100000000000001</v>
      </c>
      <c r="AA91" s="1">
        <f t="shared" si="15"/>
        <v>20.100000000000001</v>
      </c>
      <c r="AB91" s="1">
        <f t="shared" si="16"/>
        <v>60.300000000000004</v>
      </c>
      <c r="AC91" s="4">
        <f t="shared" si="17"/>
        <v>60.300000000000004</v>
      </c>
      <c r="AD91" s="1" t="s">
        <v>2013</v>
      </c>
      <c r="AE91" s="1" t="str">
        <f t="shared" si="18"/>
        <v>2016</v>
      </c>
      <c r="AF91" s="1" t="str">
        <f t="shared" si="19"/>
        <v>109806</v>
      </c>
    </row>
    <row r="92" spans="1:32" x14ac:dyDescent="0.3">
      <c r="A92" s="1">
        <v>91</v>
      </c>
      <c r="B92" s="1" t="s">
        <v>397</v>
      </c>
      <c r="C92" s="2">
        <v>42630</v>
      </c>
      <c r="D92" s="2">
        <v>42635</v>
      </c>
      <c r="E92" s="1" t="s">
        <v>48</v>
      </c>
      <c r="F92" s="1" t="s">
        <v>398</v>
      </c>
      <c r="G92" s="1" t="s">
        <v>399</v>
      </c>
      <c r="H92" s="1" t="s">
        <v>39</v>
      </c>
      <c r="I92" s="1" t="s">
        <v>25</v>
      </c>
      <c r="J92" s="1" t="s">
        <v>40</v>
      </c>
      <c r="K92" s="1" t="s">
        <v>41</v>
      </c>
      <c r="L92" s="1">
        <v>90036</v>
      </c>
      <c r="M92" s="1" t="s">
        <v>42</v>
      </c>
      <c r="N92" s="1" t="s">
        <v>210</v>
      </c>
      <c r="O92" s="1" t="s">
        <v>69</v>
      </c>
      <c r="P92" s="1" t="s">
        <v>70</v>
      </c>
      <c r="Q92" s="1" t="s">
        <v>211</v>
      </c>
      <c r="R92" s="1">
        <v>73.584000000000003</v>
      </c>
      <c r="S92" s="1">
        <v>2</v>
      </c>
      <c r="T92" s="3">
        <v>0.2</v>
      </c>
      <c r="U92" s="4">
        <v>8.2782</v>
      </c>
      <c r="V92" s="1" t="str">
        <f t="shared" si="10"/>
        <v>Standard Class</v>
      </c>
      <c r="W92" s="1" t="str">
        <f t="shared" si="11"/>
        <v>Corporate</v>
      </c>
      <c r="X92" s="1" t="str">
        <f t="shared" si="12"/>
        <v>Los Angeles - California</v>
      </c>
      <c r="Y92" s="1" t="str">
        <f t="shared" si="13"/>
        <v>Phones</v>
      </c>
      <c r="Z92" s="1">
        <f t="shared" si="14"/>
        <v>73.584000000000003</v>
      </c>
      <c r="AA92" s="1">
        <f t="shared" si="15"/>
        <v>73.584000000000003</v>
      </c>
      <c r="AB92" s="1">
        <f t="shared" si="16"/>
        <v>147.16800000000001</v>
      </c>
      <c r="AC92" s="4">
        <f t="shared" si="17"/>
        <v>117.73440000000001</v>
      </c>
      <c r="AD92" s="1" t="s">
        <v>2013</v>
      </c>
      <c r="AE92" s="1" t="str">
        <f t="shared" si="18"/>
        <v>2016</v>
      </c>
      <c r="AF92" s="1" t="str">
        <f t="shared" si="19"/>
        <v>109806</v>
      </c>
    </row>
    <row r="93" spans="1:32" x14ac:dyDescent="0.3">
      <c r="A93" s="1">
        <v>92</v>
      </c>
      <c r="B93" s="1" t="s">
        <v>397</v>
      </c>
      <c r="C93" s="2">
        <v>42630</v>
      </c>
      <c r="D93" s="2">
        <v>42635</v>
      </c>
      <c r="E93" s="1" t="s">
        <v>48</v>
      </c>
      <c r="F93" s="1" t="s">
        <v>398</v>
      </c>
      <c r="G93" s="1" t="s">
        <v>399</v>
      </c>
      <c r="H93" s="1"/>
      <c r="I93" s="1" t="s">
        <v>25</v>
      </c>
      <c r="J93" s="1" t="s">
        <v>40</v>
      </c>
      <c r="K93" s="1" t="s">
        <v>41</v>
      </c>
      <c r="L93" s="1">
        <v>90036</v>
      </c>
      <c r="M93" s="1" t="s">
        <v>42</v>
      </c>
      <c r="N93" s="1" t="s">
        <v>402</v>
      </c>
      <c r="O93" s="1" t="s">
        <v>44</v>
      </c>
      <c r="P93" s="1" t="s">
        <v>88</v>
      </c>
      <c r="Q93" s="1" t="s">
        <v>403</v>
      </c>
      <c r="R93" s="1">
        <v>6.48</v>
      </c>
      <c r="S93" s="1">
        <v>1</v>
      </c>
      <c r="T93" s="3">
        <v>0</v>
      </c>
      <c r="U93" s="4">
        <v>3.1103999999999998</v>
      </c>
      <c r="V93" s="1" t="str">
        <f t="shared" si="10"/>
        <v>Standard Class</v>
      </c>
      <c r="W93" s="1" t="str">
        <f t="shared" si="11"/>
        <v>UNKNOWN</v>
      </c>
      <c r="X93" s="1" t="str">
        <f t="shared" si="12"/>
        <v>Los Angeles - California</v>
      </c>
      <c r="Y93" s="1" t="str">
        <f t="shared" si="13"/>
        <v>Paper</v>
      </c>
      <c r="Z93" s="1">
        <f t="shared" si="14"/>
        <v>6.48</v>
      </c>
      <c r="AA93" s="1">
        <f t="shared" si="15"/>
        <v>6.48</v>
      </c>
      <c r="AB93" s="1">
        <f t="shared" si="16"/>
        <v>6.48</v>
      </c>
      <c r="AC93" s="4">
        <f t="shared" si="17"/>
        <v>6.48</v>
      </c>
      <c r="AD93" s="1" t="s">
        <v>2013</v>
      </c>
      <c r="AE93" s="1" t="str">
        <f t="shared" si="18"/>
        <v>2016</v>
      </c>
      <c r="AF93" s="1" t="str">
        <f t="shared" si="19"/>
        <v>109806</v>
      </c>
    </row>
    <row r="94" spans="1:32" x14ac:dyDescent="0.3">
      <c r="A94" s="1">
        <v>93</v>
      </c>
      <c r="B94" s="1" t="s">
        <v>404</v>
      </c>
      <c r="C94" s="2">
        <v>42035</v>
      </c>
      <c r="D94" s="2">
        <v>42040</v>
      </c>
      <c r="E94" s="1" t="s">
        <v>21</v>
      </c>
      <c r="F94" s="1" t="s">
        <v>405</v>
      </c>
      <c r="G94" s="1" t="s">
        <v>406</v>
      </c>
      <c r="H94" s="1" t="s">
        <v>24</v>
      </c>
      <c r="I94" s="1" t="s">
        <v>25</v>
      </c>
      <c r="J94" s="1" t="s">
        <v>407</v>
      </c>
      <c r="K94" s="1" t="s">
        <v>227</v>
      </c>
      <c r="L94" s="1">
        <v>55407</v>
      </c>
      <c r="M94" s="1" t="s">
        <v>103</v>
      </c>
      <c r="N94" s="1" t="s">
        <v>408</v>
      </c>
      <c r="O94" s="1" t="s">
        <v>44</v>
      </c>
      <c r="P94" s="1" t="s">
        <v>88</v>
      </c>
      <c r="Q94" s="1" t="s">
        <v>409</v>
      </c>
      <c r="R94" s="1">
        <v>12.96</v>
      </c>
      <c r="S94" s="1">
        <v>2</v>
      </c>
      <c r="T94" s="3">
        <v>0</v>
      </c>
      <c r="U94" s="4">
        <v>6.2207999999999997</v>
      </c>
      <c r="V94" s="1" t="str">
        <f t="shared" si="10"/>
        <v>Second Class</v>
      </c>
      <c r="W94" s="1" t="str">
        <f t="shared" si="11"/>
        <v>Consumer</v>
      </c>
      <c r="X94" s="1" t="str">
        <f t="shared" si="12"/>
        <v>Minneapolis - Minnesota</v>
      </c>
      <c r="Y94" s="1" t="str">
        <f t="shared" si="13"/>
        <v>Paper</v>
      </c>
      <c r="Z94" s="1">
        <f t="shared" si="14"/>
        <v>12.96</v>
      </c>
      <c r="AA94" s="1">
        <f t="shared" si="15"/>
        <v>12.96</v>
      </c>
      <c r="AB94" s="1">
        <f t="shared" si="16"/>
        <v>25.92</v>
      </c>
      <c r="AC94" s="4">
        <f t="shared" si="17"/>
        <v>25.92</v>
      </c>
      <c r="AD94" s="1" t="s">
        <v>2013</v>
      </c>
      <c r="AE94" s="1" t="str">
        <f t="shared" si="18"/>
        <v>2015</v>
      </c>
      <c r="AF94" s="1" t="str">
        <f t="shared" si="19"/>
        <v>149587</v>
      </c>
    </row>
    <row r="95" spans="1:32" x14ac:dyDescent="0.3">
      <c r="A95" s="1">
        <v>94</v>
      </c>
      <c r="B95" s="1" t="s">
        <v>404</v>
      </c>
      <c r="C95" s="2">
        <v>42035</v>
      </c>
      <c r="D95" s="2">
        <v>42040</v>
      </c>
      <c r="E95" s="1" t="s">
        <v>21</v>
      </c>
      <c r="F95" s="1" t="s">
        <v>405</v>
      </c>
      <c r="G95" s="1" t="s">
        <v>406</v>
      </c>
      <c r="H95" s="1" t="s">
        <v>24</v>
      </c>
      <c r="I95" s="1" t="s">
        <v>25</v>
      </c>
      <c r="J95" s="1" t="s">
        <v>407</v>
      </c>
      <c r="K95" s="1" t="s">
        <v>227</v>
      </c>
      <c r="L95" s="1">
        <v>55407</v>
      </c>
      <c r="M95" s="1" t="s">
        <v>103</v>
      </c>
      <c r="N95" s="1" t="s">
        <v>410</v>
      </c>
      <c r="O95" s="1" t="s">
        <v>30</v>
      </c>
      <c r="P95" s="1" t="s">
        <v>63</v>
      </c>
      <c r="Q95" s="1" t="s">
        <v>411</v>
      </c>
      <c r="R95" s="1">
        <v>53.34</v>
      </c>
      <c r="S95" s="1">
        <v>3</v>
      </c>
      <c r="T95" s="3">
        <v>0</v>
      </c>
      <c r="U95" s="4">
        <v>16.535399999999999</v>
      </c>
      <c r="V95" s="1" t="str">
        <f t="shared" si="10"/>
        <v>Second Class</v>
      </c>
      <c r="W95" s="1" t="str">
        <f t="shared" si="11"/>
        <v>Consumer</v>
      </c>
      <c r="X95" s="1" t="str">
        <f t="shared" si="12"/>
        <v>Minneapolis - Minnesota</v>
      </c>
      <c r="Y95" s="1" t="str">
        <f t="shared" si="13"/>
        <v>Furnishings</v>
      </c>
      <c r="Z95" s="1">
        <f t="shared" si="14"/>
        <v>53.34</v>
      </c>
      <c r="AA95" s="1">
        <f t="shared" si="15"/>
        <v>53.34</v>
      </c>
      <c r="AB95" s="1">
        <f t="shared" si="16"/>
        <v>160.02000000000001</v>
      </c>
      <c r="AC95" s="4">
        <f t="shared" si="17"/>
        <v>160.02000000000001</v>
      </c>
      <c r="AD95" s="1" t="s">
        <v>2013</v>
      </c>
      <c r="AE95" s="1" t="str">
        <f t="shared" si="18"/>
        <v>2015</v>
      </c>
      <c r="AF95" s="1" t="str">
        <f t="shared" si="19"/>
        <v>149587</v>
      </c>
    </row>
    <row r="96" spans="1:32" x14ac:dyDescent="0.3">
      <c r="A96" s="1">
        <v>95</v>
      </c>
      <c r="B96" s="1" t="s">
        <v>404</v>
      </c>
      <c r="C96" s="2">
        <v>42035</v>
      </c>
      <c r="D96" s="2">
        <v>42040</v>
      </c>
      <c r="E96" s="1" t="s">
        <v>21</v>
      </c>
      <c r="F96" s="1" t="s">
        <v>405</v>
      </c>
      <c r="G96" s="1" t="s">
        <v>406</v>
      </c>
      <c r="H96" s="1" t="s">
        <v>24</v>
      </c>
      <c r="I96" s="1" t="s">
        <v>25</v>
      </c>
      <c r="J96" s="1" t="s">
        <v>407</v>
      </c>
      <c r="K96" s="1" t="s">
        <v>227</v>
      </c>
      <c r="L96" s="1">
        <v>55407</v>
      </c>
      <c r="M96" s="1" t="s">
        <v>103</v>
      </c>
      <c r="N96" s="1" t="s">
        <v>412</v>
      </c>
      <c r="O96" s="1" t="s">
        <v>44</v>
      </c>
      <c r="P96" s="1" t="s">
        <v>73</v>
      </c>
      <c r="Q96" s="1" t="s">
        <v>413</v>
      </c>
      <c r="R96" s="1">
        <v>32.96</v>
      </c>
      <c r="S96" s="1">
        <v>2</v>
      </c>
      <c r="T96" s="3">
        <v>0</v>
      </c>
      <c r="U96" s="4">
        <v>16.150400000000001</v>
      </c>
      <c r="V96" s="1" t="str">
        <f t="shared" si="10"/>
        <v>Second Class</v>
      </c>
      <c r="W96" s="1" t="str">
        <f t="shared" si="11"/>
        <v>Consumer</v>
      </c>
      <c r="X96" s="1" t="str">
        <f t="shared" si="12"/>
        <v>Minneapolis - Minnesota</v>
      </c>
      <c r="Y96" s="1" t="str">
        <f t="shared" si="13"/>
        <v>Binders</v>
      </c>
      <c r="Z96" s="1">
        <f t="shared" si="14"/>
        <v>32.96</v>
      </c>
      <c r="AA96" s="1">
        <f t="shared" si="15"/>
        <v>32.96</v>
      </c>
      <c r="AB96" s="1">
        <f t="shared" si="16"/>
        <v>65.92</v>
      </c>
      <c r="AC96" s="4">
        <f t="shared" si="17"/>
        <v>65.92</v>
      </c>
      <c r="AD96" s="1" t="s">
        <v>2013</v>
      </c>
      <c r="AE96" s="1" t="str">
        <f t="shared" si="18"/>
        <v>2015</v>
      </c>
      <c r="AF96" s="1" t="str">
        <f t="shared" si="19"/>
        <v>149587</v>
      </c>
    </row>
    <row r="97" spans="1:32" x14ac:dyDescent="0.3">
      <c r="A97" s="1">
        <v>96</v>
      </c>
      <c r="B97" s="1" t="s">
        <v>414</v>
      </c>
      <c r="C97" s="2">
        <v>43045</v>
      </c>
      <c r="D97" s="2">
        <v>43051</v>
      </c>
      <c r="E97" s="1" t="s">
        <v>48</v>
      </c>
      <c r="F97" s="1" t="s">
        <v>415</v>
      </c>
      <c r="G97" s="1" t="s">
        <v>416</v>
      </c>
      <c r="H97" s="1" t="s">
        <v>100</v>
      </c>
      <c r="I97" s="1" t="s">
        <v>25</v>
      </c>
      <c r="J97" s="1" t="s">
        <v>417</v>
      </c>
      <c r="K97" s="1" t="s">
        <v>418</v>
      </c>
      <c r="L97" s="1">
        <v>97206</v>
      </c>
      <c r="M97" s="1" t="s">
        <v>42</v>
      </c>
      <c r="N97" s="1" t="s">
        <v>419</v>
      </c>
      <c r="O97" s="1" t="s">
        <v>44</v>
      </c>
      <c r="P97" s="1" t="s">
        <v>73</v>
      </c>
      <c r="Q97" s="1" t="s">
        <v>420</v>
      </c>
      <c r="R97" s="1">
        <v>5.6820000000000004</v>
      </c>
      <c r="S97" s="1">
        <v>1</v>
      </c>
      <c r="T97" s="3">
        <v>0.7</v>
      </c>
      <c r="U97" s="4">
        <v>-3.7879999999999998</v>
      </c>
      <c r="V97" s="1" t="str">
        <f t="shared" si="10"/>
        <v>Standard Class</v>
      </c>
      <c r="W97" s="1" t="str">
        <f t="shared" si="11"/>
        <v>Home Office</v>
      </c>
      <c r="X97" s="1" t="str">
        <f t="shared" si="12"/>
        <v>Portland - Oregon</v>
      </c>
      <c r="Y97" s="1" t="str">
        <f t="shared" si="13"/>
        <v>Binders</v>
      </c>
      <c r="Z97" s="1">
        <f t="shared" si="14"/>
        <v>5.6820000000000004</v>
      </c>
      <c r="AA97" s="1">
        <f t="shared" si="15"/>
        <v>5.6820000000000004</v>
      </c>
      <c r="AB97" s="1">
        <f t="shared" si="16"/>
        <v>5.6820000000000004</v>
      </c>
      <c r="AC97" s="4">
        <f t="shared" si="17"/>
        <v>1.7046000000000003</v>
      </c>
      <c r="AD97" s="1" t="s">
        <v>2014</v>
      </c>
      <c r="AE97" s="1" t="str">
        <f t="shared" si="18"/>
        <v>2017</v>
      </c>
      <c r="AF97" s="1" t="str">
        <f t="shared" si="19"/>
        <v>109484</v>
      </c>
    </row>
    <row r="98" spans="1:32" x14ac:dyDescent="0.3">
      <c r="A98" s="1">
        <v>97</v>
      </c>
      <c r="B98" s="1" t="s">
        <v>421</v>
      </c>
      <c r="C98" s="2">
        <v>43048</v>
      </c>
      <c r="D98" s="2">
        <v>43050</v>
      </c>
      <c r="E98" s="1" t="s">
        <v>21</v>
      </c>
      <c r="F98" s="1" t="s">
        <v>422</v>
      </c>
      <c r="G98" s="1" t="s">
        <v>423</v>
      </c>
      <c r="H98" s="1" t="s">
        <v>100</v>
      </c>
      <c r="I98" s="1" t="s">
        <v>25</v>
      </c>
      <c r="J98" s="1" t="s">
        <v>264</v>
      </c>
      <c r="K98" s="1" t="s">
        <v>265</v>
      </c>
      <c r="L98" s="1">
        <v>10009</v>
      </c>
      <c r="M98" s="1" t="s">
        <v>146</v>
      </c>
      <c r="N98" s="1" t="s">
        <v>424</v>
      </c>
      <c r="O98" s="1" t="s">
        <v>30</v>
      </c>
      <c r="P98" s="1" t="s">
        <v>63</v>
      </c>
      <c r="Q98" s="1" t="s">
        <v>425</v>
      </c>
      <c r="R98" s="1">
        <v>96.53</v>
      </c>
      <c r="S98" s="1">
        <v>7</v>
      </c>
      <c r="T98" s="3">
        <v>0</v>
      </c>
      <c r="U98" s="4">
        <v>40.5426</v>
      </c>
      <c r="V98" s="1" t="str">
        <f t="shared" si="10"/>
        <v>Second Class</v>
      </c>
      <c r="W98" s="1" t="str">
        <f t="shared" si="11"/>
        <v>Home Office</v>
      </c>
      <c r="X98" s="1" t="str">
        <f t="shared" si="12"/>
        <v>New York City - New York</v>
      </c>
      <c r="Y98" s="1" t="str">
        <f t="shared" si="13"/>
        <v>Furnishings</v>
      </c>
      <c r="Z98" s="1">
        <f t="shared" si="14"/>
        <v>96.53</v>
      </c>
      <c r="AA98" s="1">
        <f t="shared" si="15"/>
        <v>96.53</v>
      </c>
      <c r="AB98" s="1">
        <f t="shared" si="16"/>
        <v>675.71</v>
      </c>
      <c r="AC98" s="4">
        <f t="shared" si="17"/>
        <v>675.71</v>
      </c>
      <c r="AD98" s="1" t="s">
        <v>2013</v>
      </c>
      <c r="AE98" s="1" t="str">
        <f t="shared" si="18"/>
        <v>2017</v>
      </c>
      <c r="AF98" s="1" t="str">
        <f t="shared" si="19"/>
        <v>161018</v>
      </c>
    </row>
    <row r="99" spans="1:32" x14ac:dyDescent="0.3">
      <c r="A99" s="1">
        <v>98</v>
      </c>
      <c r="B99" s="1" t="s">
        <v>426</v>
      </c>
      <c r="C99" s="2">
        <v>42903</v>
      </c>
      <c r="D99" s="2">
        <v>42906</v>
      </c>
      <c r="E99" s="1" t="s">
        <v>186</v>
      </c>
      <c r="F99" s="1" t="s">
        <v>427</v>
      </c>
      <c r="G99" s="1" t="s">
        <v>428</v>
      </c>
      <c r="H99" s="1" t="s">
        <v>24</v>
      </c>
      <c r="I99" s="1" t="s">
        <v>25</v>
      </c>
      <c r="J99" s="1" t="s">
        <v>125</v>
      </c>
      <c r="K99" s="1" t="s">
        <v>41</v>
      </c>
      <c r="L99" s="1">
        <v>94122</v>
      </c>
      <c r="M99" s="1" t="s">
        <v>42</v>
      </c>
      <c r="N99" s="1" t="s">
        <v>429</v>
      </c>
      <c r="O99" s="1" t="s">
        <v>44</v>
      </c>
      <c r="P99" s="1" t="s">
        <v>73</v>
      </c>
      <c r="Q99" s="1" t="s">
        <v>430</v>
      </c>
      <c r="R99" s="1">
        <v>51.311999999999998</v>
      </c>
      <c r="S99" s="1">
        <v>3</v>
      </c>
      <c r="T99" s="3">
        <v>0.2</v>
      </c>
      <c r="U99" s="4">
        <v>17.959199999999999</v>
      </c>
      <c r="V99" s="1" t="str">
        <f t="shared" si="10"/>
        <v>First Class</v>
      </c>
      <c r="W99" s="1" t="str">
        <f t="shared" si="11"/>
        <v>Consumer</v>
      </c>
      <c r="X99" s="1" t="str">
        <f t="shared" si="12"/>
        <v>San Francisco - California</v>
      </c>
      <c r="Y99" s="1" t="str">
        <f t="shared" si="13"/>
        <v>Binders</v>
      </c>
      <c r="Z99" s="1">
        <f t="shared" si="14"/>
        <v>51.311999999999998</v>
      </c>
      <c r="AA99" s="1">
        <f t="shared" si="15"/>
        <v>51.311999999999998</v>
      </c>
      <c r="AB99" s="1">
        <f t="shared" si="16"/>
        <v>153.93599999999998</v>
      </c>
      <c r="AC99" s="4">
        <f t="shared" si="17"/>
        <v>123.14879999999999</v>
      </c>
      <c r="AD99" s="1" t="s">
        <v>2013</v>
      </c>
      <c r="AE99" s="1" t="str">
        <f t="shared" si="18"/>
        <v>2017</v>
      </c>
      <c r="AF99" s="1" t="str">
        <f t="shared" si="19"/>
        <v>157833</v>
      </c>
    </row>
    <row r="100" spans="1:32" x14ac:dyDescent="0.3">
      <c r="A100" s="1">
        <v>99</v>
      </c>
      <c r="B100" s="1" t="s">
        <v>431</v>
      </c>
      <c r="C100" s="2">
        <v>42619</v>
      </c>
      <c r="D100" s="2">
        <v>42624</v>
      </c>
      <c r="E100" s="1" t="s">
        <v>48</v>
      </c>
      <c r="F100" s="1" t="s">
        <v>432</v>
      </c>
      <c r="G100" s="1" t="s">
        <v>433</v>
      </c>
      <c r="H100" s="1" t="s">
        <v>39</v>
      </c>
      <c r="I100" s="1" t="s">
        <v>25</v>
      </c>
      <c r="J100" s="1" t="s">
        <v>434</v>
      </c>
      <c r="K100" s="1" t="s">
        <v>227</v>
      </c>
      <c r="L100" s="1">
        <v>55106</v>
      </c>
      <c r="M100" s="1" t="s">
        <v>103</v>
      </c>
      <c r="N100" s="1" t="s">
        <v>435</v>
      </c>
      <c r="O100" s="1" t="s">
        <v>44</v>
      </c>
      <c r="P100" s="1" t="s">
        <v>76</v>
      </c>
      <c r="Q100" s="1" t="s">
        <v>436</v>
      </c>
      <c r="R100" s="1">
        <v>77.88</v>
      </c>
      <c r="S100" s="1">
        <v>6</v>
      </c>
      <c r="T100" s="3">
        <v>0</v>
      </c>
      <c r="U100" s="4">
        <v>22.5852</v>
      </c>
      <c r="V100" s="1" t="str">
        <f t="shared" si="10"/>
        <v>Standard Class</v>
      </c>
      <c r="W100" s="1" t="str">
        <f t="shared" si="11"/>
        <v>Corporate</v>
      </c>
      <c r="X100" s="1" t="str">
        <f t="shared" si="12"/>
        <v>Saint Paul - Minnesota</v>
      </c>
      <c r="Y100" s="1" t="str">
        <f t="shared" si="13"/>
        <v>Appliances</v>
      </c>
      <c r="Z100" s="1">
        <f t="shared" si="14"/>
        <v>77.88</v>
      </c>
      <c r="AA100" s="1">
        <f t="shared" si="15"/>
        <v>77.88</v>
      </c>
      <c r="AB100" s="1">
        <f t="shared" si="16"/>
        <v>467.28</v>
      </c>
      <c r="AC100" s="4">
        <f t="shared" si="17"/>
        <v>467.28</v>
      </c>
      <c r="AD100" s="1" t="s">
        <v>2013</v>
      </c>
      <c r="AE100" s="1" t="str">
        <f t="shared" si="18"/>
        <v>2016</v>
      </c>
      <c r="AF100" s="1" t="str">
        <f t="shared" si="19"/>
        <v>149223</v>
      </c>
    </row>
    <row r="101" spans="1:32" x14ac:dyDescent="0.3">
      <c r="A101" s="1">
        <v>100</v>
      </c>
      <c r="B101" s="1" t="s">
        <v>437</v>
      </c>
      <c r="C101" s="2">
        <v>42611</v>
      </c>
      <c r="D101" s="2">
        <v>42615</v>
      </c>
      <c r="E101" s="1" t="s">
        <v>48</v>
      </c>
      <c r="F101" s="1" t="s">
        <v>438</v>
      </c>
      <c r="G101" s="1" t="s">
        <v>439</v>
      </c>
      <c r="H101" s="1" t="s">
        <v>100</v>
      </c>
      <c r="I101" s="1" t="s">
        <v>25</v>
      </c>
      <c r="J101" s="1" t="s">
        <v>301</v>
      </c>
      <c r="K101" s="1" t="s">
        <v>209</v>
      </c>
      <c r="L101" s="1">
        <v>60610</v>
      </c>
      <c r="M101" s="1" t="s">
        <v>103</v>
      </c>
      <c r="N101" s="1" t="s">
        <v>440</v>
      </c>
      <c r="O101" s="1" t="s">
        <v>44</v>
      </c>
      <c r="P101" s="1" t="s">
        <v>88</v>
      </c>
      <c r="Q101" s="1" t="s">
        <v>441</v>
      </c>
      <c r="R101" s="1">
        <v>64.623999999999995</v>
      </c>
      <c r="S101" s="1">
        <v>7</v>
      </c>
      <c r="T101" s="3">
        <v>0.2</v>
      </c>
      <c r="U101" s="4">
        <v>22.618400000000001</v>
      </c>
      <c r="V101" s="1" t="str">
        <f t="shared" si="10"/>
        <v>Standard Class</v>
      </c>
      <c r="W101" s="1" t="str">
        <f t="shared" si="11"/>
        <v>Home Office</v>
      </c>
      <c r="X101" s="1" t="str">
        <f t="shared" si="12"/>
        <v>Chicago - Illinois</v>
      </c>
      <c r="Y101" s="1" t="str">
        <f t="shared" si="13"/>
        <v>Paper</v>
      </c>
      <c r="Z101" s="1">
        <f t="shared" si="14"/>
        <v>64.623999999999995</v>
      </c>
      <c r="AA101" s="1">
        <f t="shared" si="15"/>
        <v>64.623999999999995</v>
      </c>
      <c r="AB101" s="1">
        <f t="shared" si="16"/>
        <v>452.36799999999994</v>
      </c>
      <c r="AC101" s="4">
        <f t="shared" si="17"/>
        <v>361.89439999999996</v>
      </c>
      <c r="AD101" s="1" t="s">
        <v>2013</v>
      </c>
      <c r="AE101" s="1" t="str">
        <f t="shared" si="18"/>
        <v>2016</v>
      </c>
      <c r="AF101" s="1" t="str">
        <f t="shared" si="19"/>
        <v>158568</v>
      </c>
    </row>
    <row r="102" spans="1:32" x14ac:dyDescent="0.3">
      <c r="A102" s="1">
        <v>101</v>
      </c>
      <c r="B102" s="1" t="s">
        <v>437</v>
      </c>
      <c r="C102" s="2">
        <v>42611</v>
      </c>
      <c r="D102" s="2">
        <v>42615</v>
      </c>
      <c r="E102" s="1" t="s">
        <v>48</v>
      </c>
      <c r="F102" s="1" t="s">
        <v>438</v>
      </c>
      <c r="G102" s="1" t="s">
        <v>439</v>
      </c>
      <c r="H102" s="1" t="s">
        <v>100</v>
      </c>
      <c r="I102" s="1" t="s">
        <v>25</v>
      </c>
      <c r="J102" s="1" t="s">
        <v>301</v>
      </c>
      <c r="K102" s="1" t="s">
        <v>209</v>
      </c>
      <c r="L102" s="1">
        <v>60610</v>
      </c>
      <c r="M102" s="1" t="s">
        <v>103</v>
      </c>
      <c r="N102" s="1" t="s">
        <v>442</v>
      </c>
      <c r="O102" s="1" t="s">
        <v>69</v>
      </c>
      <c r="P102" s="1" t="s">
        <v>159</v>
      </c>
      <c r="Q102" s="1" t="s">
        <v>443</v>
      </c>
      <c r="R102" s="1">
        <v>95.975999999999999</v>
      </c>
      <c r="S102" s="1">
        <v>3</v>
      </c>
      <c r="T102" s="3">
        <v>0.2</v>
      </c>
      <c r="U102" s="4">
        <v>-10.7973</v>
      </c>
      <c r="V102" s="1" t="str">
        <f t="shared" si="10"/>
        <v>Standard Class</v>
      </c>
      <c r="W102" s="1" t="str">
        <f t="shared" si="11"/>
        <v>Home Office</v>
      </c>
      <c r="X102" s="1" t="str">
        <f t="shared" si="12"/>
        <v>Chicago - Illinois</v>
      </c>
      <c r="Y102" s="1" t="str">
        <f t="shared" si="13"/>
        <v>Accessories</v>
      </c>
      <c r="Z102" s="1">
        <f t="shared" si="14"/>
        <v>95.975999999999999</v>
      </c>
      <c r="AA102" s="1">
        <f t="shared" si="15"/>
        <v>95.975999999999999</v>
      </c>
      <c r="AB102" s="1">
        <f t="shared" si="16"/>
        <v>287.928</v>
      </c>
      <c r="AC102" s="4">
        <f t="shared" si="17"/>
        <v>230.3424</v>
      </c>
      <c r="AD102" s="1" t="s">
        <v>2013</v>
      </c>
      <c r="AE102" s="1" t="str">
        <f t="shared" si="18"/>
        <v>2016</v>
      </c>
      <c r="AF102" s="1" t="str">
        <f t="shared" si="19"/>
        <v>158568</v>
      </c>
    </row>
    <row r="103" spans="1:32" x14ac:dyDescent="0.3">
      <c r="A103" s="1">
        <v>102</v>
      </c>
      <c r="B103" s="1" t="s">
        <v>437</v>
      </c>
      <c r="C103" s="2">
        <v>42611</v>
      </c>
      <c r="D103" s="2">
        <v>42615</v>
      </c>
      <c r="E103" s="1" t="s">
        <v>48</v>
      </c>
      <c r="F103" s="1" t="s">
        <v>438</v>
      </c>
      <c r="G103" s="1" t="s">
        <v>439</v>
      </c>
      <c r="H103" s="1" t="s">
        <v>100</v>
      </c>
      <c r="I103" s="1" t="s">
        <v>25</v>
      </c>
      <c r="J103" s="1" t="s">
        <v>301</v>
      </c>
      <c r="K103" s="1" t="s">
        <v>209</v>
      </c>
      <c r="L103" s="1">
        <v>60610</v>
      </c>
      <c r="M103" s="1" t="s">
        <v>103</v>
      </c>
      <c r="N103" s="1" t="s">
        <v>444</v>
      </c>
      <c r="O103" s="1" t="s">
        <v>44</v>
      </c>
      <c r="P103" s="1" t="s">
        <v>73</v>
      </c>
      <c r="Q103" s="1" t="s">
        <v>445</v>
      </c>
      <c r="R103" s="1">
        <v>1.788</v>
      </c>
      <c r="S103" s="1">
        <v>3</v>
      </c>
      <c r="T103" s="3">
        <v>0.8</v>
      </c>
      <c r="U103" s="4">
        <v>-3.0396000000000001</v>
      </c>
      <c r="V103" s="1" t="str">
        <f t="shared" si="10"/>
        <v>Standard Class</v>
      </c>
      <c r="W103" s="1" t="str">
        <f t="shared" si="11"/>
        <v>Home Office</v>
      </c>
      <c r="X103" s="1" t="str">
        <f t="shared" si="12"/>
        <v>Chicago - Illinois</v>
      </c>
      <c r="Y103" s="1" t="str">
        <f t="shared" si="13"/>
        <v>Binders</v>
      </c>
      <c r="Z103" s="1">
        <f t="shared" si="14"/>
        <v>1.788</v>
      </c>
      <c r="AA103" s="1">
        <f t="shared" si="15"/>
        <v>1.788</v>
      </c>
      <c r="AB103" s="1">
        <f t="shared" si="16"/>
        <v>5.3639999999999999</v>
      </c>
      <c r="AC103" s="4">
        <f t="shared" si="17"/>
        <v>1.0727999999999998</v>
      </c>
      <c r="AD103" s="1" t="s">
        <v>2013</v>
      </c>
      <c r="AE103" s="1" t="str">
        <f t="shared" si="18"/>
        <v>2016</v>
      </c>
      <c r="AF103" s="1" t="str">
        <f t="shared" si="19"/>
        <v>158568</v>
      </c>
    </row>
    <row r="104" spans="1:32" x14ac:dyDescent="0.3">
      <c r="A104" s="1">
        <v>103</v>
      </c>
      <c r="B104" s="1" t="s">
        <v>446</v>
      </c>
      <c r="C104" s="2">
        <v>42705</v>
      </c>
      <c r="D104" s="2">
        <v>42708</v>
      </c>
      <c r="E104" s="1" t="s">
        <v>21</v>
      </c>
      <c r="F104" s="1" t="s">
        <v>447</v>
      </c>
      <c r="G104" s="1" t="s">
        <v>448</v>
      </c>
      <c r="H104" s="1" t="s">
        <v>24</v>
      </c>
      <c r="I104" s="1" t="s">
        <v>25</v>
      </c>
      <c r="J104" s="1" t="s">
        <v>387</v>
      </c>
      <c r="K104" s="1" t="s">
        <v>227</v>
      </c>
      <c r="L104" s="1">
        <v>55901</v>
      </c>
      <c r="M104" s="1" t="s">
        <v>103</v>
      </c>
      <c r="N104" s="1" t="s">
        <v>449</v>
      </c>
      <c r="O104" s="1" t="s">
        <v>44</v>
      </c>
      <c r="P104" s="1" t="s">
        <v>88</v>
      </c>
      <c r="Q104" s="1" t="s">
        <v>450</v>
      </c>
      <c r="R104" s="1">
        <v>23.92</v>
      </c>
      <c r="S104" s="1">
        <v>4</v>
      </c>
      <c r="T104" s="3">
        <v>0</v>
      </c>
      <c r="U104" s="4">
        <v>11.720800000000001</v>
      </c>
      <c r="V104" s="1" t="str">
        <f t="shared" si="10"/>
        <v>Second Class</v>
      </c>
      <c r="W104" s="1" t="str">
        <f t="shared" si="11"/>
        <v>Consumer</v>
      </c>
      <c r="X104" s="1" t="str">
        <f t="shared" si="12"/>
        <v>Rochester - Minnesota</v>
      </c>
      <c r="Y104" s="1" t="str">
        <f t="shared" si="13"/>
        <v>Paper</v>
      </c>
      <c r="Z104" s="1">
        <f t="shared" si="14"/>
        <v>23.92</v>
      </c>
      <c r="AA104" s="1">
        <f t="shared" si="15"/>
        <v>23.92</v>
      </c>
      <c r="AB104" s="1">
        <f t="shared" si="16"/>
        <v>95.68</v>
      </c>
      <c r="AC104" s="4">
        <f t="shared" si="17"/>
        <v>95.68</v>
      </c>
      <c r="AD104" s="1" t="s">
        <v>2013</v>
      </c>
      <c r="AE104" s="1" t="str">
        <f t="shared" si="18"/>
        <v>2016</v>
      </c>
      <c r="AF104" s="1" t="str">
        <f t="shared" si="19"/>
        <v>129903</v>
      </c>
    </row>
    <row r="105" spans="1:32" x14ac:dyDescent="0.3">
      <c r="A105" s="1">
        <v>104</v>
      </c>
      <c r="B105" s="1" t="s">
        <v>451</v>
      </c>
      <c r="C105" s="2">
        <v>42321</v>
      </c>
      <c r="D105" s="2">
        <v>42325</v>
      </c>
      <c r="E105" s="1" t="s">
        <v>48</v>
      </c>
      <c r="F105" s="1" t="s">
        <v>452</v>
      </c>
      <c r="G105" s="1" t="s">
        <v>453</v>
      </c>
      <c r="H105" s="1" t="s">
        <v>24</v>
      </c>
      <c r="I105" s="1" t="s">
        <v>25</v>
      </c>
      <c r="J105" s="1" t="s">
        <v>454</v>
      </c>
      <c r="K105" s="1" t="s">
        <v>455</v>
      </c>
      <c r="L105" s="1">
        <v>80013</v>
      </c>
      <c r="M105" s="1" t="s">
        <v>42</v>
      </c>
      <c r="N105" s="1" t="s">
        <v>456</v>
      </c>
      <c r="O105" s="1" t="s">
        <v>69</v>
      </c>
      <c r="P105" s="1"/>
      <c r="Q105" s="1" t="s">
        <v>457</v>
      </c>
      <c r="R105" s="1">
        <v>238.89599999999999</v>
      </c>
      <c r="S105" s="1">
        <v>6</v>
      </c>
      <c r="T105" s="3">
        <v>0.2</v>
      </c>
      <c r="U105" s="4">
        <v>-26.875800000000002</v>
      </c>
      <c r="V105" s="1" t="str">
        <f t="shared" si="10"/>
        <v>Standard Class</v>
      </c>
      <c r="W105" s="1" t="str">
        <f t="shared" si="11"/>
        <v>Consumer</v>
      </c>
      <c r="X105" s="1" t="str">
        <f t="shared" si="12"/>
        <v>Aurora - Colorado</v>
      </c>
      <c r="Y105" s="1" t="str">
        <f t="shared" si="13"/>
        <v>UNKNOWN</v>
      </c>
      <c r="Z105" s="1">
        <f t="shared" si="14"/>
        <v>238.89599999999999</v>
      </c>
      <c r="AA105" s="1">
        <f t="shared" si="15"/>
        <v>238.89599999999999</v>
      </c>
      <c r="AB105" s="1">
        <f t="shared" si="16"/>
        <v>1433.376</v>
      </c>
      <c r="AC105" s="4">
        <f t="shared" si="17"/>
        <v>1146.7008000000001</v>
      </c>
      <c r="AD105" s="1" t="s">
        <v>2014</v>
      </c>
      <c r="AE105" s="1" t="str">
        <f t="shared" si="18"/>
        <v>2015</v>
      </c>
      <c r="AF105" s="1" t="str">
        <f t="shared" si="19"/>
        <v>156867</v>
      </c>
    </row>
    <row r="106" spans="1:32" x14ac:dyDescent="0.3">
      <c r="A106" s="1">
        <v>105</v>
      </c>
      <c r="B106" s="1" t="s">
        <v>451</v>
      </c>
      <c r="C106" s="2">
        <v>42321</v>
      </c>
      <c r="D106" s="2">
        <v>42325</v>
      </c>
      <c r="E106" s="1" t="s">
        <v>48</v>
      </c>
      <c r="F106" s="1" t="s">
        <v>452</v>
      </c>
      <c r="G106" s="1" t="s">
        <v>453</v>
      </c>
      <c r="H106" s="1" t="s">
        <v>24</v>
      </c>
      <c r="I106" s="1" t="s">
        <v>25</v>
      </c>
      <c r="J106" s="1" t="s">
        <v>454</v>
      </c>
      <c r="K106" s="1" t="s">
        <v>455</v>
      </c>
      <c r="L106" s="1">
        <v>80013</v>
      </c>
      <c r="M106" s="1" t="s">
        <v>42</v>
      </c>
      <c r="N106" s="1" t="s">
        <v>458</v>
      </c>
      <c r="O106" s="1" t="s">
        <v>30</v>
      </c>
      <c r="P106" s="1" t="s">
        <v>63</v>
      </c>
      <c r="Q106" s="1" t="s">
        <v>459</v>
      </c>
      <c r="R106" s="1">
        <v>102.36</v>
      </c>
      <c r="S106" s="1">
        <v>3</v>
      </c>
      <c r="T106" s="3">
        <v>0.2</v>
      </c>
      <c r="U106" s="4">
        <v>-3.8384999999999998</v>
      </c>
      <c r="V106" s="1" t="str">
        <f t="shared" si="10"/>
        <v>Standard Class</v>
      </c>
      <c r="W106" s="1" t="str">
        <f t="shared" si="11"/>
        <v>Consumer</v>
      </c>
      <c r="X106" s="1" t="str">
        <f t="shared" si="12"/>
        <v>Aurora - Colorado</v>
      </c>
      <c r="Y106" s="1" t="str">
        <f t="shared" si="13"/>
        <v>Furnishings</v>
      </c>
      <c r="Z106" s="1">
        <f t="shared" si="14"/>
        <v>102.36</v>
      </c>
      <c r="AA106" s="1">
        <f t="shared" si="15"/>
        <v>102.36</v>
      </c>
      <c r="AB106" s="1">
        <f t="shared" si="16"/>
        <v>307.08</v>
      </c>
      <c r="AC106" s="4">
        <f t="shared" si="17"/>
        <v>245.66399999999999</v>
      </c>
      <c r="AD106" s="1" t="s">
        <v>2014</v>
      </c>
      <c r="AE106" s="1" t="str">
        <f t="shared" si="18"/>
        <v>2015</v>
      </c>
      <c r="AF106" s="1" t="str">
        <f t="shared" si="19"/>
        <v>156867</v>
      </c>
    </row>
    <row r="107" spans="1:32" x14ac:dyDescent="0.3">
      <c r="A107" s="1">
        <v>106</v>
      </c>
      <c r="B107" s="1" t="s">
        <v>451</v>
      </c>
      <c r="C107" s="2">
        <v>42321</v>
      </c>
      <c r="D107" s="2">
        <v>42325</v>
      </c>
      <c r="E107" s="1" t="s">
        <v>48</v>
      </c>
      <c r="F107" s="1" t="s">
        <v>452</v>
      </c>
      <c r="G107" s="1" t="s">
        <v>453</v>
      </c>
      <c r="H107" s="1" t="s">
        <v>24</v>
      </c>
      <c r="I107" s="1" t="s">
        <v>25</v>
      </c>
      <c r="J107" s="1" t="s">
        <v>454</v>
      </c>
      <c r="K107" s="1" t="s">
        <v>455</v>
      </c>
      <c r="L107" s="1">
        <v>80013</v>
      </c>
      <c r="M107" s="1" t="s">
        <v>42</v>
      </c>
      <c r="N107" s="1" t="s">
        <v>460</v>
      </c>
      <c r="O107" s="1" t="s">
        <v>44</v>
      </c>
      <c r="P107" s="1" t="s">
        <v>73</v>
      </c>
      <c r="Q107" s="1" t="s">
        <v>461</v>
      </c>
      <c r="R107" s="1">
        <v>36.881999999999998</v>
      </c>
      <c r="S107" s="1">
        <v>3</v>
      </c>
      <c r="T107" s="3">
        <v>0.7</v>
      </c>
      <c r="U107" s="4">
        <v>-25.817399999999999</v>
      </c>
      <c r="V107" s="1" t="str">
        <f t="shared" si="10"/>
        <v>Standard Class</v>
      </c>
      <c r="W107" s="1" t="str">
        <f t="shared" si="11"/>
        <v>Consumer</v>
      </c>
      <c r="X107" s="1" t="str">
        <f t="shared" si="12"/>
        <v>Aurora - Colorado</v>
      </c>
      <c r="Y107" s="1" t="str">
        <f t="shared" si="13"/>
        <v>Binders</v>
      </c>
      <c r="Z107" s="1">
        <f t="shared" si="14"/>
        <v>36.881999999999998</v>
      </c>
      <c r="AA107" s="1">
        <f t="shared" si="15"/>
        <v>36.881999999999998</v>
      </c>
      <c r="AB107" s="1">
        <f t="shared" si="16"/>
        <v>110.64599999999999</v>
      </c>
      <c r="AC107" s="4">
        <f t="shared" si="17"/>
        <v>33.193800000000003</v>
      </c>
      <c r="AD107" s="1" t="s">
        <v>2014</v>
      </c>
      <c r="AE107" s="1" t="str">
        <f t="shared" si="18"/>
        <v>2015</v>
      </c>
      <c r="AF107" s="1" t="str">
        <f t="shared" si="19"/>
        <v>156867</v>
      </c>
    </row>
    <row r="108" spans="1:32" x14ac:dyDescent="0.3">
      <c r="A108" s="1">
        <v>107</v>
      </c>
      <c r="B108" s="1" t="s">
        <v>462</v>
      </c>
      <c r="C108" s="2">
        <v>43062</v>
      </c>
      <c r="D108" s="2">
        <v>43067</v>
      </c>
      <c r="E108" s="1" t="s">
        <v>48</v>
      </c>
      <c r="F108" s="1" t="s">
        <v>463</v>
      </c>
      <c r="G108" s="1" t="s">
        <v>464</v>
      </c>
      <c r="H108" s="1" t="s">
        <v>24</v>
      </c>
      <c r="I108" s="1" t="s">
        <v>25</v>
      </c>
      <c r="J108" s="1" t="s">
        <v>465</v>
      </c>
      <c r="K108" s="1" t="s">
        <v>86</v>
      </c>
      <c r="L108" s="1">
        <v>28205</v>
      </c>
      <c r="M108" s="1" t="s">
        <v>28</v>
      </c>
      <c r="N108" s="1" t="s">
        <v>466</v>
      </c>
      <c r="O108" s="1" t="s">
        <v>69</v>
      </c>
      <c r="P108" s="1" t="s">
        <v>159</v>
      </c>
      <c r="Q108" s="1" t="s">
        <v>467</v>
      </c>
      <c r="R108" s="1">
        <v>74.111999999999995</v>
      </c>
      <c r="S108" s="1">
        <v>8</v>
      </c>
      <c r="T108" s="3">
        <v>0.2</v>
      </c>
      <c r="U108" s="4">
        <v>17.601600000000001</v>
      </c>
      <c r="V108" s="1" t="str">
        <f t="shared" si="10"/>
        <v>Standard Class</v>
      </c>
      <c r="W108" s="1" t="str">
        <f t="shared" si="11"/>
        <v>Consumer</v>
      </c>
      <c r="X108" s="1" t="str">
        <f t="shared" si="12"/>
        <v>Charlotte - North Carolina</v>
      </c>
      <c r="Y108" s="1" t="str">
        <f t="shared" si="13"/>
        <v>Accessories</v>
      </c>
      <c r="Z108" s="1">
        <f t="shared" si="14"/>
        <v>74.111999999999995</v>
      </c>
      <c r="AA108" s="1">
        <f t="shared" si="15"/>
        <v>74.111999999999995</v>
      </c>
      <c r="AB108" s="1">
        <f t="shared" si="16"/>
        <v>592.89599999999996</v>
      </c>
      <c r="AC108" s="4">
        <f t="shared" si="17"/>
        <v>474.3168</v>
      </c>
      <c r="AD108" s="1" t="s">
        <v>2013</v>
      </c>
      <c r="AE108" s="1" t="str">
        <f t="shared" si="18"/>
        <v>2017</v>
      </c>
      <c r="AF108" s="1" t="str">
        <f t="shared" si="19"/>
        <v>119004</v>
      </c>
    </row>
    <row r="109" spans="1:32" x14ac:dyDescent="0.3">
      <c r="A109" s="1">
        <v>108</v>
      </c>
      <c r="B109" s="1" t="s">
        <v>462</v>
      </c>
      <c r="C109" s="2">
        <v>43062</v>
      </c>
      <c r="D109" s="2">
        <v>43067</v>
      </c>
      <c r="E109" s="1" t="s">
        <v>48</v>
      </c>
      <c r="F109" s="1" t="s">
        <v>463</v>
      </c>
      <c r="G109" s="1" t="s">
        <v>464</v>
      </c>
      <c r="H109" s="1" t="s">
        <v>24</v>
      </c>
      <c r="I109" s="1" t="s">
        <v>25</v>
      </c>
      <c r="J109" s="1" t="s">
        <v>465</v>
      </c>
      <c r="K109" s="1" t="s">
        <v>86</v>
      </c>
      <c r="L109" s="1">
        <v>28205</v>
      </c>
      <c r="M109" s="1" t="s">
        <v>28</v>
      </c>
      <c r="N109" s="1" t="s">
        <v>468</v>
      </c>
      <c r="O109" s="1" t="s">
        <v>69</v>
      </c>
      <c r="P109" s="1" t="s">
        <v>70</v>
      </c>
      <c r="Q109" s="1" t="s">
        <v>469</v>
      </c>
      <c r="R109" s="1">
        <v>27.992000000000001</v>
      </c>
      <c r="S109" s="1">
        <v>1</v>
      </c>
      <c r="T109" s="3">
        <v>0.2</v>
      </c>
      <c r="U109" s="4">
        <v>2.0994000000000002</v>
      </c>
      <c r="V109" s="1" t="str">
        <f t="shared" si="10"/>
        <v>Standard Class</v>
      </c>
      <c r="W109" s="1" t="str">
        <f t="shared" si="11"/>
        <v>Consumer</v>
      </c>
      <c r="X109" s="1" t="str">
        <f t="shared" si="12"/>
        <v>Charlotte - North Carolina</v>
      </c>
      <c r="Y109" s="1" t="str">
        <f t="shared" si="13"/>
        <v>Phones</v>
      </c>
      <c r="Z109" s="1">
        <f t="shared" si="14"/>
        <v>27.992000000000001</v>
      </c>
      <c r="AA109" s="1">
        <f t="shared" si="15"/>
        <v>27.992000000000001</v>
      </c>
      <c r="AB109" s="1">
        <f t="shared" si="16"/>
        <v>27.992000000000001</v>
      </c>
      <c r="AC109" s="4">
        <f t="shared" si="17"/>
        <v>22.393600000000003</v>
      </c>
      <c r="AD109" s="1" t="s">
        <v>2013</v>
      </c>
      <c r="AE109" s="1" t="str">
        <f t="shared" si="18"/>
        <v>2017</v>
      </c>
      <c r="AF109" s="1" t="str">
        <f t="shared" si="19"/>
        <v>119004</v>
      </c>
    </row>
    <row r="110" spans="1:32" x14ac:dyDescent="0.3">
      <c r="A110" s="1">
        <v>109</v>
      </c>
      <c r="B110" s="1" t="s">
        <v>462</v>
      </c>
      <c r="C110" s="2">
        <v>43062</v>
      </c>
      <c r="D110" s="2">
        <v>43067</v>
      </c>
      <c r="E110" s="1" t="s">
        <v>48</v>
      </c>
      <c r="F110" s="1" t="s">
        <v>463</v>
      </c>
      <c r="G110" s="1" t="s">
        <v>464</v>
      </c>
      <c r="H110" s="1" t="s">
        <v>24</v>
      </c>
      <c r="I110" s="1" t="s">
        <v>25</v>
      </c>
      <c r="J110" s="1" t="s">
        <v>465</v>
      </c>
      <c r="K110" s="1" t="s">
        <v>86</v>
      </c>
      <c r="L110" s="1">
        <v>28205</v>
      </c>
      <c r="M110" s="1" t="s">
        <v>28</v>
      </c>
      <c r="N110" s="1" t="s">
        <v>470</v>
      </c>
      <c r="O110" s="1" t="s">
        <v>44</v>
      </c>
      <c r="P110" s="1" t="s">
        <v>66</v>
      </c>
      <c r="Q110" s="1" t="s">
        <v>471</v>
      </c>
      <c r="R110" s="1">
        <v>3.3039999999999998</v>
      </c>
      <c r="S110" s="1">
        <v>1</v>
      </c>
      <c r="T110" s="3">
        <v>0.2</v>
      </c>
      <c r="U110" s="4">
        <v>1.0738000000000001</v>
      </c>
      <c r="V110" s="1" t="str">
        <f t="shared" si="10"/>
        <v>Standard Class</v>
      </c>
      <c r="W110" s="1" t="str">
        <f t="shared" si="11"/>
        <v>Consumer</v>
      </c>
      <c r="X110" s="1" t="str">
        <f t="shared" si="12"/>
        <v>Charlotte - North Carolina</v>
      </c>
      <c r="Y110" s="1" t="str">
        <f t="shared" si="13"/>
        <v>Art</v>
      </c>
      <c r="Z110" s="1">
        <f t="shared" si="14"/>
        <v>3.3039999999999998</v>
      </c>
      <c r="AA110" s="1">
        <f t="shared" si="15"/>
        <v>3.3039999999999998</v>
      </c>
      <c r="AB110" s="1">
        <f t="shared" si="16"/>
        <v>3.3039999999999998</v>
      </c>
      <c r="AC110" s="4">
        <f t="shared" si="17"/>
        <v>2.6432000000000002</v>
      </c>
      <c r="AD110" s="1" t="s">
        <v>2013</v>
      </c>
      <c r="AE110" s="1" t="str">
        <f t="shared" si="18"/>
        <v>2017</v>
      </c>
      <c r="AF110" s="1" t="str">
        <f t="shared" si="19"/>
        <v>119004</v>
      </c>
    </row>
    <row r="111" spans="1:32" x14ac:dyDescent="0.3">
      <c r="A111" s="1">
        <v>110</v>
      </c>
      <c r="B111" s="1" t="s">
        <v>472</v>
      </c>
      <c r="C111" s="2">
        <v>42292</v>
      </c>
      <c r="D111" s="2">
        <v>42297</v>
      </c>
      <c r="E111" s="1" t="s">
        <v>48</v>
      </c>
      <c r="F111" s="1" t="s">
        <v>473</v>
      </c>
      <c r="G111" s="1" t="s">
        <v>474</v>
      </c>
      <c r="H111" s="1" t="s">
        <v>100</v>
      </c>
      <c r="I111" s="1" t="s">
        <v>25</v>
      </c>
      <c r="J111" s="1" t="s">
        <v>475</v>
      </c>
      <c r="K111" s="1" t="s">
        <v>209</v>
      </c>
      <c r="L111" s="1">
        <v>60462</v>
      </c>
      <c r="M111" s="1" t="s">
        <v>103</v>
      </c>
      <c r="N111" s="1" t="s">
        <v>476</v>
      </c>
      <c r="O111" s="1" t="s">
        <v>69</v>
      </c>
      <c r="P111" s="1" t="s">
        <v>159</v>
      </c>
      <c r="Q111" s="1" t="s">
        <v>477</v>
      </c>
      <c r="R111" s="1">
        <v>339.96</v>
      </c>
      <c r="S111" s="1">
        <v>5</v>
      </c>
      <c r="T111" s="3">
        <v>0.2</v>
      </c>
      <c r="U111" s="4">
        <v>67.992000000000004</v>
      </c>
      <c r="V111" s="1" t="str">
        <f t="shared" si="10"/>
        <v>Standard Class</v>
      </c>
      <c r="W111" s="1" t="str">
        <f t="shared" si="11"/>
        <v>Home Office</v>
      </c>
      <c r="X111" s="1" t="str">
        <f t="shared" si="12"/>
        <v>Orland Park - Illinois</v>
      </c>
      <c r="Y111" s="1" t="str">
        <f t="shared" si="13"/>
        <v>Accessories</v>
      </c>
      <c r="Z111" s="1">
        <f t="shared" si="14"/>
        <v>339.96</v>
      </c>
      <c r="AA111" s="1">
        <f t="shared" si="15"/>
        <v>339.96</v>
      </c>
      <c r="AB111" s="1">
        <f t="shared" si="16"/>
        <v>1699.8</v>
      </c>
      <c r="AC111" s="4">
        <f t="shared" si="17"/>
        <v>1359.8400000000001</v>
      </c>
      <c r="AD111" s="1" t="s">
        <v>2013</v>
      </c>
      <c r="AE111" s="1" t="str">
        <f t="shared" si="18"/>
        <v>2015</v>
      </c>
      <c r="AF111" s="1" t="str">
        <f t="shared" si="19"/>
        <v>129476</v>
      </c>
    </row>
    <row r="112" spans="1:32" x14ac:dyDescent="0.3">
      <c r="A112" s="1">
        <v>111</v>
      </c>
      <c r="B112" s="1" t="s">
        <v>478</v>
      </c>
      <c r="C112" s="2">
        <v>43094</v>
      </c>
      <c r="D112" s="2">
        <v>43099</v>
      </c>
      <c r="E112" s="1" t="s">
        <v>48</v>
      </c>
      <c r="F112" s="1" t="s">
        <v>479</v>
      </c>
      <c r="G112" s="1" t="s">
        <v>480</v>
      </c>
      <c r="H112" s="1" t="s">
        <v>39</v>
      </c>
      <c r="I112" s="1" t="s">
        <v>25</v>
      </c>
      <c r="J112" s="1" t="s">
        <v>264</v>
      </c>
      <c r="K112" s="1" t="s">
        <v>265</v>
      </c>
      <c r="L112" s="1">
        <v>10035</v>
      </c>
      <c r="M112" s="1" t="s">
        <v>146</v>
      </c>
      <c r="N112" s="1" t="s">
        <v>481</v>
      </c>
      <c r="O112" s="1" t="s">
        <v>30</v>
      </c>
      <c r="P112" s="1" t="s">
        <v>63</v>
      </c>
      <c r="Q112" s="1" t="s">
        <v>482</v>
      </c>
      <c r="R112" s="1">
        <v>41.96</v>
      </c>
      <c r="S112" s="1">
        <v>2</v>
      </c>
      <c r="T112" s="3">
        <v>0</v>
      </c>
      <c r="U112" s="4">
        <v>10.909599999999999</v>
      </c>
      <c r="V112" s="1" t="str">
        <f t="shared" si="10"/>
        <v>Standard Class</v>
      </c>
      <c r="W112" s="1" t="str">
        <f t="shared" si="11"/>
        <v>Corporate</v>
      </c>
      <c r="X112" s="1" t="str">
        <f t="shared" si="12"/>
        <v>New York City - New York</v>
      </c>
      <c r="Y112" s="1" t="str">
        <f t="shared" si="13"/>
        <v>Furnishings</v>
      </c>
      <c r="Z112" s="1">
        <f t="shared" si="14"/>
        <v>41.96</v>
      </c>
      <c r="AA112" s="1">
        <f t="shared" si="15"/>
        <v>41.96</v>
      </c>
      <c r="AB112" s="1">
        <f t="shared" si="16"/>
        <v>83.92</v>
      </c>
      <c r="AC112" s="4">
        <f t="shared" si="17"/>
        <v>83.92</v>
      </c>
      <c r="AD112" s="1" t="s">
        <v>2013</v>
      </c>
      <c r="AE112" s="1" t="str">
        <f t="shared" si="18"/>
        <v>2017</v>
      </c>
      <c r="AF112" s="1" t="str">
        <f t="shared" si="19"/>
        <v>146780</v>
      </c>
    </row>
    <row r="113" spans="1:32" x14ac:dyDescent="0.3">
      <c r="A113" s="1">
        <v>112</v>
      </c>
      <c r="B113" s="1" t="s">
        <v>483</v>
      </c>
      <c r="C113" s="2">
        <v>42677</v>
      </c>
      <c r="D113" s="2">
        <v>42684</v>
      </c>
      <c r="E113" s="1" t="s">
        <v>48</v>
      </c>
      <c r="F113" s="1" t="s">
        <v>484</v>
      </c>
      <c r="G113" s="1" t="s">
        <v>485</v>
      </c>
      <c r="H113" s="1" t="s">
        <v>24</v>
      </c>
      <c r="I113" s="1" t="s">
        <v>25</v>
      </c>
      <c r="J113" s="1" t="s">
        <v>486</v>
      </c>
      <c r="K113" s="1" t="s">
        <v>487</v>
      </c>
      <c r="L113" s="1">
        <v>50322</v>
      </c>
      <c r="M113" s="1" t="s">
        <v>103</v>
      </c>
      <c r="N113" s="1" t="s">
        <v>488</v>
      </c>
      <c r="O113" s="1" t="s">
        <v>44</v>
      </c>
      <c r="P113" s="1" t="s">
        <v>66</v>
      </c>
      <c r="Q113" s="1" t="s">
        <v>489</v>
      </c>
      <c r="R113" s="1">
        <v>75.959999999999994</v>
      </c>
      <c r="S113" s="1">
        <v>2</v>
      </c>
      <c r="T113" s="3">
        <v>0</v>
      </c>
      <c r="U113" s="4">
        <v>22.788</v>
      </c>
      <c r="V113" s="1" t="str">
        <f t="shared" si="10"/>
        <v>Standard Class</v>
      </c>
      <c r="W113" s="1" t="str">
        <f t="shared" si="11"/>
        <v>Consumer</v>
      </c>
      <c r="X113" s="1" t="str">
        <f t="shared" si="12"/>
        <v>Urbandale - Iowa</v>
      </c>
      <c r="Y113" s="1" t="str">
        <f t="shared" si="13"/>
        <v>Art</v>
      </c>
      <c r="Z113" s="1">
        <f t="shared" si="14"/>
        <v>75.959999999999994</v>
      </c>
      <c r="AA113" s="1">
        <f t="shared" si="15"/>
        <v>75.959999999999994</v>
      </c>
      <c r="AB113" s="1">
        <f t="shared" si="16"/>
        <v>151.91999999999999</v>
      </c>
      <c r="AC113" s="4">
        <f t="shared" si="17"/>
        <v>151.91999999999999</v>
      </c>
      <c r="AD113" s="1" t="s">
        <v>2013</v>
      </c>
      <c r="AE113" s="1" t="str">
        <f t="shared" si="18"/>
        <v>2016</v>
      </c>
      <c r="AF113" s="1" t="str">
        <f t="shared" si="19"/>
        <v>128867</v>
      </c>
    </row>
    <row r="114" spans="1:32" x14ac:dyDescent="0.3">
      <c r="A114" s="1">
        <v>113</v>
      </c>
      <c r="B114" s="1" t="s">
        <v>483</v>
      </c>
      <c r="C114" s="2">
        <v>42677</v>
      </c>
      <c r="D114" s="2">
        <v>42684</v>
      </c>
      <c r="E114" s="1" t="s">
        <v>48</v>
      </c>
      <c r="F114" s="1" t="s">
        <v>484</v>
      </c>
      <c r="G114" s="1" t="s">
        <v>485</v>
      </c>
      <c r="H114" s="1" t="s">
        <v>24</v>
      </c>
      <c r="I114" s="1" t="s">
        <v>25</v>
      </c>
      <c r="J114" s="1" t="s">
        <v>486</v>
      </c>
      <c r="K114" s="1" t="s">
        <v>487</v>
      </c>
      <c r="L114" s="1">
        <v>50322</v>
      </c>
      <c r="M114" s="1" t="s">
        <v>103</v>
      </c>
      <c r="N114" s="1" t="s">
        <v>490</v>
      </c>
      <c r="O114" s="1" t="s">
        <v>44</v>
      </c>
      <c r="P114" s="1" t="s">
        <v>73</v>
      </c>
      <c r="Q114" s="1" t="s">
        <v>491</v>
      </c>
      <c r="R114" s="1">
        <v>27.24</v>
      </c>
      <c r="S114" s="1">
        <v>6</v>
      </c>
      <c r="T114" s="3">
        <v>0</v>
      </c>
      <c r="U114" s="4">
        <v>13.3476</v>
      </c>
      <c r="V114" s="1" t="str">
        <f t="shared" si="10"/>
        <v>Standard Class</v>
      </c>
      <c r="W114" s="1" t="str">
        <f t="shared" si="11"/>
        <v>Consumer</v>
      </c>
      <c r="X114" s="1" t="str">
        <f t="shared" si="12"/>
        <v>Urbandale - Iowa</v>
      </c>
      <c r="Y114" s="1" t="str">
        <f t="shared" si="13"/>
        <v>Binders</v>
      </c>
      <c r="Z114" s="1">
        <f t="shared" si="14"/>
        <v>27.24</v>
      </c>
      <c r="AA114" s="1">
        <f t="shared" si="15"/>
        <v>27.24</v>
      </c>
      <c r="AB114" s="1">
        <f t="shared" si="16"/>
        <v>163.44</v>
      </c>
      <c r="AC114" s="4">
        <f t="shared" si="17"/>
        <v>163.44</v>
      </c>
      <c r="AD114" s="1" t="s">
        <v>2013</v>
      </c>
      <c r="AE114" s="1" t="str">
        <f t="shared" si="18"/>
        <v>2016</v>
      </c>
      <c r="AF114" s="1" t="str">
        <f t="shared" si="19"/>
        <v>128867</v>
      </c>
    </row>
    <row r="115" spans="1:32" x14ac:dyDescent="0.3">
      <c r="A115" s="1">
        <v>114</v>
      </c>
      <c r="B115" s="1" t="s">
        <v>492</v>
      </c>
      <c r="C115" s="2">
        <v>41876</v>
      </c>
      <c r="D115" s="2">
        <v>41878</v>
      </c>
      <c r="E115" s="1" t="s">
        <v>21</v>
      </c>
      <c r="F115" s="1" t="s">
        <v>493</v>
      </c>
      <c r="G115" s="1" t="s">
        <v>494</v>
      </c>
      <c r="H115" s="1" t="s">
        <v>24</v>
      </c>
      <c r="I115" s="1" t="s">
        <v>25</v>
      </c>
      <c r="J115" s="1" t="s">
        <v>495</v>
      </c>
      <c r="K115" s="1" t="s">
        <v>496</v>
      </c>
      <c r="L115" s="1">
        <v>43229</v>
      </c>
      <c r="M115" s="1" t="s">
        <v>146</v>
      </c>
      <c r="N115" s="1" t="s">
        <v>497</v>
      </c>
      <c r="O115" s="1" t="s">
        <v>44</v>
      </c>
      <c r="P115" s="1" t="s">
        <v>267</v>
      </c>
      <c r="Q115" s="1" t="s">
        <v>498</v>
      </c>
      <c r="R115" s="1">
        <v>40.095999999999997</v>
      </c>
      <c r="S115" s="1">
        <v>14</v>
      </c>
      <c r="T115" s="3">
        <v>0.2</v>
      </c>
      <c r="U115" s="4">
        <v>14.534800000000001</v>
      </c>
      <c r="V115" s="1" t="str">
        <f t="shared" si="10"/>
        <v>Second Class</v>
      </c>
      <c r="W115" s="1" t="str">
        <f t="shared" si="11"/>
        <v>Consumer</v>
      </c>
      <c r="X115" s="1" t="str">
        <f t="shared" si="12"/>
        <v>Columbus - Ohio</v>
      </c>
      <c r="Y115" s="1" t="str">
        <f t="shared" si="13"/>
        <v>Fasteners</v>
      </c>
      <c r="Z115" s="1">
        <f t="shared" si="14"/>
        <v>40.095999999999997</v>
      </c>
      <c r="AA115" s="1">
        <f t="shared" si="15"/>
        <v>40.095999999999997</v>
      </c>
      <c r="AB115" s="1">
        <f t="shared" si="16"/>
        <v>561.34399999999994</v>
      </c>
      <c r="AC115" s="4">
        <f t="shared" si="17"/>
        <v>449.0752</v>
      </c>
      <c r="AD115" s="1" t="s">
        <v>2013</v>
      </c>
      <c r="AE115" s="1" t="str">
        <f t="shared" si="18"/>
        <v>2014</v>
      </c>
      <c r="AF115" s="1" t="str">
        <f t="shared" si="19"/>
        <v>115259</v>
      </c>
    </row>
    <row r="116" spans="1:32" x14ac:dyDescent="0.3">
      <c r="A116" s="1">
        <v>115</v>
      </c>
      <c r="B116" s="1" t="s">
        <v>492</v>
      </c>
      <c r="C116" s="2">
        <v>41876</v>
      </c>
      <c r="D116" s="2">
        <v>41878</v>
      </c>
      <c r="E116" s="1" t="s">
        <v>21</v>
      </c>
      <c r="F116" s="1" t="s">
        <v>493</v>
      </c>
      <c r="G116" s="1" t="s">
        <v>494</v>
      </c>
      <c r="H116" s="1" t="s">
        <v>24</v>
      </c>
      <c r="I116" s="1" t="s">
        <v>25</v>
      </c>
      <c r="J116" s="1" t="s">
        <v>495</v>
      </c>
      <c r="K116" s="1" t="s">
        <v>496</v>
      </c>
      <c r="L116" s="1">
        <v>43229</v>
      </c>
      <c r="M116" s="1" t="s">
        <v>146</v>
      </c>
      <c r="N116" s="1" t="s">
        <v>499</v>
      </c>
      <c r="O116" s="1" t="s">
        <v>44</v>
      </c>
      <c r="P116" s="1" t="s">
        <v>171</v>
      </c>
      <c r="Q116" s="1" t="s">
        <v>500</v>
      </c>
      <c r="R116" s="1">
        <v>4.72</v>
      </c>
      <c r="S116" s="1">
        <v>2</v>
      </c>
      <c r="T116" s="3">
        <v>0.2</v>
      </c>
      <c r="U116" s="4">
        <v>1.6519999999999999</v>
      </c>
      <c r="V116" s="1" t="str">
        <f t="shared" si="10"/>
        <v>Second Class</v>
      </c>
      <c r="W116" s="1" t="str">
        <f t="shared" si="11"/>
        <v>Consumer</v>
      </c>
      <c r="X116" s="1" t="str">
        <f t="shared" si="12"/>
        <v>Columbus - Ohio</v>
      </c>
      <c r="Y116" s="1" t="str">
        <f t="shared" si="13"/>
        <v>Envelopes</v>
      </c>
      <c r="Z116" s="1">
        <f t="shared" si="14"/>
        <v>4.72</v>
      </c>
      <c r="AA116" s="1">
        <f t="shared" si="15"/>
        <v>4.72</v>
      </c>
      <c r="AB116" s="1">
        <f t="shared" si="16"/>
        <v>9.44</v>
      </c>
      <c r="AC116" s="4">
        <f t="shared" si="17"/>
        <v>7.5519999999999996</v>
      </c>
      <c r="AD116" s="1" t="s">
        <v>2013</v>
      </c>
      <c r="AE116" s="1" t="str">
        <f t="shared" si="18"/>
        <v>2014</v>
      </c>
      <c r="AF116" s="1" t="str">
        <f t="shared" si="19"/>
        <v>115259</v>
      </c>
    </row>
    <row r="117" spans="1:32" x14ac:dyDescent="0.3">
      <c r="A117" s="1">
        <v>116</v>
      </c>
      <c r="B117" s="1" t="s">
        <v>492</v>
      </c>
      <c r="C117" s="2">
        <v>41876</v>
      </c>
      <c r="D117" s="2">
        <v>41878</v>
      </c>
      <c r="E117" s="1" t="s">
        <v>21</v>
      </c>
      <c r="F117" s="1" t="s">
        <v>493</v>
      </c>
      <c r="G117" s="1" t="s">
        <v>494</v>
      </c>
      <c r="H117" s="1" t="s">
        <v>24</v>
      </c>
      <c r="I117" s="1" t="s">
        <v>25</v>
      </c>
      <c r="J117" s="1" t="s">
        <v>495</v>
      </c>
      <c r="K117" s="1" t="s">
        <v>496</v>
      </c>
      <c r="L117" s="1">
        <v>43229</v>
      </c>
      <c r="M117" s="1" t="s">
        <v>146</v>
      </c>
      <c r="N117" s="1" t="s">
        <v>501</v>
      </c>
      <c r="O117" s="1" t="s">
        <v>44</v>
      </c>
      <c r="P117" s="1" t="s">
        <v>88</v>
      </c>
      <c r="Q117" s="1" t="s">
        <v>502</v>
      </c>
      <c r="R117" s="1">
        <v>23.975999999999999</v>
      </c>
      <c r="S117" s="1">
        <v>3</v>
      </c>
      <c r="T117" s="3">
        <v>0.2</v>
      </c>
      <c r="U117" s="4">
        <v>7.4924999999999997</v>
      </c>
      <c r="V117" s="1" t="str">
        <f t="shared" si="10"/>
        <v>Second Class</v>
      </c>
      <c r="W117" s="1" t="str">
        <f t="shared" si="11"/>
        <v>Consumer</v>
      </c>
      <c r="X117" s="1" t="str">
        <f t="shared" si="12"/>
        <v>Columbus - Ohio</v>
      </c>
      <c r="Y117" s="1" t="str">
        <f t="shared" si="13"/>
        <v>Paper</v>
      </c>
      <c r="Z117" s="1">
        <f t="shared" si="14"/>
        <v>23.975999999999999</v>
      </c>
      <c r="AA117" s="1">
        <f t="shared" si="15"/>
        <v>23.975999999999999</v>
      </c>
      <c r="AB117" s="1">
        <f t="shared" si="16"/>
        <v>71.927999999999997</v>
      </c>
      <c r="AC117" s="4">
        <f t="shared" si="17"/>
        <v>57.542400000000001</v>
      </c>
      <c r="AD117" s="1" t="s">
        <v>2013</v>
      </c>
      <c r="AE117" s="1" t="str">
        <f t="shared" si="18"/>
        <v>2014</v>
      </c>
      <c r="AF117" s="1" t="str">
        <f t="shared" si="19"/>
        <v>115259</v>
      </c>
    </row>
    <row r="118" spans="1:32" x14ac:dyDescent="0.3">
      <c r="A118" s="1">
        <v>117</v>
      </c>
      <c r="B118" s="1" t="s">
        <v>492</v>
      </c>
      <c r="C118" s="2">
        <v>41876</v>
      </c>
      <c r="D118" s="2">
        <v>41878</v>
      </c>
      <c r="E118" s="1" t="s">
        <v>21</v>
      </c>
      <c r="F118" s="1" t="s">
        <v>493</v>
      </c>
      <c r="G118" s="1" t="s">
        <v>494</v>
      </c>
      <c r="H118" s="1" t="s">
        <v>24</v>
      </c>
      <c r="I118" s="1" t="s">
        <v>25</v>
      </c>
      <c r="J118" s="1" t="s">
        <v>495</v>
      </c>
      <c r="K118" s="1" t="s">
        <v>496</v>
      </c>
      <c r="L118" s="1">
        <v>43229</v>
      </c>
      <c r="M118" s="1" t="s">
        <v>146</v>
      </c>
      <c r="N118" s="1" t="s">
        <v>503</v>
      </c>
      <c r="O118" s="1" t="s">
        <v>44</v>
      </c>
      <c r="P118" s="1" t="s">
        <v>171</v>
      </c>
      <c r="Q118" s="1" t="s">
        <v>504</v>
      </c>
      <c r="R118" s="1">
        <v>130.464</v>
      </c>
      <c r="S118" s="1">
        <v>6</v>
      </c>
      <c r="T118" s="3">
        <v>0.2</v>
      </c>
      <c r="U118" s="4">
        <v>44.031599999999997</v>
      </c>
      <c r="V118" s="1" t="str">
        <f t="shared" si="10"/>
        <v>Second Class</v>
      </c>
      <c r="W118" s="1" t="str">
        <f t="shared" si="11"/>
        <v>Consumer</v>
      </c>
      <c r="X118" s="1" t="str">
        <f t="shared" si="12"/>
        <v>Columbus - Ohio</v>
      </c>
      <c r="Y118" s="1" t="str">
        <f t="shared" si="13"/>
        <v>Envelopes</v>
      </c>
      <c r="Z118" s="1">
        <f t="shared" si="14"/>
        <v>130.464</v>
      </c>
      <c r="AA118" s="1">
        <f t="shared" si="15"/>
        <v>130.464</v>
      </c>
      <c r="AB118" s="1">
        <f t="shared" si="16"/>
        <v>782.78399999999999</v>
      </c>
      <c r="AC118" s="4">
        <f t="shared" si="17"/>
        <v>626.22720000000004</v>
      </c>
      <c r="AD118" s="1" t="s">
        <v>2013</v>
      </c>
      <c r="AE118" s="1" t="str">
        <f t="shared" si="18"/>
        <v>2014</v>
      </c>
      <c r="AF118" s="1" t="str">
        <f t="shared" si="19"/>
        <v>115259</v>
      </c>
    </row>
    <row r="119" spans="1:32" x14ac:dyDescent="0.3">
      <c r="A119" s="1">
        <v>118</v>
      </c>
      <c r="B119" s="1" t="s">
        <v>505</v>
      </c>
      <c r="C119" s="2">
        <v>42065</v>
      </c>
      <c r="D119" s="2">
        <v>42069</v>
      </c>
      <c r="E119" s="1" t="s">
        <v>48</v>
      </c>
      <c r="F119" s="1" t="s">
        <v>506</v>
      </c>
      <c r="G119" s="1" t="s">
        <v>507</v>
      </c>
      <c r="H119" s="1" t="s">
        <v>24</v>
      </c>
      <c r="I119" s="1" t="s">
        <v>25</v>
      </c>
      <c r="J119" s="1" t="s">
        <v>93</v>
      </c>
      <c r="K119" s="1" t="s">
        <v>94</v>
      </c>
      <c r="L119" s="1">
        <v>98103</v>
      </c>
      <c r="M119" s="1" t="s">
        <v>42</v>
      </c>
      <c r="N119" s="1" t="s">
        <v>508</v>
      </c>
      <c r="O119" s="1" t="s">
        <v>30</v>
      </c>
      <c r="P119" s="1" t="s">
        <v>54</v>
      </c>
      <c r="Q119" s="1" t="s">
        <v>509</v>
      </c>
      <c r="R119" s="1">
        <v>787.53</v>
      </c>
      <c r="S119" s="1">
        <v>3</v>
      </c>
      <c r="T119" s="3">
        <v>0</v>
      </c>
      <c r="U119" s="4">
        <v>165.38130000000001</v>
      </c>
      <c r="V119" s="1" t="str">
        <f t="shared" si="10"/>
        <v>Standard Class</v>
      </c>
      <c r="W119" s="1" t="str">
        <f t="shared" si="11"/>
        <v>Consumer</v>
      </c>
      <c r="X119" s="1" t="str">
        <f t="shared" si="12"/>
        <v>Seattle - Washington</v>
      </c>
      <c r="Y119" s="1" t="str">
        <f t="shared" si="13"/>
        <v>Tables</v>
      </c>
      <c r="Z119" s="1">
        <f t="shared" si="14"/>
        <v>787.53</v>
      </c>
      <c r="AA119" s="1">
        <f t="shared" si="15"/>
        <v>787.53</v>
      </c>
      <c r="AB119" s="1">
        <f t="shared" si="16"/>
        <v>2362.59</v>
      </c>
      <c r="AC119" s="4">
        <f t="shared" si="17"/>
        <v>2362.59</v>
      </c>
      <c r="AD119" s="1" t="s">
        <v>2013</v>
      </c>
      <c r="AE119" s="1" t="str">
        <f t="shared" si="18"/>
        <v>2015</v>
      </c>
      <c r="AF119" s="1" t="str">
        <f t="shared" si="19"/>
        <v>110457</v>
      </c>
    </row>
    <row r="120" spans="1:32" x14ac:dyDescent="0.3">
      <c r="A120" s="1">
        <v>119</v>
      </c>
      <c r="B120" s="1" t="s">
        <v>510</v>
      </c>
      <c r="C120" s="2">
        <v>42099</v>
      </c>
      <c r="D120" s="2">
        <v>42104</v>
      </c>
      <c r="E120" s="1" t="s">
        <v>48</v>
      </c>
      <c r="F120" s="1" t="s">
        <v>511</v>
      </c>
      <c r="G120" s="1" t="s">
        <v>512</v>
      </c>
      <c r="H120" s="1" t="s">
        <v>39</v>
      </c>
      <c r="I120" s="1" t="s">
        <v>25</v>
      </c>
      <c r="J120" s="1" t="s">
        <v>513</v>
      </c>
      <c r="K120" s="1" t="s">
        <v>333</v>
      </c>
      <c r="L120" s="1">
        <v>37620</v>
      </c>
      <c r="M120" s="1" t="s">
        <v>28</v>
      </c>
      <c r="N120" s="1" t="s">
        <v>514</v>
      </c>
      <c r="O120" s="1" t="s">
        <v>44</v>
      </c>
      <c r="P120" s="1" t="s">
        <v>73</v>
      </c>
      <c r="Q120" s="1" t="s">
        <v>515</v>
      </c>
      <c r="R120" s="1">
        <v>157.79400000000001</v>
      </c>
      <c r="S120" s="1">
        <v>1</v>
      </c>
      <c r="T120" s="3">
        <v>0.7</v>
      </c>
      <c r="U120" s="4">
        <v>-115.71559999999999</v>
      </c>
      <c r="V120" s="1" t="str">
        <f t="shared" si="10"/>
        <v>Standard Class</v>
      </c>
      <c r="W120" s="1" t="str">
        <f t="shared" si="11"/>
        <v>Corporate</v>
      </c>
      <c r="X120" s="1" t="str">
        <f t="shared" si="12"/>
        <v>Bristol - Tennessee</v>
      </c>
      <c r="Y120" s="1" t="str">
        <f t="shared" si="13"/>
        <v>Binders</v>
      </c>
      <c r="Z120" s="1">
        <f t="shared" si="14"/>
        <v>157.79400000000001</v>
      </c>
      <c r="AA120" s="1">
        <f t="shared" si="15"/>
        <v>157.79400000000001</v>
      </c>
      <c r="AB120" s="1">
        <f t="shared" si="16"/>
        <v>157.79400000000001</v>
      </c>
      <c r="AC120" s="4">
        <f t="shared" si="17"/>
        <v>47.338200000000008</v>
      </c>
      <c r="AD120" s="1" t="s">
        <v>2014</v>
      </c>
      <c r="AE120" s="1" t="str">
        <f t="shared" si="18"/>
        <v>2015</v>
      </c>
      <c r="AF120" s="1" t="str">
        <f t="shared" si="19"/>
        <v>136476</v>
      </c>
    </row>
    <row r="121" spans="1:32" x14ac:dyDescent="0.3">
      <c r="A121" s="1">
        <v>120</v>
      </c>
      <c r="B121" s="1" t="s">
        <v>516</v>
      </c>
      <c r="C121" s="2">
        <v>42533</v>
      </c>
      <c r="D121" s="2">
        <v>42536</v>
      </c>
      <c r="E121" s="1" t="s">
        <v>186</v>
      </c>
      <c r="F121" s="1" t="s">
        <v>517</v>
      </c>
      <c r="G121" s="1" t="s">
        <v>518</v>
      </c>
      <c r="H121" s="1" t="s">
        <v>24</v>
      </c>
      <c r="I121" s="1" t="s">
        <v>25</v>
      </c>
      <c r="J121" s="1" t="s">
        <v>519</v>
      </c>
      <c r="K121" s="1" t="s">
        <v>243</v>
      </c>
      <c r="L121" s="1">
        <v>19805</v>
      </c>
      <c r="M121" s="1" t="s">
        <v>146</v>
      </c>
      <c r="N121" s="1" t="s">
        <v>520</v>
      </c>
      <c r="O121" s="1" t="s">
        <v>30</v>
      </c>
      <c r="P121" s="1" t="s">
        <v>63</v>
      </c>
      <c r="Q121" s="1" t="s">
        <v>521</v>
      </c>
      <c r="R121" s="1">
        <v>47.04</v>
      </c>
      <c r="S121" s="1">
        <v>3</v>
      </c>
      <c r="T121" s="3">
        <v>0</v>
      </c>
      <c r="U121" s="4">
        <v>18.345600000000001</v>
      </c>
      <c r="V121" s="1" t="str">
        <f t="shared" si="10"/>
        <v>First Class</v>
      </c>
      <c r="W121" s="1" t="str">
        <f t="shared" si="11"/>
        <v>Consumer</v>
      </c>
      <c r="X121" s="1" t="str">
        <f t="shared" si="12"/>
        <v>Wilmington - Delaware</v>
      </c>
      <c r="Y121" s="1" t="str">
        <f t="shared" si="13"/>
        <v>Furnishings</v>
      </c>
      <c r="Z121" s="1">
        <f t="shared" si="14"/>
        <v>47.04</v>
      </c>
      <c r="AA121" s="1">
        <f t="shared" si="15"/>
        <v>47.04</v>
      </c>
      <c r="AB121" s="1">
        <f t="shared" si="16"/>
        <v>141.12</v>
      </c>
      <c r="AC121" s="4">
        <f t="shared" si="17"/>
        <v>141.12</v>
      </c>
      <c r="AD121" s="1" t="s">
        <v>2013</v>
      </c>
      <c r="AE121" s="1" t="str">
        <f t="shared" si="18"/>
        <v>2016</v>
      </c>
      <c r="AF121" s="1" t="str">
        <f t="shared" si="19"/>
        <v>103730</v>
      </c>
    </row>
    <row r="122" spans="1:32" x14ac:dyDescent="0.3">
      <c r="A122" s="1">
        <v>121</v>
      </c>
      <c r="B122" s="1" t="s">
        <v>516</v>
      </c>
      <c r="C122" s="2">
        <v>42533</v>
      </c>
      <c r="D122" s="2">
        <v>42536</v>
      </c>
      <c r="E122" s="1" t="s">
        <v>186</v>
      </c>
      <c r="F122" s="1" t="s">
        <v>517</v>
      </c>
      <c r="G122" s="1" t="s">
        <v>518</v>
      </c>
      <c r="H122" s="1" t="s">
        <v>24</v>
      </c>
      <c r="I122" s="1" t="s">
        <v>25</v>
      </c>
      <c r="J122" s="1" t="s">
        <v>519</v>
      </c>
      <c r="K122" s="1" t="s">
        <v>243</v>
      </c>
      <c r="L122" s="1">
        <v>19805</v>
      </c>
      <c r="M122" s="1" t="s">
        <v>146</v>
      </c>
      <c r="N122" s="1" t="s">
        <v>72</v>
      </c>
      <c r="O122" s="1" t="s">
        <v>44</v>
      </c>
      <c r="P122" s="1" t="s">
        <v>73</v>
      </c>
      <c r="Q122" s="1" t="s">
        <v>74</v>
      </c>
      <c r="R122" s="1">
        <v>30.84</v>
      </c>
      <c r="S122" s="1">
        <v>4</v>
      </c>
      <c r="T122" s="3">
        <v>0</v>
      </c>
      <c r="U122" s="4">
        <v>13.878</v>
      </c>
      <c r="V122" s="1" t="str">
        <f t="shared" si="10"/>
        <v>First Class</v>
      </c>
      <c r="W122" s="1" t="str">
        <f t="shared" si="11"/>
        <v>Consumer</v>
      </c>
      <c r="X122" s="1" t="str">
        <f t="shared" si="12"/>
        <v>Wilmington - Delaware</v>
      </c>
      <c r="Y122" s="1" t="str">
        <f t="shared" si="13"/>
        <v>Binders</v>
      </c>
      <c r="Z122" s="1">
        <f t="shared" si="14"/>
        <v>30.84</v>
      </c>
      <c r="AA122" s="1">
        <f t="shared" si="15"/>
        <v>30.84</v>
      </c>
      <c r="AB122" s="1">
        <f t="shared" si="16"/>
        <v>123.36</v>
      </c>
      <c r="AC122" s="4">
        <f t="shared" si="17"/>
        <v>123.36</v>
      </c>
      <c r="AD122" s="1" t="s">
        <v>2013</v>
      </c>
      <c r="AE122" s="1" t="str">
        <f t="shared" si="18"/>
        <v>2016</v>
      </c>
      <c r="AF122" s="1" t="str">
        <f t="shared" si="19"/>
        <v>103730</v>
      </c>
    </row>
    <row r="123" spans="1:32" x14ac:dyDescent="0.3">
      <c r="A123" s="1">
        <v>122</v>
      </c>
      <c r="B123" s="1" t="s">
        <v>516</v>
      </c>
      <c r="C123" s="2">
        <v>42533</v>
      </c>
      <c r="D123" s="2">
        <v>42536</v>
      </c>
      <c r="E123" s="1" t="s">
        <v>186</v>
      </c>
      <c r="F123" s="1" t="s">
        <v>517</v>
      </c>
      <c r="G123" s="1" t="s">
        <v>518</v>
      </c>
      <c r="H123" s="1" t="s">
        <v>24</v>
      </c>
      <c r="I123" s="1" t="s">
        <v>25</v>
      </c>
      <c r="J123" s="1" t="s">
        <v>519</v>
      </c>
      <c r="K123" s="1" t="s">
        <v>243</v>
      </c>
      <c r="L123" s="1">
        <v>19805</v>
      </c>
      <c r="M123" s="1" t="s">
        <v>146</v>
      </c>
      <c r="N123" s="1" t="s">
        <v>522</v>
      </c>
      <c r="O123" s="1" t="s">
        <v>44</v>
      </c>
      <c r="P123" s="1" t="s">
        <v>57</v>
      </c>
      <c r="Q123" s="1" t="s">
        <v>523</v>
      </c>
      <c r="R123" s="1">
        <v>226.56</v>
      </c>
      <c r="S123" s="1">
        <v>6</v>
      </c>
      <c r="T123" s="3">
        <v>0</v>
      </c>
      <c r="U123" s="4">
        <v>63.436799999999998</v>
      </c>
      <c r="V123" s="1" t="str">
        <f t="shared" si="10"/>
        <v>First Class</v>
      </c>
      <c r="W123" s="1" t="str">
        <f t="shared" si="11"/>
        <v>Consumer</v>
      </c>
      <c r="X123" s="1" t="str">
        <f t="shared" si="12"/>
        <v>Wilmington - Delaware</v>
      </c>
      <c r="Y123" s="1" t="str">
        <f t="shared" si="13"/>
        <v>Storage</v>
      </c>
      <c r="Z123" s="1">
        <f t="shared" si="14"/>
        <v>226.56</v>
      </c>
      <c r="AA123" s="1">
        <f t="shared" si="15"/>
        <v>226.56</v>
      </c>
      <c r="AB123" s="1">
        <f t="shared" si="16"/>
        <v>1359.3600000000001</v>
      </c>
      <c r="AC123" s="4">
        <f t="shared" si="17"/>
        <v>1359.3600000000001</v>
      </c>
      <c r="AD123" s="1" t="s">
        <v>2013</v>
      </c>
      <c r="AE123" s="1" t="str">
        <f t="shared" si="18"/>
        <v>2016</v>
      </c>
      <c r="AF123" s="1" t="str">
        <f t="shared" si="19"/>
        <v>103730</v>
      </c>
    </row>
    <row r="124" spans="1:32" x14ac:dyDescent="0.3">
      <c r="A124" s="1">
        <v>123</v>
      </c>
      <c r="B124" s="1" t="s">
        <v>516</v>
      </c>
      <c r="C124" s="2">
        <v>42533</v>
      </c>
      <c r="D124" s="2">
        <v>42536</v>
      </c>
      <c r="E124" s="1" t="s">
        <v>186</v>
      </c>
      <c r="F124" s="1" t="s">
        <v>517</v>
      </c>
      <c r="G124" s="1" t="s">
        <v>518</v>
      </c>
      <c r="H124" s="1" t="s">
        <v>24</v>
      </c>
      <c r="I124" s="1" t="s">
        <v>25</v>
      </c>
      <c r="J124" s="1" t="s">
        <v>519</v>
      </c>
      <c r="K124" s="1" t="s">
        <v>243</v>
      </c>
      <c r="L124" s="1">
        <v>19805</v>
      </c>
      <c r="M124" s="1" t="s">
        <v>146</v>
      </c>
      <c r="N124" s="1" t="s">
        <v>524</v>
      </c>
      <c r="O124" s="1" t="s">
        <v>44</v>
      </c>
      <c r="P124" s="1" t="s">
        <v>171</v>
      </c>
      <c r="Q124" s="1" t="s">
        <v>525</v>
      </c>
      <c r="R124" s="1">
        <v>115.02</v>
      </c>
      <c r="S124" s="1">
        <v>9</v>
      </c>
      <c r="T124" s="3">
        <v>0</v>
      </c>
      <c r="U124" s="4">
        <v>51.759</v>
      </c>
      <c r="V124" s="1" t="str">
        <f t="shared" si="10"/>
        <v>First Class</v>
      </c>
      <c r="W124" s="1" t="str">
        <f t="shared" si="11"/>
        <v>Consumer</v>
      </c>
      <c r="X124" s="1" t="str">
        <f t="shared" si="12"/>
        <v>Wilmington - Delaware</v>
      </c>
      <c r="Y124" s="1" t="str">
        <f t="shared" si="13"/>
        <v>Envelopes</v>
      </c>
      <c r="Z124" s="1">
        <f t="shared" si="14"/>
        <v>115.02</v>
      </c>
      <c r="AA124" s="1">
        <f t="shared" si="15"/>
        <v>115.02</v>
      </c>
      <c r="AB124" s="1">
        <f t="shared" si="16"/>
        <v>1035.18</v>
      </c>
      <c r="AC124" s="4">
        <f t="shared" si="17"/>
        <v>1035.18</v>
      </c>
      <c r="AD124" s="1" t="s">
        <v>2013</v>
      </c>
      <c r="AE124" s="1" t="str">
        <f t="shared" si="18"/>
        <v>2016</v>
      </c>
      <c r="AF124" s="1" t="str">
        <f t="shared" si="19"/>
        <v>103730</v>
      </c>
    </row>
    <row r="125" spans="1:32" x14ac:dyDescent="0.3">
      <c r="A125" s="1">
        <v>124</v>
      </c>
      <c r="B125" s="1" t="s">
        <v>516</v>
      </c>
      <c r="C125" s="2">
        <v>42533</v>
      </c>
      <c r="D125" s="2">
        <v>42536</v>
      </c>
      <c r="E125" s="1" t="s">
        <v>186</v>
      </c>
      <c r="F125" s="1" t="s">
        <v>517</v>
      </c>
      <c r="G125" s="1" t="s">
        <v>518</v>
      </c>
      <c r="H125" s="1" t="s">
        <v>24</v>
      </c>
      <c r="I125" s="1" t="s">
        <v>25</v>
      </c>
      <c r="J125" s="1" t="s">
        <v>519</v>
      </c>
      <c r="K125" s="1" t="s">
        <v>243</v>
      </c>
      <c r="L125" s="1">
        <v>19805</v>
      </c>
      <c r="M125" s="1" t="s">
        <v>146</v>
      </c>
      <c r="N125" s="1" t="s">
        <v>526</v>
      </c>
      <c r="O125" s="1" t="s">
        <v>69</v>
      </c>
      <c r="P125" s="1" t="s">
        <v>70</v>
      </c>
      <c r="Q125" s="1" t="s">
        <v>527</v>
      </c>
      <c r="R125" s="1">
        <v>68.040000000000006</v>
      </c>
      <c r="S125" s="1">
        <v>7</v>
      </c>
      <c r="T125" s="3">
        <v>0</v>
      </c>
      <c r="U125" s="4">
        <v>19.7316</v>
      </c>
      <c r="V125" s="1" t="str">
        <f t="shared" si="10"/>
        <v>First Class</v>
      </c>
      <c r="W125" s="1" t="str">
        <f t="shared" si="11"/>
        <v>Consumer</v>
      </c>
      <c r="X125" s="1" t="str">
        <f t="shared" si="12"/>
        <v>Wilmington - Delaware</v>
      </c>
      <c r="Y125" s="1" t="str">
        <f t="shared" si="13"/>
        <v>Phones</v>
      </c>
      <c r="Z125" s="1">
        <f t="shared" si="14"/>
        <v>68.040000000000006</v>
      </c>
      <c r="AA125" s="1">
        <f t="shared" si="15"/>
        <v>68.040000000000006</v>
      </c>
      <c r="AB125" s="1">
        <f t="shared" si="16"/>
        <v>476.28000000000003</v>
      </c>
      <c r="AC125" s="4">
        <f t="shared" si="17"/>
        <v>476.28000000000003</v>
      </c>
      <c r="AD125" s="1" t="s">
        <v>2013</v>
      </c>
      <c r="AE125" s="1" t="str">
        <f t="shared" si="18"/>
        <v>2016</v>
      </c>
      <c r="AF125" s="1" t="str">
        <f t="shared" si="19"/>
        <v>103730</v>
      </c>
    </row>
    <row r="126" spans="1:32" x14ac:dyDescent="0.3">
      <c r="A126" s="1">
        <v>125</v>
      </c>
      <c r="B126" s="1" t="s">
        <v>528</v>
      </c>
      <c r="C126" s="2">
        <v>41999</v>
      </c>
      <c r="D126" s="2">
        <v>42001</v>
      </c>
      <c r="E126" s="1" t="s">
        <v>21</v>
      </c>
      <c r="F126" s="1" t="s">
        <v>529</v>
      </c>
      <c r="G126" s="1" t="s">
        <v>530</v>
      </c>
      <c r="H126" s="1" t="s">
        <v>100</v>
      </c>
      <c r="I126" s="1" t="s">
        <v>25</v>
      </c>
      <c r="J126" s="1" t="s">
        <v>182</v>
      </c>
      <c r="K126" s="1" t="s">
        <v>102</v>
      </c>
      <c r="L126" s="1">
        <v>77041</v>
      </c>
      <c r="M126" s="1" t="s">
        <v>103</v>
      </c>
      <c r="N126" s="1" t="s">
        <v>531</v>
      </c>
      <c r="O126" s="1" t="s">
        <v>30</v>
      </c>
      <c r="P126" s="1" t="s">
        <v>34</v>
      </c>
      <c r="Q126" s="1" t="s">
        <v>532</v>
      </c>
      <c r="R126" s="1"/>
      <c r="S126" s="1">
        <v>3</v>
      </c>
      <c r="T126" s="3">
        <v>0.3</v>
      </c>
      <c r="U126" s="4">
        <v>-8.5793999999999997</v>
      </c>
      <c r="V126" s="1" t="str">
        <f t="shared" si="10"/>
        <v>Second Class</v>
      </c>
      <c r="W126" s="1" t="str">
        <f t="shared" si="11"/>
        <v>Home Office</v>
      </c>
      <c r="X126" s="1" t="str">
        <f t="shared" si="12"/>
        <v>Houston - Texas</v>
      </c>
      <c r="Y126" s="1" t="str">
        <f t="shared" si="13"/>
        <v>Chairs</v>
      </c>
      <c r="Z126" s="1">
        <f t="shared" ca="1" si="14"/>
        <v>403</v>
      </c>
      <c r="AA126" s="1">
        <f t="shared" ca="1" si="15"/>
        <v>503</v>
      </c>
      <c r="AB126" s="1">
        <f t="shared" ca="1" si="16"/>
        <v>1509</v>
      </c>
      <c r="AC126" s="4">
        <f t="shared" ca="1" si="17"/>
        <v>1056.3</v>
      </c>
      <c r="AD126" s="1" t="s">
        <v>2014</v>
      </c>
      <c r="AE126" s="1" t="str">
        <f t="shared" si="18"/>
        <v>2014</v>
      </c>
      <c r="AF126" s="1" t="str">
        <f t="shared" si="19"/>
        <v>152030</v>
      </c>
    </row>
    <row r="127" spans="1:32" x14ac:dyDescent="0.3">
      <c r="A127" s="1">
        <v>126</v>
      </c>
      <c r="B127" s="1" t="s">
        <v>533</v>
      </c>
      <c r="C127" s="2">
        <v>41902</v>
      </c>
      <c r="D127" s="2">
        <v>41907</v>
      </c>
      <c r="E127" s="1" t="s">
        <v>48</v>
      </c>
      <c r="F127" s="1" t="s">
        <v>534</v>
      </c>
      <c r="G127" s="1" t="s">
        <v>535</v>
      </c>
      <c r="H127" s="1" t="s">
        <v>24</v>
      </c>
      <c r="I127" s="1" t="s">
        <v>25</v>
      </c>
      <c r="J127" s="1" t="s">
        <v>536</v>
      </c>
      <c r="K127" s="1" t="s">
        <v>209</v>
      </c>
      <c r="L127" s="1">
        <v>61701</v>
      </c>
      <c r="M127" s="1" t="s">
        <v>103</v>
      </c>
      <c r="N127" s="1" t="s">
        <v>537</v>
      </c>
      <c r="O127" s="1" t="s">
        <v>30</v>
      </c>
      <c r="P127" s="1" t="s">
        <v>54</v>
      </c>
      <c r="Q127" s="1" t="s">
        <v>538</v>
      </c>
      <c r="R127" s="1">
        <v>617.70000000000005</v>
      </c>
      <c r="S127" s="1">
        <v>6</v>
      </c>
      <c r="T127" s="3">
        <v>0.5</v>
      </c>
      <c r="U127" s="4">
        <v>-407.68200000000002</v>
      </c>
      <c r="V127" s="1" t="str">
        <f t="shared" si="10"/>
        <v>Standard Class</v>
      </c>
      <c r="W127" s="1" t="str">
        <f t="shared" si="11"/>
        <v>Consumer</v>
      </c>
      <c r="X127" s="1" t="str">
        <f t="shared" si="12"/>
        <v>Bloomington - Illinois</v>
      </c>
      <c r="Y127" s="1" t="str">
        <f t="shared" si="13"/>
        <v>Tables</v>
      </c>
      <c r="Z127" s="1">
        <f t="shared" si="14"/>
        <v>617.70000000000005</v>
      </c>
      <c r="AA127" s="1">
        <f t="shared" si="15"/>
        <v>617.70000000000005</v>
      </c>
      <c r="AB127" s="1">
        <f t="shared" si="16"/>
        <v>3706.2000000000003</v>
      </c>
      <c r="AC127" s="4">
        <f t="shared" si="17"/>
        <v>1853.1000000000001</v>
      </c>
      <c r="AD127" s="1" t="s">
        <v>2014</v>
      </c>
      <c r="AE127" s="1" t="str">
        <f t="shared" si="18"/>
        <v>2014</v>
      </c>
      <c r="AF127" s="1" t="str">
        <f t="shared" si="19"/>
        <v>134614</v>
      </c>
    </row>
    <row r="128" spans="1:32" x14ac:dyDescent="0.3">
      <c r="A128" s="1">
        <v>127</v>
      </c>
      <c r="B128" s="1" t="s">
        <v>539</v>
      </c>
      <c r="C128" s="2">
        <v>43044</v>
      </c>
      <c r="D128" s="2">
        <v>43051</v>
      </c>
      <c r="E128" s="1" t="s">
        <v>48</v>
      </c>
      <c r="F128" s="1" t="s">
        <v>540</v>
      </c>
      <c r="G128" s="1" t="s">
        <v>541</v>
      </c>
      <c r="H128" s="1" t="s">
        <v>24</v>
      </c>
      <c r="I128" s="1" t="s">
        <v>25</v>
      </c>
      <c r="J128" s="1" t="s">
        <v>542</v>
      </c>
      <c r="K128" s="1" t="s">
        <v>308</v>
      </c>
      <c r="L128" s="1">
        <v>85023</v>
      </c>
      <c r="M128" s="1" t="s">
        <v>42</v>
      </c>
      <c r="N128" s="1" t="s">
        <v>543</v>
      </c>
      <c r="O128" s="1" t="s">
        <v>44</v>
      </c>
      <c r="P128" s="1" t="s">
        <v>73</v>
      </c>
      <c r="Q128" s="1" t="s">
        <v>544</v>
      </c>
      <c r="R128" s="1">
        <v>2.3879999999999999</v>
      </c>
      <c r="S128" s="1">
        <v>2</v>
      </c>
      <c r="T128" s="3">
        <v>0.7</v>
      </c>
      <c r="U128" s="4">
        <v>-1.8308</v>
      </c>
      <c r="V128" s="1" t="str">
        <f t="shared" si="10"/>
        <v>Standard Class</v>
      </c>
      <c r="W128" s="1" t="str">
        <f t="shared" si="11"/>
        <v>Consumer</v>
      </c>
      <c r="X128" s="1" t="str">
        <f t="shared" si="12"/>
        <v>Phoenix - Arizona</v>
      </c>
      <c r="Y128" s="1" t="str">
        <f t="shared" si="13"/>
        <v>Binders</v>
      </c>
      <c r="Z128" s="1">
        <f t="shared" si="14"/>
        <v>2.3879999999999999</v>
      </c>
      <c r="AA128" s="1">
        <f t="shared" si="15"/>
        <v>2.3879999999999999</v>
      </c>
      <c r="AB128" s="1">
        <f t="shared" si="16"/>
        <v>4.7759999999999998</v>
      </c>
      <c r="AC128" s="4">
        <f t="shared" si="17"/>
        <v>1.4328000000000001</v>
      </c>
      <c r="AD128" s="1" t="s">
        <v>2014</v>
      </c>
      <c r="AE128" s="1" t="str">
        <f t="shared" si="18"/>
        <v>2017</v>
      </c>
      <c r="AF128" s="1" t="str">
        <f t="shared" si="19"/>
        <v>107272</v>
      </c>
    </row>
    <row r="129" spans="1:32" x14ac:dyDescent="0.3">
      <c r="A129" s="1">
        <v>128</v>
      </c>
      <c r="B129" s="1" t="s">
        <v>539</v>
      </c>
      <c r="C129" s="2">
        <v>43044</v>
      </c>
      <c r="D129" s="2">
        <v>43051</v>
      </c>
      <c r="E129" s="1" t="s">
        <v>48</v>
      </c>
      <c r="F129" s="1" t="s">
        <v>540</v>
      </c>
      <c r="G129" s="1" t="s">
        <v>541</v>
      </c>
      <c r="H129" s="1" t="s">
        <v>24</v>
      </c>
      <c r="I129" s="1" t="s">
        <v>25</v>
      </c>
      <c r="J129" s="1" t="s">
        <v>542</v>
      </c>
      <c r="K129" s="1" t="s">
        <v>308</v>
      </c>
      <c r="L129" s="1">
        <v>85023</v>
      </c>
      <c r="M129" s="1" t="s">
        <v>42</v>
      </c>
      <c r="N129" s="1" t="s">
        <v>545</v>
      </c>
      <c r="O129" s="1" t="s">
        <v>44</v>
      </c>
      <c r="P129" s="1" t="s">
        <v>57</v>
      </c>
      <c r="Q129" s="1" t="s">
        <v>546</v>
      </c>
      <c r="R129" s="1">
        <v>243.99199999999999</v>
      </c>
      <c r="S129" s="1">
        <v>7</v>
      </c>
      <c r="T129" s="3">
        <v>0.2</v>
      </c>
      <c r="U129" s="4">
        <v>30.498999999999999</v>
      </c>
      <c r="V129" s="1" t="str">
        <f t="shared" si="10"/>
        <v>Standard Class</v>
      </c>
      <c r="W129" s="1" t="str">
        <f t="shared" si="11"/>
        <v>Consumer</v>
      </c>
      <c r="X129" s="1" t="str">
        <f t="shared" si="12"/>
        <v>Phoenix - Arizona</v>
      </c>
      <c r="Y129" s="1" t="str">
        <f t="shared" si="13"/>
        <v>Storage</v>
      </c>
      <c r="Z129" s="1">
        <f t="shared" si="14"/>
        <v>243.99199999999999</v>
      </c>
      <c r="AA129" s="1">
        <f t="shared" si="15"/>
        <v>243.99199999999999</v>
      </c>
      <c r="AB129" s="1">
        <f t="shared" si="16"/>
        <v>1707.944</v>
      </c>
      <c r="AC129" s="4">
        <f t="shared" si="17"/>
        <v>1366.3552</v>
      </c>
      <c r="AD129" s="1" t="s">
        <v>2014</v>
      </c>
      <c r="AE129" s="1" t="str">
        <f t="shared" si="18"/>
        <v>2017</v>
      </c>
      <c r="AF129" s="1" t="str">
        <f t="shared" si="19"/>
        <v>107272</v>
      </c>
    </row>
    <row r="130" spans="1:32" x14ac:dyDescent="0.3">
      <c r="A130" s="1">
        <v>129</v>
      </c>
      <c r="B130" s="1" t="s">
        <v>547</v>
      </c>
      <c r="C130" s="2">
        <v>42680</v>
      </c>
      <c r="D130" s="2">
        <v>42684</v>
      </c>
      <c r="E130" s="1" t="s">
        <v>21</v>
      </c>
      <c r="F130" s="1" t="s">
        <v>548</v>
      </c>
      <c r="G130" s="1" t="s">
        <v>549</v>
      </c>
      <c r="H130" s="1" t="s">
        <v>100</v>
      </c>
      <c r="I130" s="1" t="s">
        <v>25</v>
      </c>
      <c r="J130" s="1" t="s">
        <v>40</v>
      </c>
      <c r="K130" s="1" t="s">
        <v>41</v>
      </c>
      <c r="L130" s="1">
        <v>90004</v>
      </c>
      <c r="M130" s="1" t="s">
        <v>42</v>
      </c>
      <c r="N130" s="1" t="s">
        <v>302</v>
      </c>
      <c r="O130" s="1" t="s">
        <v>30</v>
      </c>
      <c r="P130" s="1" t="s">
        <v>34</v>
      </c>
      <c r="Q130" s="1" t="s">
        <v>550</v>
      </c>
      <c r="R130" s="1">
        <v>81.424000000000007</v>
      </c>
      <c r="S130" s="1">
        <v>2</v>
      </c>
      <c r="T130" s="3">
        <v>0.2</v>
      </c>
      <c r="U130" s="4">
        <v>-9.1601999999999997</v>
      </c>
      <c r="V130" s="1" t="str">
        <f t="shared" ref="V130:V193" si="20">IF(ISBLANK(E130),"UNKNOWN",E130)</f>
        <v>Second Class</v>
      </c>
      <c r="W130" s="1" t="str">
        <f t="shared" ref="W130:W193" si="21">IF(ISBLANK(H130),"UNKNOWN",H130)</f>
        <v>Home Office</v>
      </c>
      <c r="X130" s="1" t="str">
        <f t="shared" ref="X130:X193" si="22">CONCATENATE(J130," - ",K130)</f>
        <v>Los Angeles - California</v>
      </c>
      <c r="Y130" s="1" t="str">
        <f t="shared" ref="Y130:Y193" si="23">IF(ISBLANK(P130),"UNKNOWN",P130)</f>
        <v>Chairs</v>
      </c>
      <c r="Z130" s="1">
        <f t="shared" ref="Z130:Z193" si="24">IF(ISBLANK(R130),ROUND(AVERAGEIF($O$2:$O$600,O130,$R$2:$R$29),0),R130)</f>
        <v>81.424000000000007</v>
      </c>
      <c r="AA130" s="1">
        <f t="shared" ref="AA130:AA193" si="25">IF(ISBLANK(R130),ROUND(AVERAGEIF($Y$2:$Y$600,Y130,$R$2:$R$29),0),R130)</f>
        <v>81.424000000000007</v>
      </c>
      <c r="AB130" s="1">
        <f t="shared" ref="AB130:AB193" si="26">AA130*S130</f>
        <v>162.84800000000001</v>
      </c>
      <c r="AC130" s="4">
        <f t="shared" si="17"/>
        <v>130.2784</v>
      </c>
      <c r="AD130" s="1" t="s">
        <v>2014</v>
      </c>
      <c r="AE130" s="1" t="str">
        <f t="shared" si="18"/>
        <v>2016</v>
      </c>
      <c r="AF130" s="1" t="str">
        <f t="shared" si="19"/>
        <v>125969</v>
      </c>
    </row>
    <row r="131" spans="1:32" x14ac:dyDescent="0.3">
      <c r="A131" s="1">
        <v>130</v>
      </c>
      <c r="B131" s="1" t="s">
        <v>547</v>
      </c>
      <c r="C131" s="2">
        <v>42680</v>
      </c>
      <c r="D131" s="2">
        <v>42684</v>
      </c>
      <c r="E131" s="1" t="s">
        <v>21</v>
      </c>
      <c r="F131" s="1" t="s">
        <v>548</v>
      </c>
      <c r="G131" s="1" t="s">
        <v>549</v>
      </c>
      <c r="H131" s="1" t="s">
        <v>100</v>
      </c>
      <c r="I131" s="1" t="s">
        <v>25</v>
      </c>
      <c r="J131" s="1" t="s">
        <v>40</v>
      </c>
      <c r="K131" s="1" t="s">
        <v>41</v>
      </c>
      <c r="L131" s="1">
        <v>90004</v>
      </c>
      <c r="M131" s="1" t="s">
        <v>42</v>
      </c>
      <c r="N131" s="1" t="s">
        <v>551</v>
      </c>
      <c r="O131" s="1" t="s">
        <v>30</v>
      </c>
      <c r="P131" s="1" t="s">
        <v>63</v>
      </c>
      <c r="Q131" s="1" t="s">
        <v>552</v>
      </c>
      <c r="R131" s="1">
        <v>238.56</v>
      </c>
      <c r="S131" s="1">
        <v>3</v>
      </c>
      <c r="T131" s="3">
        <v>0</v>
      </c>
      <c r="U131" s="4">
        <v>26.241599999999998</v>
      </c>
      <c r="V131" s="1" t="str">
        <f t="shared" si="20"/>
        <v>Second Class</v>
      </c>
      <c r="W131" s="1" t="str">
        <f t="shared" si="21"/>
        <v>Home Office</v>
      </c>
      <c r="X131" s="1" t="str">
        <f t="shared" si="22"/>
        <v>Los Angeles - California</v>
      </c>
      <c r="Y131" s="1" t="str">
        <f t="shared" si="23"/>
        <v>Furnishings</v>
      </c>
      <c r="Z131" s="1">
        <f t="shared" si="24"/>
        <v>238.56</v>
      </c>
      <c r="AA131" s="1">
        <f t="shared" si="25"/>
        <v>238.56</v>
      </c>
      <c r="AB131" s="1">
        <f t="shared" si="26"/>
        <v>715.68000000000006</v>
      </c>
      <c r="AC131" s="4">
        <f t="shared" ref="AC131:AC194" si="27">AB131*(1-T131)</f>
        <v>715.68000000000006</v>
      </c>
      <c r="AD131" s="1" t="s">
        <v>2014</v>
      </c>
      <c r="AE131" s="1" t="str">
        <f t="shared" ref="AE131:AE194" si="28">MID(B131,4,4)</f>
        <v>2016</v>
      </c>
      <c r="AF131" s="1" t="str">
        <f t="shared" ref="AF131:AF194" si="29">RIGHT(B131,6)</f>
        <v>125969</v>
      </c>
    </row>
    <row r="132" spans="1:32" x14ac:dyDescent="0.3">
      <c r="A132" s="1">
        <v>131</v>
      </c>
      <c r="B132" s="1" t="s">
        <v>553</v>
      </c>
      <c r="C132" s="2">
        <v>42768</v>
      </c>
      <c r="D132" s="2">
        <v>42771</v>
      </c>
      <c r="E132" s="1"/>
      <c r="F132" s="1" t="s">
        <v>554</v>
      </c>
      <c r="G132" s="1" t="s">
        <v>555</v>
      </c>
      <c r="H132" s="1" t="s">
        <v>39</v>
      </c>
      <c r="I132" s="1" t="s">
        <v>25</v>
      </c>
      <c r="J132" s="1" t="s">
        <v>495</v>
      </c>
      <c r="K132" s="1" t="s">
        <v>496</v>
      </c>
      <c r="L132" s="1">
        <v>43229</v>
      </c>
      <c r="M132" s="1" t="s">
        <v>146</v>
      </c>
      <c r="N132" s="1" t="s">
        <v>556</v>
      </c>
      <c r="O132" s="1" t="s">
        <v>69</v>
      </c>
      <c r="P132" s="1" t="s">
        <v>70</v>
      </c>
      <c r="Q132" s="1" t="s">
        <v>557</v>
      </c>
      <c r="R132" s="1">
        <v>59.97</v>
      </c>
      <c r="S132" s="1">
        <v>5</v>
      </c>
      <c r="T132" s="3">
        <v>0.4</v>
      </c>
      <c r="U132" s="4">
        <v>-11.994</v>
      </c>
      <c r="V132" s="1" t="str">
        <f t="shared" si="20"/>
        <v>UNKNOWN</v>
      </c>
      <c r="W132" s="1" t="str">
        <f t="shared" si="21"/>
        <v>Corporate</v>
      </c>
      <c r="X132" s="1" t="str">
        <f t="shared" si="22"/>
        <v>Columbus - Ohio</v>
      </c>
      <c r="Y132" s="1" t="str">
        <f t="shared" si="23"/>
        <v>Phones</v>
      </c>
      <c r="Z132" s="1">
        <f t="shared" si="24"/>
        <v>59.97</v>
      </c>
      <c r="AA132" s="1">
        <f t="shared" si="25"/>
        <v>59.97</v>
      </c>
      <c r="AB132" s="1">
        <f t="shared" si="26"/>
        <v>299.85000000000002</v>
      </c>
      <c r="AC132" s="4">
        <f t="shared" si="27"/>
        <v>179.91</v>
      </c>
      <c r="AD132" s="1" t="s">
        <v>2014</v>
      </c>
      <c r="AE132" s="1" t="str">
        <f t="shared" si="28"/>
        <v>2017</v>
      </c>
      <c r="AF132" s="1" t="str">
        <f t="shared" si="29"/>
        <v>164147</v>
      </c>
    </row>
    <row r="133" spans="1:32" x14ac:dyDescent="0.3">
      <c r="A133" s="1">
        <v>132</v>
      </c>
      <c r="B133" s="1" t="s">
        <v>553</v>
      </c>
      <c r="C133" s="2">
        <v>42768</v>
      </c>
      <c r="D133" s="2">
        <v>42771</v>
      </c>
      <c r="E133" s="1" t="s">
        <v>186</v>
      </c>
      <c r="F133" s="1" t="s">
        <v>554</v>
      </c>
      <c r="G133" s="1" t="s">
        <v>555</v>
      </c>
      <c r="H133" s="1" t="s">
        <v>39</v>
      </c>
      <c r="I133" s="1" t="s">
        <v>25</v>
      </c>
      <c r="J133" s="1" t="s">
        <v>495</v>
      </c>
      <c r="K133" s="1" t="s">
        <v>496</v>
      </c>
      <c r="L133" s="1">
        <v>43229</v>
      </c>
      <c r="M133" s="1" t="s">
        <v>146</v>
      </c>
      <c r="N133" s="1" t="s">
        <v>558</v>
      </c>
      <c r="O133" s="1" t="s">
        <v>44</v>
      </c>
      <c r="P133" s="1" t="s">
        <v>88</v>
      </c>
      <c r="Q133" s="1" t="s">
        <v>559</v>
      </c>
      <c r="R133" s="1">
        <v>78.304000000000002</v>
      </c>
      <c r="S133" s="1">
        <v>2</v>
      </c>
      <c r="T133" s="3">
        <v>0.2</v>
      </c>
      <c r="U133" s="4">
        <v>29.364000000000001</v>
      </c>
      <c r="V133" s="1" t="str">
        <f t="shared" si="20"/>
        <v>First Class</v>
      </c>
      <c r="W133" s="1" t="str">
        <f t="shared" si="21"/>
        <v>Corporate</v>
      </c>
      <c r="X133" s="1" t="str">
        <f t="shared" si="22"/>
        <v>Columbus - Ohio</v>
      </c>
      <c r="Y133" s="1" t="str">
        <f t="shared" si="23"/>
        <v>Paper</v>
      </c>
      <c r="Z133" s="1">
        <f t="shared" si="24"/>
        <v>78.304000000000002</v>
      </c>
      <c r="AA133" s="1">
        <f t="shared" si="25"/>
        <v>78.304000000000002</v>
      </c>
      <c r="AB133" s="1">
        <f t="shared" si="26"/>
        <v>156.608</v>
      </c>
      <c r="AC133" s="4">
        <f t="shared" si="27"/>
        <v>125.28640000000001</v>
      </c>
      <c r="AD133" s="1" t="s">
        <v>2014</v>
      </c>
      <c r="AE133" s="1" t="str">
        <f t="shared" si="28"/>
        <v>2017</v>
      </c>
      <c r="AF133" s="1" t="str">
        <f t="shared" si="29"/>
        <v>164147</v>
      </c>
    </row>
    <row r="134" spans="1:32" x14ac:dyDescent="0.3">
      <c r="A134" s="1">
        <v>133</v>
      </c>
      <c r="B134" s="1" t="s">
        <v>553</v>
      </c>
      <c r="C134" s="2">
        <v>42768</v>
      </c>
      <c r="D134" s="2">
        <v>42771</v>
      </c>
      <c r="E134" s="1" t="s">
        <v>186</v>
      </c>
      <c r="F134" s="1" t="s">
        <v>554</v>
      </c>
      <c r="G134" s="1" t="s">
        <v>555</v>
      </c>
      <c r="H134" s="1" t="s">
        <v>39</v>
      </c>
      <c r="I134" s="1" t="s">
        <v>25</v>
      </c>
      <c r="J134" s="1" t="s">
        <v>495</v>
      </c>
      <c r="K134" s="1" t="s">
        <v>496</v>
      </c>
      <c r="L134" s="1">
        <v>43229</v>
      </c>
      <c r="M134" s="1" t="s">
        <v>146</v>
      </c>
      <c r="N134" s="1" t="s">
        <v>560</v>
      </c>
      <c r="O134" s="1" t="s">
        <v>44</v>
      </c>
      <c r="P134" s="1" t="s">
        <v>267</v>
      </c>
      <c r="Q134" s="1" t="s">
        <v>561</v>
      </c>
      <c r="R134" s="1">
        <v>21.456</v>
      </c>
      <c r="S134" s="1">
        <v>9</v>
      </c>
      <c r="T134" s="3">
        <v>0.2</v>
      </c>
      <c r="U134" s="4">
        <v>6.9732000000000003</v>
      </c>
      <c r="V134" s="1" t="str">
        <f t="shared" si="20"/>
        <v>First Class</v>
      </c>
      <c r="W134" s="1" t="str">
        <f t="shared" si="21"/>
        <v>Corporate</v>
      </c>
      <c r="X134" s="1" t="str">
        <f t="shared" si="22"/>
        <v>Columbus - Ohio</v>
      </c>
      <c r="Y134" s="1" t="str">
        <f t="shared" si="23"/>
        <v>Fasteners</v>
      </c>
      <c r="Z134" s="1">
        <f t="shared" si="24"/>
        <v>21.456</v>
      </c>
      <c r="AA134" s="1">
        <f t="shared" si="25"/>
        <v>21.456</v>
      </c>
      <c r="AB134" s="1">
        <f t="shared" si="26"/>
        <v>193.10399999999998</v>
      </c>
      <c r="AC134" s="4">
        <f t="shared" si="27"/>
        <v>154.48320000000001</v>
      </c>
      <c r="AD134" s="1" t="s">
        <v>2014</v>
      </c>
      <c r="AE134" s="1" t="str">
        <f t="shared" si="28"/>
        <v>2017</v>
      </c>
      <c r="AF134" s="1" t="str">
        <f t="shared" si="29"/>
        <v>164147</v>
      </c>
    </row>
    <row r="135" spans="1:32" x14ac:dyDescent="0.3">
      <c r="A135" s="1">
        <v>134</v>
      </c>
      <c r="B135" s="1" t="s">
        <v>562</v>
      </c>
      <c r="C135" s="2">
        <v>42656</v>
      </c>
      <c r="D135" s="2">
        <v>42662</v>
      </c>
      <c r="E135" s="1" t="s">
        <v>48</v>
      </c>
      <c r="F135" s="1" t="s">
        <v>563</v>
      </c>
      <c r="G135" s="1" t="s">
        <v>564</v>
      </c>
      <c r="H135" s="1" t="s">
        <v>24</v>
      </c>
      <c r="I135" s="1" t="s">
        <v>25</v>
      </c>
      <c r="J135" s="1" t="s">
        <v>565</v>
      </c>
      <c r="K135" s="1" t="s">
        <v>41</v>
      </c>
      <c r="L135" s="1">
        <v>95661</v>
      </c>
      <c r="M135" s="1" t="s">
        <v>42</v>
      </c>
      <c r="N135" s="1" t="s">
        <v>566</v>
      </c>
      <c r="O135" s="1" t="s">
        <v>44</v>
      </c>
      <c r="P135" s="1" t="s">
        <v>88</v>
      </c>
      <c r="Q135" s="1" t="s">
        <v>567</v>
      </c>
      <c r="R135" s="1">
        <v>20.04</v>
      </c>
      <c r="S135" s="1">
        <v>3</v>
      </c>
      <c r="T135" s="3">
        <v>0</v>
      </c>
      <c r="U135" s="4">
        <v>9.6191999999999993</v>
      </c>
      <c r="V135" s="1" t="str">
        <f t="shared" si="20"/>
        <v>Standard Class</v>
      </c>
      <c r="W135" s="1" t="str">
        <f t="shared" si="21"/>
        <v>Consumer</v>
      </c>
      <c r="X135" s="1" t="str">
        <f t="shared" si="22"/>
        <v>Roseville - California</v>
      </c>
      <c r="Y135" s="1" t="str">
        <f t="shared" si="23"/>
        <v>Paper</v>
      </c>
      <c r="Z135" s="1">
        <f t="shared" si="24"/>
        <v>20.04</v>
      </c>
      <c r="AA135" s="1">
        <f t="shared" si="25"/>
        <v>20.04</v>
      </c>
      <c r="AB135" s="1">
        <f t="shared" si="26"/>
        <v>60.12</v>
      </c>
      <c r="AC135" s="4">
        <f t="shared" si="27"/>
        <v>60.12</v>
      </c>
      <c r="AD135" s="1" t="s">
        <v>2013</v>
      </c>
      <c r="AE135" s="1" t="str">
        <f t="shared" si="28"/>
        <v>2016</v>
      </c>
      <c r="AF135" s="1" t="str">
        <f t="shared" si="29"/>
        <v>145583</v>
      </c>
    </row>
    <row r="136" spans="1:32" x14ac:dyDescent="0.3">
      <c r="A136" s="1">
        <v>135</v>
      </c>
      <c r="B136" s="1" t="s">
        <v>562</v>
      </c>
      <c r="C136" s="2">
        <v>42656</v>
      </c>
      <c r="D136" s="2">
        <v>42662</v>
      </c>
      <c r="E136" s="1" t="s">
        <v>48</v>
      </c>
      <c r="F136" s="1" t="s">
        <v>563</v>
      </c>
      <c r="G136" s="1" t="s">
        <v>564</v>
      </c>
      <c r="H136" s="1" t="s">
        <v>24</v>
      </c>
      <c r="I136" s="1" t="s">
        <v>25</v>
      </c>
      <c r="J136" s="1" t="s">
        <v>565</v>
      </c>
      <c r="K136" s="1" t="s">
        <v>41</v>
      </c>
      <c r="L136" s="1">
        <v>95661</v>
      </c>
      <c r="M136" s="1" t="s">
        <v>42</v>
      </c>
      <c r="N136" s="1" t="s">
        <v>568</v>
      </c>
      <c r="O136" s="1" t="s">
        <v>44</v>
      </c>
      <c r="P136" s="1" t="s">
        <v>88</v>
      </c>
      <c r="Q136" s="1" t="s">
        <v>569</v>
      </c>
      <c r="R136" s="1">
        <v>35.44</v>
      </c>
      <c r="S136" s="1">
        <v>1</v>
      </c>
      <c r="T136" s="3">
        <v>0</v>
      </c>
      <c r="U136" s="4">
        <v>16.6568</v>
      </c>
      <c r="V136" s="1" t="str">
        <f t="shared" si="20"/>
        <v>Standard Class</v>
      </c>
      <c r="W136" s="1" t="str">
        <f t="shared" si="21"/>
        <v>Consumer</v>
      </c>
      <c r="X136" s="1" t="str">
        <f t="shared" si="22"/>
        <v>Roseville - California</v>
      </c>
      <c r="Y136" s="1" t="str">
        <f t="shared" si="23"/>
        <v>Paper</v>
      </c>
      <c r="Z136" s="1">
        <f t="shared" si="24"/>
        <v>35.44</v>
      </c>
      <c r="AA136" s="1">
        <f t="shared" si="25"/>
        <v>35.44</v>
      </c>
      <c r="AB136" s="1">
        <f t="shared" si="26"/>
        <v>35.44</v>
      </c>
      <c r="AC136" s="4">
        <f t="shared" si="27"/>
        <v>35.44</v>
      </c>
      <c r="AD136" s="1" t="s">
        <v>2013</v>
      </c>
      <c r="AE136" s="1" t="str">
        <f t="shared" si="28"/>
        <v>2016</v>
      </c>
      <c r="AF136" s="1" t="str">
        <f t="shared" si="29"/>
        <v>145583</v>
      </c>
    </row>
    <row r="137" spans="1:32" x14ac:dyDescent="0.3">
      <c r="A137" s="1">
        <v>136</v>
      </c>
      <c r="B137" s="1" t="s">
        <v>562</v>
      </c>
      <c r="C137" s="2">
        <v>42656</v>
      </c>
      <c r="D137" s="2">
        <v>42662</v>
      </c>
      <c r="E137" s="1" t="s">
        <v>48</v>
      </c>
      <c r="F137" s="1" t="s">
        <v>563</v>
      </c>
      <c r="G137" s="1" t="s">
        <v>564</v>
      </c>
      <c r="H137" s="1" t="s">
        <v>24</v>
      </c>
      <c r="I137" s="1" t="s">
        <v>25</v>
      </c>
      <c r="J137" s="1" t="s">
        <v>565</v>
      </c>
      <c r="K137" s="1" t="s">
        <v>41</v>
      </c>
      <c r="L137" s="1">
        <v>95661</v>
      </c>
      <c r="M137" s="1" t="s">
        <v>42</v>
      </c>
      <c r="N137" s="1" t="s">
        <v>570</v>
      </c>
      <c r="O137" s="1" t="s">
        <v>44</v>
      </c>
      <c r="P137" s="1" t="s">
        <v>66</v>
      </c>
      <c r="Q137" s="1" t="s">
        <v>571</v>
      </c>
      <c r="R137" s="1">
        <v>11.52</v>
      </c>
      <c r="S137" s="1">
        <v>4</v>
      </c>
      <c r="T137" s="3">
        <v>0</v>
      </c>
      <c r="U137" s="4">
        <v>3.456</v>
      </c>
      <c r="V137" s="1" t="str">
        <f t="shared" si="20"/>
        <v>Standard Class</v>
      </c>
      <c r="W137" s="1" t="str">
        <f t="shared" si="21"/>
        <v>Consumer</v>
      </c>
      <c r="X137" s="1" t="str">
        <f t="shared" si="22"/>
        <v>Roseville - California</v>
      </c>
      <c r="Y137" s="1" t="str">
        <f t="shared" si="23"/>
        <v>Art</v>
      </c>
      <c r="Z137" s="1">
        <f t="shared" si="24"/>
        <v>11.52</v>
      </c>
      <c r="AA137" s="1">
        <f t="shared" si="25"/>
        <v>11.52</v>
      </c>
      <c r="AB137" s="1">
        <f t="shared" si="26"/>
        <v>46.08</v>
      </c>
      <c r="AC137" s="4">
        <f t="shared" si="27"/>
        <v>46.08</v>
      </c>
      <c r="AD137" s="1" t="s">
        <v>2013</v>
      </c>
      <c r="AE137" s="1" t="str">
        <f t="shared" si="28"/>
        <v>2016</v>
      </c>
      <c r="AF137" s="1" t="str">
        <f t="shared" si="29"/>
        <v>145583</v>
      </c>
    </row>
    <row r="138" spans="1:32" x14ac:dyDescent="0.3">
      <c r="A138" s="1">
        <v>137</v>
      </c>
      <c r="B138" s="1" t="s">
        <v>562</v>
      </c>
      <c r="C138" s="2">
        <v>42656</v>
      </c>
      <c r="D138" s="2">
        <v>42662</v>
      </c>
      <c r="E138" s="1" t="s">
        <v>48</v>
      </c>
      <c r="F138" s="1" t="s">
        <v>563</v>
      </c>
      <c r="G138" s="1" t="s">
        <v>564</v>
      </c>
      <c r="H138" s="1" t="s">
        <v>24</v>
      </c>
      <c r="I138" s="1" t="s">
        <v>25</v>
      </c>
      <c r="J138" s="1" t="s">
        <v>565</v>
      </c>
      <c r="K138" s="1" t="s">
        <v>41</v>
      </c>
      <c r="L138" s="1">
        <v>95661</v>
      </c>
      <c r="M138" s="1" t="s">
        <v>42</v>
      </c>
      <c r="N138" s="1" t="s">
        <v>572</v>
      </c>
      <c r="O138" s="1" t="s">
        <v>44</v>
      </c>
      <c r="P138" s="1" t="s">
        <v>267</v>
      </c>
      <c r="Q138" s="1" t="s">
        <v>573</v>
      </c>
      <c r="R138" s="1">
        <v>4.0199999999999996</v>
      </c>
      <c r="S138" s="1">
        <v>2</v>
      </c>
      <c r="T138" s="3">
        <v>0</v>
      </c>
      <c r="U138" s="4">
        <v>1.9698</v>
      </c>
      <c r="V138" s="1" t="str">
        <f t="shared" si="20"/>
        <v>Standard Class</v>
      </c>
      <c r="W138" s="1" t="str">
        <f t="shared" si="21"/>
        <v>Consumer</v>
      </c>
      <c r="X138" s="1" t="str">
        <f t="shared" si="22"/>
        <v>Roseville - California</v>
      </c>
      <c r="Y138" s="1" t="str">
        <f t="shared" si="23"/>
        <v>Fasteners</v>
      </c>
      <c r="Z138" s="1">
        <f t="shared" si="24"/>
        <v>4.0199999999999996</v>
      </c>
      <c r="AA138" s="1">
        <f t="shared" si="25"/>
        <v>4.0199999999999996</v>
      </c>
      <c r="AB138" s="1">
        <f t="shared" si="26"/>
        <v>8.0399999999999991</v>
      </c>
      <c r="AC138" s="4">
        <f t="shared" si="27"/>
        <v>8.0399999999999991</v>
      </c>
      <c r="AD138" s="1" t="s">
        <v>2013</v>
      </c>
      <c r="AE138" s="1" t="str">
        <f t="shared" si="28"/>
        <v>2016</v>
      </c>
      <c r="AF138" s="1" t="str">
        <f t="shared" si="29"/>
        <v>145583</v>
      </c>
    </row>
    <row r="139" spans="1:32" x14ac:dyDescent="0.3">
      <c r="A139" s="1">
        <v>138</v>
      </c>
      <c r="B139" s="1" t="s">
        <v>562</v>
      </c>
      <c r="C139" s="2">
        <v>42656</v>
      </c>
      <c r="D139" s="2">
        <v>42662</v>
      </c>
      <c r="E139" s="1" t="s">
        <v>48</v>
      </c>
      <c r="F139" s="1" t="s">
        <v>563</v>
      </c>
      <c r="G139" s="1" t="s">
        <v>564</v>
      </c>
      <c r="H139" s="1" t="s">
        <v>24</v>
      </c>
      <c r="I139" s="1" t="s">
        <v>25</v>
      </c>
      <c r="J139" s="1" t="s">
        <v>565</v>
      </c>
      <c r="K139" s="1" t="s">
        <v>41</v>
      </c>
      <c r="L139" s="1">
        <v>95661</v>
      </c>
      <c r="M139" s="1" t="s">
        <v>42</v>
      </c>
      <c r="N139" s="1" t="s">
        <v>574</v>
      </c>
      <c r="O139" s="1" t="s">
        <v>44</v>
      </c>
      <c r="P139" s="1" t="s">
        <v>73</v>
      </c>
      <c r="Q139" s="1" t="s">
        <v>575</v>
      </c>
      <c r="R139" s="1">
        <v>76.176000000000002</v>
      </c>
      <c r="S139" s="1">
        <v>3</v>
      </c>
      <c r="T139" s="3">
        <v>0.2</v>
      </c>
      <c r="U139" s="4">
        <v>26.6616</v>
      </c>
      <c r="V139" s="1" t="str">
        <f t="shared" si="20"/>
        <v>Standard Class</v>
      </c>
      <c r="W139" s="1" t="str">
        <f t="shared" si="21"/>
        <v>Consumer</v>
      </c>
      <c r="X139" s="1" t="str">
        <f t="shared" si="22"/>
        <v>Roseville - California</v>
      </c>
      <c r="Y139" s="1" t="str">
        <f t="shared" si="23"/>
        <v>Binders</v>
      </c>
      <c r="Z139" s="1">
        <f t="shared" si="24"/>
        <v>76.176000000000002</v>
      </c>
      <c r="AA139" s="1">
        <f t="shared" si="25"/>
        <v>76.176000000000002</v>
      </c>
      <c r="AB139" s="1">
        <f t="shared" si="26"/>
        <v>228.52800000000002</v>
      </c>
      <c r="AC139" s="4">
        <f t="shared" si="27"/>
        <v>182.82240000000002</v>
      </c>
      <c r="AD139" s="1" t="s">
        <v>2013</v>
      </c>
      <c r="AE139" s="1" t="str">
        <f t="shared" si="28"/>
        <v>2016</v>
      </c>
      <c r="AF139" s="1" t="str">
        <f t="shared" si="29"/>
        <v>145583</v>
      </c>
    </row>
    <row r="140" spans="1:32" x14ac:dyDescent="0.3">
      <c r="A140" s="1">
        <v>139</v>
      </c>
      <c r="B140" s="1" t="s">
        <v>562</v>
      </c>
      <c r="C140" s="2">
        <v>42656</v>
      </c>
      <c r="D140" s="2">
        <v>42662</v>
      </c>
      <c r="E140" s="1" t="s">
        <v>48</v>
      </c>
      <c r="F140" s="1" t="s">
        <v>563</v>
      </c>
      <c r="G140" s="1" t="s">
        <v>564</v>
      </c>
      <c r="H140" s="1" t="s">
        <v>24</v>
      </c>
      <c r="I140" s="1" t="s">
        <v>25</v>
      </c>
      <c r="J140" s="1" t="s">
        <v>565</v>
      </c>
      <c r="K140" s="1" t="s">
        <v>41</v>
      </c>
      <c r="L140" s="1">
        <v>95661</v>
      </c>
      <c r="M140" s="1" t="s">
        <v>42</v>
      </c>
      <c r="N140" s="1" t="s">
        <v>576</v>
      </c>
      <c r="O140" s="1" t="s">
        <v>44</v>
      </c>
      <c r="P140" s="1" t="s">
        <v>577</v>
      </c>
      <c r="Q140" s="1" t="s">
        <v>578</v>
      </c>
      <c r="R140" s="1">
        <v>65.88</v>
      </c>
      <c r="S140" s="1">
        <v>6</v>
      </c>
      <c r="T140" s="3">
        <v>0</v>
      </c>
      <c r="U140" s="4">
        <v>18.446400000000001</v>
      </c>
      <c r="V140" s="1" t="str">
        <f t="shared" si="20"/>
        <v>Standard Class</v>
      </c>
      <c r="W140" s="1" t="str">
        <f t="shared" si="21"/>
        <v>Consumer</v>
      </c>
      <c r="X140" s="1" t="str">
        <f t="shared" si="22"/>
        <v>Roseville - California</v>
      </c>
      <c r="Y140" s="1" t="str">
        <f t="shared" si="23"/>
        <v>Supplies</v>
      </c>
      <c r="Z140" s="1">
        <f t="shared" si="24"/>
        <v>65.88</v>
      </c>
      <c r="AA140" s="1">
        <f t="shared" si="25"/>
        <v>65.88</v>
      </c>
      <c r="AB140" s="1">
        <f t="shared" si="26"/>
        <v>395.28</v>
      </c>
      <c r="AC140" s="4">
        <f t="shared" si="27"/>
        <v>395.28</v>
      </c>
      <c r="AD140" s="1" t="s">
        <v>2013</v>
      </c>
      <c r="AE140" s="1" t="str">
        <f t="shared" si="28"/>
        <v>2016</v>
      </c>
      <c r="AF140" s="1" t="str">
        <f t="shared" si="29"/>
        <v>145583</v>
      </c>
    </row>
    <row r="141" spans="1:32" x14ac:dyDescent="0.3">
      <c r="A141" s="1">
        <v>140</v>
      </c>
      <c r="B141" s="1" t="s">
        <v>562</v>
      </c>
      <c r="C141" s="2">
        <v>42656</v>
      </c>
      <c r="D141" s="2">
        <v>42662</v>
      </c>
      <c r="E141" s="1" t="s">
        <v>48</v>
      </c>
      <c r="F141" s="1" t="s">
        <v>563</v>
      </c>
      <c r="G141" s="1" t="s">
        <v>564</v>
      </c>
      <c r="H141" s="1" t="s">
        <v>24</v>
      </c>
      <c r="I141" s="1" t="s">
        <v>25</v>
      </c>
      <c r="J141" s="1" t="s">
        <v>565</v>
      </c>
      <c r="K141" s="1" t="s">
        <v>41</v>
      </c>
      <c r="L141" s="1">
        <v>95661</v>
      </c>
      <c r="M141" s="1" t="s">
        <v>42</v>
      </c>
      <c r="N141" s="1" t="s">
        <v>257</v>
      </c>
      <c r="O141" s="1" t="s">
        <v>30</v>
      </c>
      <c r="P141" s="1" t="s">
        <v>63</v>
      </c>
      <c r="Q141" s="1" t="s">
        <v>258</v>
      </c>
      <c r="R141" s="1">
        <v>43.12</v>
      </c>
      <c r="S141" s="1">
        <v>14</v>
      </c>
      <c r="T141" s="3">
        <v>0</v>
      </c>
      <c r="U141" s="4">
        <v>20.697600000000001</v>
      </c>
      <c r="V141" s="1" t="str">
        <f t="shared" si="20"/>
        <v>Standard Class</v>
      </c>
      <c r="W141" s="1" t="str">
        <f t="shared" si="21"/>
        <v>Consumer</v>
      </c>
      <c r="X141" s="1" t="str">
        <f t="shared" si="22"/>
        <v>Roseville - California</v>
      </c>
      <c r="Y141" s="1" t="str">
        <f t="shared" si="23"/>
        <v>Furnishings</v>
      </c>
      <c r="Z141" s="1">
        <f t="shared" si="24"/>
        <v>43.12</v>
      </c>
      <c r="AA141" s="1">
        <f t="shared" si="25"/>
        <v>43.12</v>
      </c>
      <c r="AB141" s="1">
        <f t="shared" si="26"/>
        <v>603.67999999999995</v>
      </c>
      <c r="AC141" s="4">
        <f t="shared" si="27"/>
        <v>603.67999999999995</v>
      </c>
      <c r="AD141" s="1" t="s">
        <v>2013</v>
      </c>
      <c r="AE141" s="1" t="str">
        <f t="shared" si="28"/>
        <v>2016</v>
      </c>
      <c r="AF141" s="1" t="str">
        <f t="shared" si="29"/>
        <v>145583</v>
      </c>
    </row>
    <row r="142" spans="1:32" x14ac:dyDescent="0.3">
      <c r="A142" s="1">
        <v>141</v>
      </c>
      <c r="B142" s="1" t="s">
        <v>579</v>
      </c>
      <c r="C142" s="2">
        <v>42618</v>
      </c>
      <c r="D142" s="2">
        <v>42620</v>
      </c>
      <c r="E142" s="1"/>
      <c r="F142" s="1" t="s">
        <v>580</v>
      </c>
      <c r="G142" s="1" t="s">
        <v>581</v>
      </c>
      <c r="H142" s="1" t="s">
        <v>39</v>
      </c>
      <c r="I142" s="1" t="s">
        <v>25</v>
      </c>
      <c r="J142" s="1" t="s">
        <v>144</v>
      </c>
      <c r="K142" s="1" t="s">
        <v>145</v>
      </c>
      <c r="L142" s="1">
        <v>19140</v>
      </c>
      <c r="M142" s="1" t="s">
        <v>146</v>
      </c>
      <c r="N142" s="1" t="s">
        <v>168</v>
      </c>
      <c r="O142" s="1" t="s">
        <v>30</v>
      </c>
      <c r="P142" s="1" t="s">
        <v>63</v>
      </c>
      <c r="Q142" s="1" t="s">
        <v>169</v>
      </c>
      <c r="R142" s="1">
        <v>82.8</v>
      </c>
      <c r="S142" s="1">
        <v>2</v>
      </c>
      <c r="T142" s="3">
        <v>0.2</v>
      </c>
      <c r="U142" s="4">
        <v>10.35</v>
      </c>
      <c r="V142" s="1" t="str">
        <f t="shared" si="20"/>
        <v>UNKNOWN</v>
      </c>
      <c r="W142" s="1" t="str">
        <f t="shared" si="21"/>
        <v>Corporate</v>
      </c>
      <c r="X142" s="1" t="str">
        <f t="shared" si="22"/>
        <v>Philadelphia - Pennsylvania</v>
      </c>
      <c r="Y142" s="1" t="str">
        <f t="shared" si="23"/>
        <v>Furnishings</v>
      </c>
      <c r="Z142" s="1">
        <f t="shared" si="24"/>
        <v>82.8</v>
      </c>
      <c r="AA142" s="1">
        <f t="shared" si="25"/>
        <v>82.8</v>
      </c>
      <c r="AB142" s="1">
        <f t="shared" si="26"/>
        <v>165.6</v>
      </c>
      <c r="AC142" s="4">
        <f t="shared" si="27"/>
        <v>132.47999999999999</v>
      </c>
      <c r="AD142" s="1" t="s">
        <v>2013</v>
      </c>
      <c r="AE142" s="1" t="str">
        <f t="shared" si="28"/>
        <v>2016</v>
      </c>
      <c r="AF142" s="1" t="str">
        <f t="shared" si="29"/>
        <v>110366</v>
      </c>
    </row>
    <row r="143" spans="1:32" x14ac:dyDescent="0.3">
      <c r="A143" s="1">
        <v>142</v>
      </c>
      <c r="B143" s="1" t="s">
        <v>582</v>
      </c>
      <c r="C143" s="2">
        <v>42996</v>
      </c>
      <c r="D143" s="2">
        <v>43001</v>
      </c>
      <c r="E143" s="1" t="s">
        <v>48</v>
      </c>
      <c r="F143" s="1" t="s">
        <v>583</v>
      </c>
      <c r="G143" s="1" t="s">
        <v>584</v>
      </c>
      <c r="H143" s="1" t="s">
        <v>39</v>
      </c>
      <c r="I143" s="1" t="s">
        <v>25</v>
      </c>
      <c r="J143" s="1" t="s">
        <v>125</v>
      </c>
      <c r="K143" s="1" t="s">
        <v>41</v>
      </c>
      <c r="L143" s="1">
        <v>94122</v>
      </c>
      <c r="M143" s="1" t="s">
        <v>42</v>
      </c>
      <c r="N143" s="1" t="s">
        <v>585</v>
      </c>
      <c r="O143" s="1" t="s">
        <v>44</v>
      </c>
      <c r="P143" s="1" t="s">
        <v>66</v>
      </c>
      <c r="Q143" s="1" t="s">
        <v>586</v>
      </c>
      <c r="R143" s="1">
        <v>8.82</v>
      </c>
      <c r="S143" s="1">
        <v>3</v>
      </c>
      <c r="T143" s="3">
        <v>0</v>
      </c>
      <c r="U143" s="4">
        <v>2.3814000000000002</v>
      </c>
      <c r="V143" s="1" t="str">
        <f t="shared" si="20"/>
        <v>Standard Class</v>
      </c>
      <c r="W143" s="1" t="str">
        <f t="shared" si="21"/>
        <v>Corporate</v>
      </c>
      <c r="X143" s="1" t="str">
        <f t="shared" si="22"/>
        <v>San Francisco - California</v>
      </c>
      <c r="Y143" s="1" t="str">
        <f t="shared" si="23"/>
        <v>Art</v>
      </c>
      <c r="Z143" s="1">
        <f t="shared" si="24"/>
        <v>8.82</v>
      </c>
      <c r="AA143" s="1">
        <f t="shared" si="25"/>
        <v>8.82</v>
      </c>
      <c r="AB143" s="1">
        <f t="shared" si="26"/>
        <v>26.46</v>
      </c>
      <c r="AC143" s="4">
        <f t="shared" si="27"/>
        <v>26.46</v>
      </c>
      <c r="AD143" s="1" t="s">
        <v>2013</v>
      </c>
      <c r="AE143" s="1" t="str">
        <f t="shared" si="28"/>
        <v>2017</v>
      </c>
      <c r="AF143" s="1" t="str">
        <f t="shared" si="29"/>
        <v>106180</v>
      </c>
    </row>
    <row r="144" spans="1:32" x14ac:dyDescent="0.3">
      <c r="A144" s="1">
        <v>143</v>
      </c>
      <c r="B144" s="1" t="s">
        <v>582</v>
      </c>
      <c r="C144" s="2">
        <v>42996</v>
      </c>
      <c r="D144" s="2">
        <v>43001</v>
      </c>
      <c r="E144" s="1" t="s">
        <v>48</v>
      </c>
      <c r="F144" s="1" t="s">
        <v>583</v>
      </c>
      <c r="G144" s="1" t="s">
        <v>584</v>
      </c>
      <c r="H144" s="1" t="s">
        <v>39</v>
      </c>
      <c r="I144" s="1" t="s">
        <v>25</v>
      </c>
      <c r="J144" s="1" t="s">
        <v>125</v>
      </c>
      <c r="K144" s="1" t="s">
        <v>41</v>
      </c>
      <c r="L144" s="1">
        <v>94122</v>
      </c>
      <c r="M144" s="1" t="s">
        <v>42</v>
      </c>
      <c r="N144" s="1" t="s">
        <v>587</v>
      </c>
      <c r="O144" s="1" t="s">
        <v>44</v>
      </c>
      <c r="P144" s="1" t="s">
        <v>171</v>
      </c>
      <c r="Q144" s="1" t="s">
        <v>588</v>
      </c>
      <c r="R144" s="1">
        <v>10.86</v>
      </c>
      <c r="S144" s="1">
        <v>3</v>
      </c>
      <c r="T144" s="3">
        <v>0</v>
      </c>
      <c r="U144" s="4">
        <v>5.1041999999999996</v>
      </c>
      <c r="V144" s="1" t="str">
        <f t="shared" si="20"/>
        <v>Standard Class</v>
      </c>
      <c r="W144" s="1" t="str">
        <f t="shared" si="21"/>
        <v>Corporate</v>
      </c>
      <c r="X144" s="1" t="str">
        <f t="shared" si="22"/>
        <v>San Francisco - California</v>
      </c>
      <c r="Y144" s="1" t="str">
        <f t="shared" si="23"/>
        <v>Envelopes</v>
      </c>
      <c r="Z144" s="1">
        <f t="shared" si="24"/>
        <v>10.86</v>
      </c>
      <c r="AA144" s="1">
        <f t="shared" si="25"/>
        <v>10.86</v>
      </c>
      <c r="AB144" s="1">
        <f t="shared" si="26"/>
        <v>32.58</v>
      </c>
      <c r="AC144" s="4">
        <f t="shared" si="27"/>
        <v>32.58</v>
      </c>
      <c r="AD144" s="1" t="s">
        <v>2013</v>
      </c>
      <c r="AE144" s="1" t="str">
        <f t="shared" si="28"/>
        <v>2017</v>
      </c>
      <c r="AF144" s="1" t="str">
        <f t="shared" si="29"/>
        <v>106180</v>
      </c>
    </row>
    <row r="145" spans="1:32" x14ac:dyDescent="0.3">
      <c r="A145" s="1">
        <v>144</v>
      </c>
      <c r="B145" s="1" t="s">
        <v>582</v>
      </c>
      <c r="C145" s="2">
        <v>42996</v>
      </c>
      <c r="D145" s="2">
        <v>43001</v>
      </c>
      <c r="E145" s="1" t="s">
        <v>48</v>
      </c>
      <c r="F145" s="1" t="s">
        <v>583</v>
      </c>
      <c r="G145" s="1" t="s">
        <v>584</v>
      </c>
      <c r="H145" s="1" t="s">
        <v>39</v>
      </c>
      <c r="I145" s="1" t="s">
        <v>25</v>
      </c>
      <c r="J145" s="1" t="s">
        <v>125</v>
      </c>
      <c r="K145" s="1" t="s">
        <v>41</v>
      </c>
      <c r="L145" s="1">
        <v>94122</v>
      </c>
      <c r="M145" s="1" t="s">
        <v>42</v>
      </c>
      <c r="N145" s="1" t="s">
        <v>589</v>
      </c>
      <c r="O145" s="1" t="s">
        <v>44</v>
      </c>
      <c r="P145" s="1" t="s">
        <v>88</v>
      </c>
      <c r="Q145" s="1" t="s">
        <v>590</v>
      </c>
      <c r="R145" s="1">
        <v>143.69999999999999</v>
      </c>
      <c r="S145" s="1">
        <v>3</v>
      </c>
      <c r="T145" s="3">
        <v>0</v>
      </c>
      <c r="U145" s="4">
        <v>68.975999999999999</v>
      </c>
      <c r="V145" s="1" t="str">
        <f t="shared" si="20"/>
        <v>Standard Class</v>
      </c>
      <c r="W145" s="1" t="str">
        <f t="shared" si="21"/>
        <v>Corporate</v>
      </c>
      <c r="X145" s="1" t="str">
        <f t="shared" si="22"/>
        <v>San Francisco - California</v>
      </c>
      <c r="Y145" s="1" t="str">
        <f t="shared" si="23"/>
        <v>Paper</v>
      </c>
      <c r="Z145" s="1">
        <f t="shared" si="24"/>
        <v>143.69999999999999</v>
      </c>
      <c r="AA145" s="1">
        <f t="shared" si="25"/>
        <v>143.69999999999999</v>
      </c>
      <c r="AB145" s="1">
        <f t="shared" si="26"/>
        <v>431.09999999999997</v>
      </c>
      <c r="AC145" s="4">
        <f t="shared" si="27"/>
        <v>431.09999999999997</v>
      </c>
      <c r="AD145" s="1" t="s">
        <v>2013</v>
      </c>
      <c r="AE145" s="1" t="str">
        <f t="shared" si="28"/>
        <v>2017</v>
      </c>
      <c r="AF145" s="1" t="str">
        <f t="shared" si="29"/>
        <v>106180</v>
      </c>
    </row>
    <row r="146" spans="1:32" x14ac:dyDescent="0.3">
      <c r="A146" s="1">
        <v>145</v>
      </c>
      <c r="B146" s="1" t="s">
        <v>591</v>
      </c>
      <c r="C146" s="2">
        <v>43091</v>
      </c>
      <c r="D146" s="2">
        <v>43096</v>
      </c>
      <c r="E146" s="1" t="s">
        <v>48</v>
      </c>
      <c r="F146" s="1" t="s">
        <v>592</v>
      </c>
      <c r="G146" s="1" t="s">
        <v>593</v>
      </c>
      <c r="H146" s="1" t="s">
        <v>24</v>
      </c>
      <c r="I146" s="1" t="s">
        <v>25</v>
      </c>
      <c r="J146" s="1" t="s">
        <v>594</v>
      </c>
      <c r="K146" s="1" t="s">
        <v>595</v>
      </c>
      <c r="L146" s="1">
        <v>64055</v>
      </c>
      <c r="M146" s="1" t="s">
        <v>103</v>
      </c>
      <c r="N146" s="1" t="s">
        <v>596</v>
      </c>
      <c r="O146" s="1" t="s">
        <v>44</v>
      </c>
      <c r="P146" s="1" t="s">
        <v>76</v>
      </c>
      <c r="Q146" s="1" t="s">
        <v>597</v>
      </c>
      <c r="R146" s="1">
        <v>839.43</v>
      </c>
      <c r="S146" s="1">
        <v>3</v>
      </c>
      <c r="T146" s="3">
        <v>0</v>
      </c>
      <c r="U146" s="4">
        <v>218.2518</v>
      </c>
      <c r="V146" s="1" t="str">
        <f t="shared" si="20"/>
        <v>Standard Class</v>
      </c>
      <c r="W146" s="1" t="str">
        <f t="shared" si="21"/>
        <v>Consumer</v>
      </c>
      <c r="X146" s="1" t="str">
        <f t="shared" si="22"/>
        <v>Independence - Missouri</v>
      </c>
      <c r="Y146" s="1" t="str">
        <f t="shared" si="23"/>
        <v>Appliances</v>
      </c>
      <c r="Z146" s="1">
        <f t="shared" si="24"/>
        <v>839.43</v>
      </c>
      <c r="AA146" s="1">
        <f t="shared" si="25"/>
        <v>839.43</v>
      </c>
      <c r="AB146" s="1">
        <f t="shared" si="26"/>
        <v>2518.29</v>
      </c>
      <c r="AC146" s="4">
        <f t="shared" si="27"/>
        <v>2518.29</v>
      </c>
      <c r="AD146" s="1" t="s">
        <v>2013</v>
      </c>
      <c r="AE146" s="1" t="str">
        <f t="shared" si="28"/>
        <v>2017</v>
      </c>
      <c r="AF146" s="1" t="str">
        <f t="shared" si="29"/>
        <v>155376</v>
      </c>
    </row>
    <row r="147" spans="1:32" x14ac:dyDescent="0.3">
      <c r="A147" s="1">
        <v>146</v>
      </c>
      <c r="B147" s="1" t="s">
        <v>598</v>
      </c>
      <c r="C147" s="2">
        <v>42254</v>
      </c>
      <c r="D147" s="2">
        <v>42259</v>
      </c>
      <c r="E147" s="1" t="s">
        <v>48</v>
      </c>
      <c r="F147" s="1" t="s">
        <v>599</v>
      </c>
      <c r="G147" s="1" t="s">
        <v>600</v>
      </c>
      <c r="H147" s="1" t="s">
        <v>24</v>
      </c>
      <c r="I147" s="1" t="s">
        <v>25</v>
      </c>
      <c r="J147" s="1" t="s">
        <v>601</v>
      </c>
      <c r="K147" s="1" t="s">
        <v>41</v>
      </c>
      <c r="L147" s="1">
        <v>91104</v>
      </c>
      <c r="M147" s="1" t="s">
        <v>42</v>
      </c>
      <c r="N147" s="1" t="s">
        <v>377</v>
      </c>
      <c r="O147" s="1" t="s">
        <v>44</v>
      </c>
      <c r="P147" s="1" t="s">
        <v>57</v>
      </c>
      <c r="Q147" s="1" t="s">
        <v>378</v>
      </c>
      <c r="R147" s="1">
        <v>671.93</v>
      </c>
      <c r="S147" s="1">
        <v>7</v>
      </c>
      <c r="T147" s="3">
        <v>0</v>
      </c>
      <c r="U147" s="4">
        <v>20.157900000000001</v>
      </c>
      <c r="V147" s="1" t="str">
        <f t="shared" si="20"/>
        <v>Standard Class</v>
      </c>
      <c r="W147" s="1" t="str">
        <f t="shared" si="21"/>
        <v>Consumer</v>
      </c>
      <c r="X147" s="1" t="str">
        <f t="shared" si="22"/>
        <v>Pasadena - California</v>
      </c>
      <c r="Y147" s="1" t="str">
        <f t="shared" si="23"/>
        <v>Storage</v>
      </c>
      <c r="Z147" s="1">
        <f t="shared" si="24"/>
        <v>671.93</v>
      </c>
      <c r="AA147" s="1">
        <f t="shared" si="25"/>
        <v>671.93</v>
      </c>
      <c r="AB147" s="1">
        <f t="shared" si="26"/>
        <v>4703.5099999999993</v>
      </c>
      <c r="AC147" s="4">
        <f t="shared" si="27"/>
        <v>4703.5099999999993</v>
      </c>
      <c r="AD147" s="1" t="s">
        <v>2013</v>
      </c>
      <c r="AE147" s="1" t="str">
        <f t="shared" si="28"/>
        <v>2015</v>
      </c>
      <c r="AF147" s="1" t="str">
        <f t="shared" si="29"/>
        <v>110744</v>
      </c>
    </row>
    <row r="148" spans="1:32" x14ac:dyDescent="0.3">
      <c r="A148" s="1">
        <v>147</v>
      </c>
      <c r="B148" s="1" t="s">
        <v>602</v>
      </c>
      <c r="C148" s="2">
        <v>41934</v>
      </c>
      <c r="D148" s="2">
        <v>41940</v>
      </c>
      <c r="E148" s="1" t="s">
        <v>48</v>
      </c>
      <c r="F148" s="1" t="s">
        <v>603</v>
      </c>
      <c r="G148" s="1" t="s">
        <v>604</v>
      </c>
      <c r="H148" s="1" t="s">
        <v>100</v>
      </c>
      <c r="I148" s="1" t="s">
        <v>25</v>
      </c>
      <c r="J148" s="1" t="s">
        <v>605</v>
      </c>
      <c r="K148" s="1" t="s">
        <v>496</v>
      </c>
      <c r="L148" s="1">
        <v>43055</v>
      </c>
      <c r="M148" s="1" t="s">
        <v>146</v>
      </c>
      <c r="N148" s="1" t="s">
        <v>606</v>
      </c>
      <c r="O148" s="1" t="s">
        <v>30</v>
      </c>
      <c r="P148" s="1" t="s">
        <v>63</v>
      </c>
      <c r="Q148" s="1" t="s">
        <v>607</v>
      </c>
      <c r="R148" s="1">
        <v>93.888000000000005</v>
      </c>
      <c r="S148" s="1">
        <v>4</v>
      </c>
      <c r="T148" s="3">
        <v>0.2</v>
      </c>
      <c r="U148" s="4">
        <v>12.909599999999999</v>
      </c>
      <c r="V148" s="1" t="str">
        <f t="shared" si="20"/>
        <v>Standard Class</v>
      </c>
      <c r="W148" s="1" t="str">
        <f t="shared" si="21"/>
        <v>Home Office</v>
      </c>
      <c r="X148" s="1" t="str">
        <f t="shared" si="22"/>
        <v>Newark - Ohio</v>
      </c>
      <c r="Y148" s="1" t="str">
        <f t="shared" si="23"/>
        <v>Furnishings</v>
      </c>
      <c r="Z148" s="1">
        <f t="shared" si="24"/>
        <v>93.888000000000005</v>
      </c>
      <c r="AA148" s="1">
        <f t="shared" si="25"/>
        <v>93.888000000000005</v>
      </c>
      <c r="AB148" s="1">
        <f t="shared" si="26"/>
        <v>375.55200000000002</v>
      </c>
      <c r="AC148" s="4">
        <f t="shared" si="27"/>
        <v>300.44160000000005</v>
      </c>
      <c r="AD148" s="1" t="s">
        <v>2013</v>
      </c>
      <c r="AE148" s="1" t="str">
        <f t="shared" si="28"/>
        <v>2014</v>
      </c>
      <c r="AF148" s="1" t="str">
        <f t="shared" si="29"/>
        <v>110072</v>
      </c>
    </row>
    <row r="149" spans="1:32" x14ac:dyDescent="0.3">
      <c r="A149" s="1">
        <v>148</v>
      </c>
      <c r="B149" s="1" t="s">
        <v>608</v>
      </c>
      <c r="C149" s="2">
        <v>42709</v>
      </c>
      <c r="D149" s="2">
        <v>42713</v>
      </c>
      <c r="E149" s="1" t="s">
        <v>48</v>
      </c>
      <c r="F149" s="1" t="s">
        <v>609</v>
      </c>
      <c r="G149" s="1" t="s">
        <v>610</v>
      </c>
      <c r="H149" s="1" t="s">
        <v>39</v>
      </c>
      <c r="I149" s="1" t="s">
        <v>25</v>
      </c>
      <c r="J149" s="1" t="s">
        <v>611</v>
      </c>
      <c r="K149" s="1" t="s">
        <v>112</v>
      </c>
      <c r="L149" s="1">
        <v>53132</v>
      </c>
      <c r="M149" s="1" t="s">
        <v>103</v>
      </c>
      <c r="N149" s="1" t="s">
        <v>612</v>
      </c>
      <c r="O149" s="1" t="s">
        <v>69</v>
      </c>
      <c r="P149" s="1" t="s">
        <v>70</v>
      </c>
      <c r="Q149" s="1" t="s">
        <v>613</v>
      </c>
      <c r="R149" s="1">
        <v>384.45</v>
      </c>
      <c r="S149" s="1">
        <v>11</v>
      </c>
      <c r="T149" s="3">
        <v>0</v>
      </c>
      <c r="U149" s="4">
        <v>103.8015</v>
      </c>
      <c r="V149" s="1" t="str">
        <f t="shared" si="20"/>
        <v>Standard Class</v>
      </c>
      <c r="W149" s="1" t="str">
        <f t="shared" si="21"/>
        <v>Corporate</v>
      </c>
      <c r="X149" s="1" t="str">
        <f t="shared" si="22"/>
        <v>Franklin - Wisconsin</v>
      </c>
      <c r="Y149" s="1" t="str">
        <f t="shared" si="23"/>
        <v>Phones</v>
      </c>
      <c r="Z149" s="1">
        <f t="shared" si="24"/>
        <v>384.45</v>
      </c>
      <c r="AA149" s="1">
        <f t="shared" si="25"/>
        <v>384.45</v>
      </c>
      <c r="AB149" s="1">
        <f t="shared" si="26"/>
        <v>4228.95</v>
      </c>
      <c r="AC149" s="4">
        <f t="shared" si="27"/>
        <v>4228.95</v>
      </c>
      <c r="AD149" s="1" t="s">
        <v>2013</v>
      </c>
      <c r="AE149" s="1" t="str">
        <f t="shared" si="28"/>
        <v>2016</v>
      </c>
      <c r="AF149" s="1" t="str">
        <f t="shared" si="29"/>
        <v>114489</v>
      </c>
    </row>
    <row r="150" spans="1:32" x14ac:dyDescent="0.3">
      <c r="A150" s="1">
        <v>149</v>
      </c>
      <c r="B150" s="1" t="s">
        <v>608</v>
      </c>
      <c r="C150" s="2">
        <v>42709</v>
      </c>
      <c r="D150" s="2">
        <v>42713</v>
      </c>
      <c r="E150" s="1" t="s">
        <v>48</v>
      </c>
      <c r="F150" s="1" t="s">
        <v>609</v>
      </c>
      <c r="G150" s="1" t="s">
        <v>610</v>
      </c>
      <c r="H150" s="1" t="s">
        <v>39</v>
      </c>
      <c r="I150" s="1" t="s">
        <v>25</v>
      </c>
      <c r="J150" s="1" t="s">
        <v>611</v>
      </c>
      <c r="K150" s="1" t="s">
        <v>112</v>
      </c>
      <c r="L150" s="1">
        <v>53132</v>
      </c>
      <c r="M150" s="1" t="s">
        <v>103</v>
      </c>
      <c r="N150" s="1" t="s">
        <v>614</v>
      </c>
      <c r="O150" s="1" t="s">
        <v>69</v>
      </c>
      <c r="P150" s="1" t="s">
        <v>70</v>
      </c>
      <c r="Q150" s="1" t="s">
        <v>615</v>
      </c>
      <c r="R150" s="1">
        <v>149.97</v>
      </c>
      <c r="S150" s="1">
        <v>3</v>
      </c>
      <c r="T150" s="3">
        <v>0</v>
      </c>
      <c r="U150" s="4">
        <v>5.9988000000000001</v>
      </c>
      <c r="V150" s="1" t="str">
        <f t="shared" si="20"/>
        <v>Standard Class</v>
      </c>
      <c r="W150" s="1" t="str">
        <f t="shared" si="21"/>
        <v>Corporate</v>
      </c>
      <c r="X150" s="1" t="str">
        <f t="shared" si="22"/>
        <v>Franklin - Wisconsin</v>
      </c>
      <c r="Y150" s="1" t="str">
        <f t="shared" si="23"/>
        <v>Phones</v>
      </c>
      <c r="Z150" s="1">
        <f t="shared" si="24"/>
        <v>149.97</v>
      </c>
      <c r="AA150" s="1">
        <f t="shared" si="25"/>
        <v>149.97</v>
      </c>
      <c r="AB150" s="1">
        <f t="shared" si="26"/>
        <v>449.90999999999997</v>
      </c>
      <c r="AC150" s="4">
        <f t="shared" si="27"/>
        <v>449.90999999999997</v>
      </c>
      <c r="AD150" s="1" t="s">
        <v>2013</v>
      </c>
      <c r="AE150" s="1" t="str">
        <f t="shared" si="28"/>
        <v>2016</v>
      </c>
      <c r="AF150" s="1" t="str">
        <f t="shared" si="29"/>
        <v>114489</v>
      </c>
    </row>
    <row r="151" spans="1:32" x14ac:dyDescent="0.3">
      <c r="A151" s="1">
        <v>150</v>
      </c>
      <c r="B151" s="1" t="s">
        <v>608</v>
      </c>
      <c r="C151" s="2">
        <v>42709</v>
      </c>
      <c r="D151" s="2">
        <v>42713</v>
      </c>
      <c r="E151" s="1" t="s">
        <v>48</v>
      </c>
      <c r="F151" s="1" t="s">
        <v>609</v>
      </c>
      <c r="G151" s="1" t="s">
        <v>610</v>
      </c>
      <c r="H151" s="1" t="s">
        <v>39</v>
      </c>
      <c r="I151" s="1" t="s">
        <v>25</v>
      </c>
      <c r="J151" s="1" t="s">
        <v>611</v>
      </c>
      <c r="K151" s="1" t="s">
        <v>112</v>
      </c>
      <c r="L151" s="1">
        <v>53132</v>
      </c>
      <c r="M151" s="1" t="s">
        <v>103</v>
      </c>
      <c r="N151" s="1" t="s">
        <v>33</v>
      </c>
      <c r="O151" s="1" t="s">
        <v>30</v>
      </c>
      <c r="P151" s="1" t="s">
        <v>34</v>
      </c>
      <c r="Q151" s="1" t="s">
        <v>35</v>
      </c>
      <c r="R151" s="1">
        <v>1951.84</v>
      </c>
      <c r="S151" s="1">
        <v>8</v>
      </c>
      <c r="T151" s="3">
        <v>0</v>
      </c>
      <c r="U151" s="4">
        <v>585.55200000000002</v>
      </c>
      <c r="V151" s="1" t="str">
        <f t="shared" si="20"/>
        <v>Standard Class</v>
      </c>
      <c r="W151" s="1" t="str">
        <f t="shared" si="21"/>
        <v>Corporate</v>
      </c>
      <c r="X151" s="1" t="str">
        <f t="shared" si="22"/>
        <v>Franklin - Wisconsin</v>
      </c>
      <c r="Y151" s="1" t="str">
        <f t="shared" si="23"/>
        <v>Chairs</v>
      </c>
      <c r="Z151" s="1">
        <f t="shared" si="24"/>
        <v>1951.84</v>
      </c>
      <c r="AA151" s="1">
        <f t="shared" si="25"/>
        <v>1951.84</v>
      </c>
      <c r="AB151" s="1">
        <f t="shared" si="26"/>
        <v>15614.72</v>
      </c>
      <c r="AC151" s="4">
        <f t="shared" si="27"/>
        <v>15614.72</v>
      </c>
      <c r="AD151" s="1" t="s">
        <v>2013</v>
      </c>
      <c r="AE151" s="1" t="str">
        <f t="shared" si="28"/>
        <v>2016</v>
      </c>
      <c r="AF151" s="1" t="str">
        <f t="shared" si="29"/>
        <v>114489</v>
      </c>
    </row>
    <row r="152" spans="1:32" x14ac:dyDescent="0.3">
      <c r="A152" s="1">
        <v>151</v>
      </c>
      <c r="B152" s="1" t="s">
        <v>608</v>
      </c>
      <c r="C152" s="2">
        <v>42709</v>
      </c>
      <c r="D152" s="2">
        <v>42713</v>
      </c>
      <c r="E152" s="1" t="s">
        <v>48</v>
      </c>
      <c r="F152" s="1" t="s">
        <v>609</v>
      </c>
      <c r="G152" s="1" t="s">
        <v>610</v>
      </c>
      <c r="H152" s="1" t="s">
        <v>39</v>
      </c>
      <c r="I152" s="1" t="s">
        <v>25</v>
      </c>
      <c r="J152" s="1" t="s">
        <v>611</v>
      </c>
      <c r="K152" s="1" t="s">
        <v>112</v>
      </c>
      <c r="L152" s="1">
        <v>53132</v>
      </c>
      <c r="M152" s="1" t="s">
        <v>103</v>
      </c>
      <c r="N152" s="1" t="s">
        <v>616</v>
      </c>
      <c r="O152" s="1" t="s">
        <v>44</v>
      </c>
      <c r="P152" s="1" t="s">
        <v>73</v>
      </c>
      <c r="Q152" s="1" t="s">
        <v>617</v>
      </c>
      <c r="R152" s="1">
        <v>171.55</v>
      </c>
      <c r="S152" s="1">
        <v>5</v>
      </c>
      <c r="T152" s="3">
        <v>0</v>
      </c>
      <c r="U152" s="4">
        <v>80.628500000000003</v>
      </c>
      <c r="V152" s="1" t="str">
        <f t="shared" si="20"/>
        <v>Standard Class</v>
      </c>
      <c r="W152" s="1" t="str">
        <f t="shared" si="21"/>
        <v>Corporate</v>
      </c>
      <c r="X152" s="1" t="str">
        <f t="shared" si="22"/>
        <v>Franklin - Wisconsin</v>
      </c>
      <c r="Y152" s="1" t="str">
        <f t="shared" si="23"/>
        <v>Binders</v>
      </c>
      <c r="Z152" s="1">
        <f t="shared" si="24"/>
        <v>171.55</v>
      </c>
      <c r="AA152" s="1">
        <f t="shared" si="25"/>
        <v>171.55</v>
      </c>
      <c r="AB152" s="1">
        <f t="shared" si="26"/>
        <v>857.75</v>
      </c>
      <c r="AC152" s="4">
        <f t="shared" si="27"/>
        <v>857.75</v>
      </c>
      <c r="AD152" s="1" t="s">
        <v>2013</v>
      </c>
      <c r="AE152" s="1" t="str">
        <f t="shared" si="28"/>
        <v>2016</v>
      </c>
      <c r="AF152" s="1" t="str">
        <f t="shared" si="29"/>
        <v>114489</v>
      </c>
    </row>
    <row r="153" spans="1:32" x14ac:dyDescent="0.3">
      <c r="A153" s="1">
        <v>152</v>
      </c>
      <c r="B153" s="1" t="s">
        <v>618</v>
      </c>
      <c r="C153" s="2">
        <v>42442</v>
      </c>
      <c r="D153" s="2">
        <v>42445</v>
      </c>
      <c r="E153" s="1" t="s">
        <v>186</v>
      </c>
      <c r="F153" s="1" t="s">
        <v>619</v>
      </c>
      <c r="G153" s="1" t="s">
        <v>620</v>
      </c>
      <c r="H153" s="1" t="s">
        <v>100</v>
      </c>
      <c r="I153" s="1" t="s">
        <v>25</v>
      </c>
      <c r="J153" s="1" t="s">
        <v>621</v>
      </c>
      <c r="K153" s="1" t="s">
        <v>308</v>
      </c>
      <c r="L153" s="1">
        <v>85254</v>
      </c>
      <c r="M153" s="1" t="s">
        <v>42</v>
      </c>
      <c r="N153" s="1" t="s">
        <v>622</v>
      </c>
      <c r="O153" s="1" t="s">
        <v>44</v>
      </c>
      <c r="P153" s="1" t="s">
        <v>76</v>
      </c>
      <c r="Q153" s="1" t="s">
        <v>623</v>
      </c>
      <c r="R153" s="1">
        <v>157.91999999999999</v>
      </c>
      <c r="S153" s="1">
        <v>5</v>
      </c>
      <c r="T153" s="3">
        <v>0.2</v>
      </c>
      <c r="U153" s="4">
        <v>17.765999999999998</v>
      </c>
      <c r="V153" s="1" t="str">
        <f t="shared" si="20"/>
        <v>First Class</v>
      </c>
      <c r="W153" s="1" t="str">
        <f t="shared" si="21"/>
        <v>Home Office</v>
      </c>
      <c r="X153" s="1" t="str">
        <f t="shared" si="22"/>
        <v>Scottsdale - Arizona</v>
      </c>
      <c r="Y153" s="1" t="str">
        <f t="shared" si="23"/>
        <v>Appliances</v>
      </c>
      <c r="Z153" s="1">
        <f t="shared" si="24"/>
        <v>157.91999999999999</v>
      </c>
      <c r="AA153" s="1">
        <f t="shared" si="25"/>
        <v>157.91999999999999</v>
      </c>
      <c r="AB153" s="1">
        <f t="shared" si="26"/>
        <v>789.59999999999991</v>
      </c>
      <c r="AC153" s="4">
        <f t="shared" si="27"/>
        <v>631.67999999999995</v>
      </c>
      <c r="AD153" s="1" t="s">
        <v>2013</v>
      </c>
      <c r="AE153" s="1" t="str">
        <f t="shared" si="28"/>
        <v>2016</v>
      </c>
      <c r="AF153" s="1" t="str">
        <f t="shared" si="29"/>
        <v>158834</v>
      </c>
    </row>
    <row r="154" spans="1:32" x14ac:dyDescent="0.3">
      <c r="A154" s="1">
        <v>153</v>
      </c>
      <c r="B154" s="1" t="s">
        <v>618</v>
      </c>
      <c r="C154" s="2">
        <v>42442</v>
      </c>
      <c r="D154" s="2">
        <v>42445</v>
      </c>
      <c r="E154" s="1" t="s">
        <v>186</v>
      </c>
      <c r="F154" s="1" t="s">
        <v>619</v>
      </c>
      <c r="G154" s="1" t="s">
        <v>620</v>
      </c>
      <c r="H154" s="1" t="s">
        <v>100</v>
      </c>
      <c r="I154" s="1" t="s">
        <v>25</v>
      </c>
      <c r="J154" s="1" t="s">
        <v>621</v>
      </c>
      <c r="K154" s="1" t="s">
        <v>308</v>
      </c>
      <c r="L154" s="1">
        <v>85254</v>
      </c>
      <c r="M154" s="1" t="s">
        <v>42</v>
      </c>
      <c r="N154" s="1" t="s">
        <v>624</v>
      </c>
      <c r="O154" s="1" t="s">
        <v>69</v>
      </c>
      <c r="P154" s="1" t="s">
        <v>70</v>
      </c>
      <c r="Q154" s="1" t="s">
        <v>625</v>
      </c>
      <c r="R154" s="1">
        <v>203.184</v>
      </c>
      <c r="S154" s="1">
        <v>2</v>
      </c>
      <c r="T154" s="3">
        <v>0.2</v>
      </c>
      <c r="U154" s="4">
        <v>15.238799999999999</v>
      </c>
      <c r="V154" s="1" t="str">
        <f t="shared" si="20"/>
        <v>First Class</v>
      </c>
      <c r="W154" s="1" t="str">
        <f t="shared" si="21"/>
        <v>Home Office</v>
      </c>
      <c r="X154" s="1" t="str">
        <f t="shared" si="22"/>
        <v>Scottsdale - Arizona</v>
      </c>
      <c r="Y154" s="1" t="str">
        <f t="shared" si="23"/>
        <v>Phones</v>
      </c>
      <c r="Z154" s="1">
        <f t="shared" si="24"/>
        <v>203.184</v>
      </c>
      <c r="AA154" s="1">
        <f t="shared" si="25"/>
        <v>203.184</v>
      </c>
      <c r="AB154" s="1">
        <f t="shared" si="26"/>
        <v>406.36799999999999</v>
      </c>
      <c r="AC154" s="4">
        <f t="shared" si="27"/>
        <v>325.09440000000001</v>
      </c>
      <c r="AD154" s="1" t="s">
        <v>2013</v>
      </c>
      <c r="AE154" s="1" t="str">
        <f t="shared" si="28"/>
        <v>2016</v>
      </c>
      <c r="AF154" s="1" t="str">
        <f t="shared" si="29"/>
        <v>158834</v>
      </c>
    </row>
    <row r="155" spans="1:32" x14ac:dyDescent="0.3">
      <c r="A155" s="1">
        <v>154</v>
      </c>
      <c r="B155" s="1" t="s">
        <v>626</v>
      </c>
      <c r="C155" s="2">
        <v>42155</v>
      </c>
      <c r="D155" s="2">
        <v>42157</v>
      </c>
      <c r="E155" s="1" t="s">
        <v>186</v>
      </c>
      <c r="F155" s="1" t="s">
        <v>627</v>
      </c>
      <c r="G155" s="1" t="s">
        <v>628</v>
      </c>
      <c r="H155" s="1" t="s">
        <v>39</v>
      </c>
      <c r="I155" s="1" t="s">
        <v>25</v>
      </c>
      <c r="J155" s="1" t="s">
        <v>629</v>
      </c>
      <c r="K155" s="1" t="s">
        <v>41</v>
      </c>
      <c r="L155" s="1">
        <v>95123</v>
      </c>
      <c r="M155" s="1" t="s">
        <v>42</v>
      </c>
      <c r="N155" s="1" t="s">
        <v>630</v>
      </c>
      <c r="O155" s="1" t="s">
        <v>44</v>
      </c>
      <c r="P155" s="1" t="s">
        <v>88</v>
      </c>
      <c r="Q155" s="1" t="s">
        <v>631</v>
      </c>
      <c r="R155" s="1">
        <v>58.38</v>
      </c>
      <c r="S155" s="1">
        <v>7</v>
      </c>
      <c r="T155" s="3">
        <v>0</v>
      </c>
      <c r="U155" s="4">
        <v>26.271000000000001</v>
      </c>
      <c r="V155" s="1" t="str">
        <f t="shared" si="20"/>
        <v>First Class</v>
      </c>
      <c r="W155" s="1" t="str">
        <f t="shared" si="21"/>
        <v>Corporate</v>
      </c>
      <c r="X155" s="1" t="str">
        <f t="shared" si="22"/>
        <v>San Jose - California</v>
      </c>
      <c r="Y155" s="1" t="str">
        <f t="shared" si="23"/>
        <v>Paper</v>
      </c>
      <c r="Z155" s="1">
        <f t="shared" si="24"/>
        <v>58.38</v>
      </c>
      <c r="AA155" s="1">
        <f t="shared" si="25"/>
        <v>58.38</v>
      </c>
      <c r="AB155" s="1">
        <f t="shared" si="26"/>
        <v>408.66</v>
      </c>
      <c r="AC155" s="4">
        <f t="shared" si="27"/>
        <v>408.66</v>
      </c>
      <c r="AD155" s="1" t="s">
        <v>2013</v>
      </c>
      <c r="AE155" s="1" t="str">
        <f t="shared" si="28"/>
        <v>2015</v>
      </c>
      <c r="AF155" s="1" t="str">
        <f t="shared" si="29"/>
        <v>124919</v>
      </c>
    </row>
    <row r="156" spans="1:32" x14ac:dyDescent="0.3">
      <c r="A156" s="1">
        <v>155</v>
      </c>
      <c r="B156" s="1" t="s">
        <v>626</v>
      </c>
      <c r="C156" s="2">
        <v>42155</v>
      </c>
      <c r="D156" s="2">
        <v>42157</v>
      </c>
      <c r="E156" s="1" t="s">
        <v>186</v>
      </c>
      <c r="F156" s="1" t="s">
        <v>627</v>
      </c>
      <c r="G156" s="1" t="s">
        <v>628</v>
      </c>
      <c r="H156" s="1" t="s">
        <v>39</v>
      </c>
      <c r="I156" s="1" t="s">
        <v>25</v>
      </c>
      <c r="J156" s="1" t="s">
        <v>629</v>
      </c>
      <c r="K156" s="1" t="s">
        <v>41</v>
      </c>
      <c r="L156" s="1">
        <v>95123</v>
      </c>
      <c r="M156" s="1" t="s">
        <v>42</v>
      </c>
      <c r="N156" s="1" t="s">
        <v>632</v>
      </c>
      <c r="O156" s="1" t="s">
        <v>44</v>
      </c>
      <c r="P156" s="1" t="s">
        <v>88</v>
      </c>
      <c r="Q156" s="1" t="s">
        <v>633</v>
      </c>
      <c r="R156" s="1">
        <v>105.52</v>
      </c>
      <c r="S156" s="1">
        <v>4</v>
      </c>
      <c r="T156" s="3">
        <v>0</v>
      </c>
      <c r="U156" s="4">
        <v>48.539200000000001</v>
      </c>
      <c r="V156" s="1" t="str">
        <f t="shared" si="20"/>
        <v>First Class</v>
      </c>
      <c r="W156" s="1" t="str">
        <f t="shared" si="21"/>
        <v>Corporate</v>
      </c>
      <c r="X156" s="1" t="str">
        <f t="shared" si="22"/>
        <v>San Jose - California</v>
      </c>
      <c r="Y156" s="1" t="str">
        <f t="shared" si="23"/>
        <v>Paper</v>
      </c>
      <c r="Z156" s="1">
        <f t="shared" si="24"/>
        <v>105.52</v>
      </c>
      <c r="AA156" s="1">
        <f t="shared" si="25"/>
        <v>105.52</v>
      </c>
      <c r="AB156" s="1">
        <f t="shared" si="26"/>
        <v>422.08</v>
      </c>
      <c r="AC156" s="4">
        <f t="shared" si="27"/>
        <v>422.08</v>
      </c>
      <c r="AD156" s="1" t="s">
        <v>2013</v>
      </c>
      <c r="AE156" s="1" t="str">
        <f t="shared" si="28"/>
        <v>2015</v>
      </c>
      <c r="AF156" s="1" t="str">
        <f t="shared" si="29"/>
        <v>124919</v>
      </c>
    </row>
    <row r="157" spans="1:32" x14ac:dyDescent="0.3">
      <c r="A157" s="1">
        <v>156</v>
      </c>
      <c r="B157" s="1" t="s">
        <v>626</v>
      </c>
      <c r="C157" s="2">
        <v>42155</v>
      </c>
      <c r="D157" s="2">
        <v>42157</v>
      </c>
      <c r="E157" s="1" t="s">
        <v>186</v>
      </c>
      <c r="F157" s="1" t="s">
        <v>627</v>
      </c>
      <c r="G157" s="1" t="s">
        <v>628</v>
      </c>
      <c r="H157" s="1" t="s">
        <v>39</v>
      </c>
      <c r="I157" s="1" t="s">
        <v>25</v>
      </c>
      <c r="J157" s="1" t="s">
        <v>629</v>
      </c>
      <c r="K157" s="1" t="s">
        <v>41</v>
      </c>
      <c r="L157" s="1">
        <v>95123</v>
      </c>
      <c r="M157" s="1" t="s">
        <v>42</v>
      </c>
      <c r="N157" s="1" t="s">
        <v>634</v>
      </c>
      <c r="O157" s="1" t="s">
        <v>44</v>
      </c>
      <c r="P157" s="1" t="s">
        <v>57</v>
      </c>
      <c r="Q157" s="1" t="s">
        <v>635</v>
      </c>
      <c r="R157" s="1">
        <v>80.88</v>
      </c>
      <c r="S157" s="1">
        <v>6</v>
      </c>
      <c r="T157" s="3">
        <v>0</v>
      </c>
      <c r="U157" s="4">
        <v>21.0288</v>
      </c>
      <c r="V157" s="1" t="str">
        <f t="shared" si="20"/>
        <v>First Class</v>
      </c>
      <c r="W157" s="1" t="str">
        <f t="shared" si="21"/>
        <v>Corporate</v>
      </c>
      <c r="X157" s="1" t="str">
        <f t="shared" si="22"/>
        <v>San Jose - California</v>
      </c>
      <c r="Y157" s="1" t="str">
        <f t="shared" si="23"/>
        <v>Storage</v>
      </c>
      <c r="Z157" s="1">
        <f t="shared" si="24"/>
        <v>80.88</v>
      </c>
      <c r="AA157" s="1">
        <f t="shared" si="25"/>
        <v>80.88</v>
      </c>
      <c r="AB157" s="1">
        <f t="shared" si="26"/>
        <v>485.28</v>
      </c>
      <c r="AC157" s="4">
        <f t="shared" si="27"/>
        <v>485.28</v>
      </c>
      <c r="AD157" s="1" t="s">
        <v>2013</v>
      </c>
      <c r="AE157" s="1" t="str">
        <f t="shared" si="28"/>
        <v>2015</v>
      </c>
      <c r="AF157" s="1" t="str">
        <f t="shared" si="29"/>
        <v>124919</v>
      </c>
    </row>
    <row r="158" spans="1:32" x14ac:dyDescent="0.3">
      <c r="A158" s="1">
        <v>157</v>
      </c>
      <c r="B158" s="1" t="s">
        <v>636</v>
      </c>
      <c r="C158" s="2">
        <v>42152</v>
      </c>
      <c r="D158" s="2">
        <v>42158</v>
      </c>
      <c r="E158" s="1" t="s">
        <v>48</v>
      </c>
      <c r="F158" s="1" t="s">
        <v>637</v>
      </c>
      <c r="G158" s="1" t="s">
        <v>638</v>
      </c>
      <c r="H158" s="1" t="s">
        <v>100</v>
      </c>
      <c r="I158" s="1" t="s">
        <v>25</v>
      </c>
      <c r="J158" s="1" t="s">
        <v>93</v>
      </c>
      <c r="K158" s="1" t="s">
        <v>94</v>
      </c>
      <c r="L158" s="1">
        <v>98105</v>
      </c>
      <c r="M158" s="1" t="s">
        <v>42</v>
      </c>
      <c r="N158" s="1" t="s">
        <v>639</v>
      </c>
      <c r="O158" s="1" t="s">
        <v>44</v>
      </c>
      <c r="P158" s="1" t="s">
        <v>66</v>
      </c>
      <c r="Q158" s="1" t="s">
        <v>640</v>
      </c>
      <c r="R158" s="1">
        <v>6.63</v>
      </c>
      <c r="S158" s="1">
        <v>3</v>
      </c>
      <c r="T158" s="3">
        <v>0</v>
      </c>
      <c r="U158" s="4">
        <v>1.7901</v>
      </c>
      <c r="V158" s="1" t="str">
        <f t="shared" si="20"/>
        <v>Standard Class</v>
      </c>
      <c r="W158" s="1" t="str">
        <f t="shared" si="21"/>
        <v>Home Office</v>
      </c>
      <c r="X158" s="1" t="str">
        <f t="shared" si="22"/>
        <v>Seattle - Washington</v>
      </c>
      <c r="Y158" s="1" t="str">
        <f t="shared" si="23"/>
        <v>Art</v>
      </c>
      <c r="Z158" s="1">
        <f t="shared" si="24"/>
        <v>6.63</v>
      </c>
      <c r="AA158" s="1">
        <f t="shared" si="25"/>
        <v>6.63</v>
      </c>
      <c r="AB158" s="1">
        <f t="shared" si="26"/>
        <v>19.89</v>
      </c>
      <c r="AC158" s="4">
        <f t="shared" si="27"/>
        <v>19.89</v>
      </c>
      <c r="AD158" s="1" t="s">
        <v>2013</v>
      </c>
      <c r="AE158" s="1" t="str">
        <f t="shared" si="28"/>
        <v>2015</v>
      </c>
      <c r="AF158" s="1" t="str">
        <f t="shared" si="29"/>
        <v>118948</v>
      </c>
    </row>
    <row r="159" spans="1:32" x14ac:dyDescent="0.3">
      <c r="A159" s="1">
        <v>158</v>
      </c>
      <c r="B159" s="1" t="s">
        <v>641</v>
      </c>
      <c r="C159" s="2">
        <v>41699</v>
      </c>
      <c r="D159" s="2">
        <v>41704</v>
      </c>
      <c r="E159" s="1" t="s">
        <v>21</v>
      </c>
      <c r="F159" s="1" t="s">
        <v>642</v>
      </c>
      <c r="G159" s="1" t="s">
        <v>643</v>
      </c>
      <c r="H159" s="1" t="s">
        <v>24</v>
      </c>
      <c r="I159" s="1" t="s">
        <v>25</v>
      </c>
      <c r="J159" s="1" t="s">
        <v>93</v>
      </c>
      <c r="K159" s="1" t="s">
        <v>94</v>
      </c>
      <c r="L159" s="1">
        <v>98115</v>
      </c>
      <c r="M159" s="1" t="s">
        <v>42</v>
      </c>
      <c r="N159" s="1" t="s">
        <v>531</v>
      </c>
      <c r="O159" s="1" t="s">
        <v>30</v>
      </c>
      <c r="P159" s="1" t="s">
        <v>34</v>
      </c>
      <c r="Q159" s="1" t="s">
        <v>532</v>
      </c>
      <c r="R159" s="1">
        <v>457.56799999999998</v>
      </c>
      <c r="S159" s="1">
        <v>2</v>
      </c>
      <c r="T159" s="3">
        <v>0.2</v>
      </c>
      <c r="U159" s="4">
        <v>51.476399999999998</v>
      </c>
      <c r="V159" s="1" t="str">
        <f t="shared" si="20"/>
        <v>Second Class</v>
      </c>
      <c r="W159" s="1" t="str">
        <f t="shared" si="21"/>
        <v>Consumer</v>
      </c>
      <c r="X159" s="1" t="str">
        <f t="shared" si="22"/>
        <v>Seattle - Washington</v>
      </c>
      <c r="Y159" s="1" t="str">
        <f t="shared" si="23"/>
        <v>Chairs</v>
      </c>
      <c r="Z159" s="1">
        <f t="shared" si="24"/>
        <v>457.56799999999998</v>
      </c>
      <c r="AA159" s="1">
        <f t="shared" si="25"/>
        <v>457.56799999999998</v>
      </c>
      <c r="AB159" s="1">
        <f t="shared" si="26"/>
        <v>915.13599999999997</v>
      </c>
      <c r="AC159" s="4">
        <f t="shared" si="27"/>
        <v>732.10879999999997</v>
      </c>
      <c r="AD159" s="1" t="s">
        <v>2013</v>
      </c>
      <c r="AE159" s="1" t="str">
        <f t="shared" si="28"/>
        <v>2014</v>
      </c>
      <c r="AF159" s="1" t="str">
        <f t="shared" si="29"/>
        <v>104269</v>
      </c>
    </row>
    <row r="160" spans="1:32" x14ac:dyDescent="0.3">
      <c r="A160" s="1">
        <v>159</v>
      </c>
      <c r="B160" s="1" t="s">
        <v>644</v>
      </c>
      <c r="C160" s="2">
        <v>42694</v>
      </c>
      <c r="D160" s="2">
        <v>42698</v>
      </c>
      <c r="E160" s="1" t="s">
        <v>48</v>
      </c>
      <c r="F160" s="1" t="s">
        <v>645</v>
      </c>
      <c r="G160" s="1" t="s">
        <v>646</v>
      </c>
      <c r="H160" s="1" t="s">
        <v>24</v>
      </c>
      <c r="I160" s="1" t="s">
        <v>25</v>
      </c>
      <c r="J160" s="1" t="s">
        <v>647</v>
      </c>
      <c r="K160" s="1" t="s">
        <v>648</v>
      </c>
      <c r="L160" s="1">
        <v>73034</v>
      </c>
      <c r="M160" s="1" t="s">
        <v>103</v>
      </c>
      <c r="N160" s="1" t="s">
        <v>649</v>
      </c>
      <c r="O160" s="1" t="s">
        <v>44</v>
      </c>
      <c r="P160" s="1" t="s">
        <v>45</v>
      </c>
      <c r="Q160" s="1" t="s">
        <v>650</v>
      </c>
      <c r="R160" s="1">
        <v>14.62</v>
      </c>
      <c r="S160" s="1">
        <v>2</v>
      </c>
      <c r="T160" s="3">
        <v>0</v>
      </c>
      <c r="U160" s="4">
        <v>6.8714000000000004</v>
      </c>
      <c r="V160" s="1" t="str">
        <f t="shared" si="20"/>
        <v>Standard Class</v>
      </c>
      <c r="W160" s="1" t="str">
        <f t="shared" si="21"/>
        <v>Consumer</v>
      </c>
      <c r="X160" s="1" t="str">
        <f t="shared" si="22"/>
        <v>Edmond - Oklahoma</v>
      </c>
      <c r="Y160" s="1" t="str">
        <f t="shared" si="23"/>
        <v>Labels</v>
      </c>
      <c r="Z160" s="1">
        <f t="shared" si="24"/>
        <v>14.62</v>
      </c>
      <c r="AA160" s="1">
        <f t="shared" si="25"/>
        <v>14.62</v>
      </c>
      <c r="AB160" s="1">
        <f t="shared" si="26"/>
        <v>29.24</v>
      </c>
      <c r="AC160" s="4">
        <f t="shared" si="27"/>
        <v>29.24</v>
      </c>
      <c r="AD160" s="1" t="s">
        <v>2013</v>
      </c>
      <c r="AE160" s="1" t="str">
        <f t="shared" si="28"/>
        <v>2016</v>
      </c>
      <c r="AF160" s="1" t="str">
        <f t="shared" si="29"/>
        <v>114104</v>
      </c>
    </row>
    <row r="161" spans="1:32" x14ac:dyDescent="0.3">
      <c r="A161" s="1">
        <v>160</v>
      </c>
      <c r="B161" s="1" t="s">
        <v>644</v>
      </c>
      <c r="C161" s="2">
        <v>42694</v>
      </c>
      <c r="D161" s="2">
        <v>42698</v>
      </c>
      <c r="E161" s="1" t="s">
        <v>48</v>
      </c>
      <c r="F161" s="1" t="s">
        <v>645</v>
      </c>
      <c r="G161" s="1" t="s">
        <v>646</v>
      </c>
      <c r="H161" s="1" t="s">
        <v>24</v>
      </c>
      <c r="I161" s="1" t="s">
        <v>25</v>
      </c>
      <c r="J161" s="1" t="s">
        <v>647</v>
      </c>
      <c r="K161" s="1" t="s">
        <v>648</v>
      </c>
      <c r="L161" s="1">
        <v>73034</v>
      </c>
      <c r="M161" s="1" t="s">
        <v>103</v>
      </c>
      <c r="N161" s="1" t="s">
        <v>651</v>
      </c>
      <c r="O161" s="1" t="s">
        <v>69</v>
      </c>
      <c r="P161" s="1" t="s">
        <v>70</v>
      </c>
      <c r="Q161" s="1" t="s">
        <v>652</v>
      </c>
      <c r="R161" s="1">
        <v>944.93</v>
      </c>
      <c r="S161" s="1">
        <v>7</v>
      </c>
      <c r="T161" s="3">
        <v>0</v>
      </c>
      <c r="U161" s="4">
        <v>236.23249999999999</v>
      </c>
      <c r="V161" s="1" t="str">
        <f t="shared" si="20"/>
        <v>Standard Class</v>
      </c>
      <c r="W161" s="1" t="str">
        <f t="shared" si="21"/>
        <v>Consumer</v>
      </c>
      <c r="X161" s="1" t="str">
        <f t="shared" si="22"/>
        <v>Edmond - Oklahoma</v>
      </c>
      <c r="Y161" s="1" t="str">
        <f t="shared" si="23"/>
        <v>Phones</v>
      </c>
      <c r="Z161" s="1">
        <f t="shared" si="24"/>
        <v>944.93</v>
      </c>
      <c r="AA161" s="1">
        <f t="shared" si="25"/>
        <v>944.93</v>
      </c>
      <c r="AB161" s="1">
        <f t="shared" si="26"/>
        <v>6614.5099999999993</v>
      </c>
      <c r="AC161" s="4">
        <f t="shared" si="27"/>
        <v>6614.5099999999993</v>
      </c>
      <c r="AD161" s="1" t="s">
        <v>2013</v>
      </c>
      <c r="AE161" s="1" t="str">
        <f t="shared" si="28"/>
        <v>2016</v>
      </c>
      <c r="AF161" s="1" t="str">
        <f t="shared" si="29"/>
        <v>114104</v>
      </c>
    </row>
    <row r="162" spans="1:32" x14ac:dyDescent="0.3">
      <c r="A162" s="1">
        <v>161</v>
      </c>
      <c r="B162" s="1" t="s">
        <v>653</v>
      </c>
      <c r="C162" s="2">
        <v>42501</v>
      </c>
      <c r="D162" s="2">
        <v>42502</v>
      </c>
      <c r="E162" s="1" t="s">
        <v>186</v>
      </c>
      <c r="F162" s="1" t="s">
        <v>654</v>
      </c>
      <c r="G162" s="1" t="s">
        <v>655</v>
      </c>
      <c r="H162" s="1" t="s">
        <v>24</v>
      </c>
      <c r="I162" s="1" t="s">
        <v>25</v>
      </c>
      <c r="J162" s="1" t="s">
        <v>40</v>
      </c>
      <c r="K162" s="1" t="s">
        <v>41</v>
      </c>
      <c r="L162" s="1">
        <v>90045</v>
      </c>
      <c r="M162" s="1" t="s">
        <v>42</v>
      </c>
      <c r="N162" s="1" t="s">
        <v>656</v>
      </c>
      <c r="O162" s="1" t="s">
        <v>44</v>
      </c>
      <c r="P162" s="1" t="s">
        <v>88</v>
      </c>
      <c r="Q162" s="1" t="s">
        <v>657</v>
      </c>
      <c r="R162" s="1">
        <v>5.98</v>
      </c>
      <c r="S162" s="1">
        <v>1</v>
      </c>
      <c r="T162" s="3">
        <v>0</v>
      </c>
      <c r="U162" s="4">
        <v>2.6909999999999998</v>
      </c>
      <c r="V162" s="1" t="str">
        <f t="shared" si="20"/>
        <v>First Class</v>
      </c>
      <c r="W162" s="1" t="str">
        <f t="shared" si="21"/>
        <v>Consumer</v>
      </c>
      <c r="X162" s="1" t="str">
        <f t="shared" si="22"/>
        <v>Los Angeles - California</v>
      </c>
      <c r="Y162" s="1" t="str">
        <f t="shared" si="23"/>
        <v>Paper</v>
      </c>
      <c r="Z162" s="1">
        <f t="shared" si="24"/>
        <v>5.98</v>
      </c>
      <c r="AA162" s="1">
        <f t="shared" si="25"/>
        <v>5.98</v>
      </c>
      <c r="AB162" s="1">
        <f t="shared" si="26"/>
        <v>5.98</v>
      </c>
      <c r="AC162" s="4">
        <f t="shared" si="27"/>
        <v>5.98</v>
      </c>
      <c r="AD162" s="1" t="s">
        <v>2013</v>
      </c>
      <c r="AE162" s="1" t="str">
        <f t="shared" si="28"/>
        <v>2016</v>
      </c>
      <c r="AF162" s="1" t="str">
        <f t="shared" si="29"/>
        <v>162733</v>
      </c>
    </row>
    <row r="163" spans="1:32" x14ac:dyDescent="0.3">
      <c r="A163" s="1">
        <v>162</v>
      </c>
      <c r="B163" s="1" t="s">
        <v>658</v>
      </c>
      <c r="C163" s="2">
        <v>42366</v>
      </c>
      <c r="D163" s="2">
        <v>42369</v>
      </c>
      <c r="E163" s="1" t="s">
        <v>21</v>
      </c>
      <c r="F163" s="1" t="s">
        <v>659</v>
      </c>
      <c r="G163" s="1" t="s">
        <v>660</v>
      </c>
      <c r="H163" s="1" t="s">
        <v>24</v>
      </c>
      <c r="I163" s="1" t="s">
        <v>25</v>
      </c>
      <c r="J163" s="1" t="s">
        <v>144</v>
      </c>
      <c r="K163" s="1" t="s">
        <v>145</v>
      </c>
      <c r="L163" s="1">
        <v>19134</v>
      </c>
      <c r="M163" s="1" t="s">
        <v>146</v>
      </c>
      <c r="N163" s="1" t="s">
        <v>661</v>
      </c>
      <c r="O163" s="1" t="s">
        <v>69</v>
      </c>
      <c r="P163" s="1" t="s">
        <v>159</v>
      </c>
      <c r="Q163" s="1" t="s">
        <v>662</v>
      </c>
      <c r="R163" s="1">
        <v>54.384</v>
      </c>
      <c r="S163" s="1">
        <v>2</v>
      </c>
      <c r="T163" s="3">
        <v>0.2</v>
      </c>
      <c r="U163" s="4">
        <v>1.3595999999999999</v>
      </c>
      <c r="V163" s="1" t="str">
        <f t="shared" si="20"/>
        <v>Second Class</v>
      </c>
      <c r="W163" s="1" t="str">
        <f t="shared" si="21"/>
        <v>Consumer</v>
      </c>
      <c r="X163" s="1" t="str">
        <f t="shared" si="22"/>
        <v>Philadelphia - Pennsylvania</v>
      </c>
      <c r="Y163" s="1" t="str">
        <f t="shared" si="23"/>
        <v>Accessories</v>
      </c>
      <c r="Z163" s="1">
        <f t="shared" si="24"/>
        <v>54.384</v>
      </c>
      <c r="AA163" s="1">
        <f t="shared" si="25"/>
        <v>54.384</v>
      </c>
      <c r="AB163" s="1">
        <f t="shared" si="26"/>
        <v>108.768</v>
      </c>
      <c r="AC163" s="4">
        <f t="shared" si="27"/>
        <v>87.014400000000009</v>
      </c>
      <c r="AD163" s="1" t="s">
        <v>2013</v>
      </c>
      <c r="AE163" s="1" t="str">
        <f t="shared" si="28"/>
        <v>2015</v>
      </c>
      <c r="AF163" s="1" t="str">
        <f t="shared" si="29"/>
        <v>119697</v>
      </c>
    </row>
    <row r="164" spans="1:32" x14ac:dyDescent="0.3">
      <c r="A164" s="1">
        <v>163</v>
      </c>
      <c r="B164" s="1" t="s">
        <v>663</v>
      </c>
      <c r="C164" s="2">
        <v>42690</v>
      </c>
      <c r="D164" s="2">
        <v>42694</v>
      </c>
      <c r="E164" s="1" t="s">
        <v>48</v>
      </c>
      <c r="F164" s="1" t="s">
        <v>664</v>
      </c>
      <c r="G164" s="1" t="s">
        <v>665</v>
      </c>
      <c r="H164" s="1" t="s">
        <v>24</v>
      </c>
      <c r="I164" s="1" t="s">
        <v>25</v>
      </c>
      <c r="J164" s="1" t="s">
        <v>666</v>
      </c>
      <c r="K164" s="1" t="s">
        <v>667</v>
      </c>
      <c r="L164" s="1">
        <v>88220</v>
      </c>
      <c r="M164" s="1" t="s">
        <v>42</v>
      </c>
      <c r="N164" s="1" t="s">
        <v>668</v>
      </c>
      <c r="O164" s="1" t="s">
        <v>44</v>
      </c>
      <c r="P164" s="1" t="s">
        <v>171</v>
      </c>
      <c r="Q164" s="1" t="s">
        <v>669</v>
      </c>
      <c r="R164" s="1">
        <v>28.4</v>
      </c>
      <c r="S164" s="1">
        <v>5</v>
      </c>
      <c r="T164" s="3">
        <v>0</v>
      </c>
      <c r="U164" s="4">
        <v>13.348000000000001</v>
      </c>
      <c r="V164" s="1" t="str">
        <f t="shared" si="20"/>
        <v>Standard Class</v>
      </c>
      <c r="W164" s="1" t="str">
        <f t="shared" si="21"/>
        <v>Consumer</v>
      </c>
      <c r="X164" s="1" t="str">
        <f t="shared" si="22"/>
        <v>Carlsbad - New Mexico</v>
      </c>
      <c r="Y164" s="1" t="str">
        <f t="shared" si="23"/>
        <v>Envelopes</v>
      </c>
      <c r="Z164" s="1">
        <f t="shared" si="24"/>
        <v>28.4</v>
      </c>
      <c r="AA164" s="1">
        <f t="shared" si="25"/>
        <v>28.4</v>
      </c>
      <c r="AB164" s="1">
        <f t="shared" si="26"/>
        <v>142</v>
      </c>
      <c r="AC164" s="4">
        <f t="shared" si="27"/>
        <v>142</v>
      </c>
      <c r="AD164" s="1" t="s">
        <v>2013</v>
      </c>
      <c r="AE164" s="1" t="str">
        <f t="shared" si="28"/>
        <v>2016</v>
      </c>
      <c r="AF164" s="1" t="str">
        <f t="shared" si="29"/>
        <v>154508</v>
      </c>
    </row>
    <row r="165" spans="1:32" x14ac:dyDescent="0.3">
      <c r="A165" s="1">
        <v>164</v>
      </c>
      <c r="B165" s="1" t="s">
        <v>670</v>
      </c>
      <c r="C165" s="2">
        <v>42681</v>
      </c>
      <c r="D165" s="2">
        <v>42685</v>
      </c>
      <c r="E165" s="1" t="s">
        <v>48</v>
      </c>
      <c r="F165" s="1" t="s">
        <v>671</v>
      </c>
      <c r="G165" s="1" t="s">
        <v>672</v>
      </c>
      <c r="H165" s="1" t="s">
        <v>24</v>
      </c>
      <c r="I165" s="1" t="s">
        <v>25</v>
      </c>
      <c r="J165" s="1" t="s">
        <v>93</v>
      </c>
      <c r="K165" s="1" t="s">
        <v>94</v>
      </c>
      <c r="L165" s="1">
        <v>98115</v>
      </c>
      <c r="M165" s="1" t="s">
        <v>42</v>
      </c>
      <c r="N165" s="1" t="s">
        <v>673</v>
      </c>
      <c r="O165" s="1" t="s">
        <v>44</v>
      </c>
      <c r="P165" s="1" t="s">
        <v>73</v>
      </c>
      <c r="Q165" s="1" t="s">
        <v>674</v>
      </c>
      <c r="R165" s="1">
        <v>27.68</v>
      </c>
      <c r="S165" s="1">
        <v>2</v>
      </c>
      <c r="T165" s="3">
        <v>0.2</v>
      </c>
      <c r="U165" s="4">
        <v>9.6880000000000006</v>
      </c>
      <c r="V165" s="1" t="str">
        <f t="shared" si="20"/>
        <v>Standard Class</v>
      </c>
      <c r="W165" s="1" t="str">
        <f t="shared" si="21"/>
        <v>Consumer</v>
      </c>
      <c r="X165" s="1" t="str">
        <f t="shared" si="22"/>
        <v>Seattle - Washington</v>
      </c>
      <c r="Y165" s="1" t="str">
        <f t="shared" si="23"/>
        <v>Binders</v>
      </c>
      <c r="Z165" s="1">
        <f t="shared" si="24"/>
        <v>27.68</v>
      </c>
      <c r="AA165" s="1">
        <f t="shared" si="25"/>
        <v>27.68</v>
      </c>
      <c r="AB165" s="1">
        <f t="shared" si="26"/>
        <v>55.36</v>
      </c>
      <c r="AC165" s="4">
        <f t="shared" si="27"/>
        <v>44.288000000000004</v>
      </c>
      <c r="AD165" s="1" t="s">
        <v>2013</v>
      </c>
      <c r="AE165" s="1" t="str">
        <f t="shared" si="28"/>
        <v>2016</v>
      </c>
      <c r="AF165" s="1" t="str">
        <f t="shared" si="29"/>
        <v>113817</v>
      </c>
    </row>
    <row r="166" spans="1:32" x14ac:dyDescent="0.3">
      <c r="A166" s="1">
        <v>165</v>
      </c>
      <c r="B166" s="1" t="s">
        <v>675</v>
      </c>
      <c r="C166" s="2">
        <v>41890</v>
      </c>
      <c r="D166" s="2">
        <v>41894</v>
      </c>
      <c r="E166" s="1" t="s">
        <v>48</v>
      </c>
      <c r="F166" s="1" t="s">
        <v>676</v>
      </c>
      <c r="G166" s="1" t="s">
        <v>677</v>
      </c>
      <c r="H166" s="1" t="s">
        <v>24</v>
      </c>
      <c r="I166" s="1" t="s">
        <v>25</v>
      </c>
      <c r="J166" s="1" t="s">
        <v>678</v>
      </c>
      <c r="K166" s="1" t="s">
        <v>102</v>
      </c>
      <c r="L166" s="1">
        <v>78207</v>
      </c>
      <c r="M166" s="1" t="s">
        <v>103</v>
      </c>
      <c r="N166" s="1" t="s">
        <v>679</v>
      </c>
      <c r="O166" s="1" t="s">
        <v>44</v>
      </c>
      <c r="P166" s="1" t="s">
        <v>66</v>
      </c>
      <c r="Q166" s="1" t="s">
        <v>680</v>
      </c>
      <c r="R166" s="1">
        <v>9.9359999999999999</v>
      </c>
      <c r="S166" s="1">
        <v>3</v>
      </c>
      <c r="T166" s="3">
        <v>0.2</v>
      </c>
      <c r="U166" s="4">
        <v>2.7324000000000002</v>
      </c>
      <c r="V166" s="1" t="str">
        <f t="shared" si="20"/>
        <v>Standard Class</v>
      </c>
      <c r="W166" s="1" t="str">
        <f t="shared" si="21"/>
        <v>Consumer</v>
      </c>
      <c r="X166" s="1" t="str">
        <f t="shared" si="22"/>
        <v>San Antonio - Texas</v>
      </c>
      <c r="Y166" s="1" t="str">
        <f t="shared" si="23"/>
        <v>Art</v>
      </c>
      <c r="Z166" s="1">
        <f t="shared" si="24"/>
        <v>9.9359999999999999</v>
      </c>
      <c r="AA166" s="1">
        <f t="shared" si="25"/>
        <v>9.9359999999999999</v>
      </c>
      <c r="AB166" s="1">
        <f t="shared" si="26"/>
        <v>29.808</v>
      </c>
      <c r="AC166" s="4">
        <f t="shared" si="27"/>
        <v>23.846400000000003</v>
      </c>
      <c r="AD166" s="1" t="s">
        <v>2013</v>
      </c>
      <c r="AE166" s="1" t="str">
        <f t="shared" si="28"/>
        <v>2014</v>
      </c>
      <c r="AF166" s="1" t="str">
        <f t="shared" si="29"/>
        <v>139892</v>
      </c>
    </row>
    <row r="167" spans="1:32" x14ac:dyDescent="0.3">
      <c r="A167" s="1">
        <v>166</v>
      </c>
      <c r="B167" s="1" t="s">
        <v>675</v>
      </c>
      <c r="C167" s="2">
        <v>41890</v>
      </c>
      <c r="D167" s="2">
        <v>41894</v>
      </c>
      <c r="E167" s="1" t="s">
        <v>48</v>
      </c>
      <c r="F167" s="1" t="s">
        <v>676</v>
      </c>
      <c r="G167" s="1" t="s">
        <v>677</v>
      </c>
      <c r="H167" s="1" t="s">
        <v>24</v>
      </c>
      <c r="I167" s="1" t="s">
        <v>25</v>
      </c>
      <c r="J167" s="1" t="s">
        <v>678</v>
      </c>
      <c r="K167" s="1" t="s">
        <v>102</v>
      </c>
      <c r="L167" s="1">
        <v>78207</v>
      </c>
      <c r="M167" s="1" t="s">
        <v>103</v>
      </c>
      <c r="N167" s="1" t="s">
        <v>681</v>
      </c>
      <c r="O167" s="1" t="s">
        <v>69</v>
      </c>
      <c r="P167" s="1" t="s">
        <v>682</v>
      </c>
      <c r="Q167" s="1" t="s">
        <v>683</v>
      </c>
      <c r="R167" s="1">
        <v>8159.9520000000002</v>
      </c>
      <c r="S167" s="1">
        <v>8</v>
      </c>
      <c r="T167" s="3">
        <v>0.4</v>
      </c>
      <c r="U167" s="4">
        <v>-1359.992</v>
      </c>
      <c r="V167" s="1" t="str">
        <f t="shared" si="20"/>
        <v>Standard Class</v>
      </c>
      <c r="W167" s="1" t="str">
        <f t="shared" si="21"/>
        <v>Consumer</v>
      </c>
      <c r="X167" s="1" t="str">
        <f t="shared" si="22"/>
        <v>San Antonio - Texas</v>
      </c>
      <c r="Y167" s="1" t="str">
        <f t="shared" si="23"/>
        <v>Machines</v>
      </c>
      <c r="Z167" s="1">
        <f t="shared" si="24"/>
        <v>8159.9520000000002</v>
      </c>
      <c r="AA167" s="1">
        <f t="shared" si="25"/>
        <v>8159.9520000000002</v>
      </c>
      <c r="AB167" s="1">
        <f t="shared" si="26"/>
        <v>65279.616000000002</v>
      </c>
      <c r="AC167" s="4">
        <f t="shared" si="27"/>
        <v>39167.7696</v>
      </c>
      <c r="AD167" s="1" t="s">
        <v>2013</v>
      </c>
      <c r="AE167" s="1" t="str">
        <f t="shared" si="28"/>
        <v>2014</v>
      </c>
      <c r="AF167" s="1" t="str">
        <f t="shared" si="29"/>
        <v>139892</v>
      </c>
    </row>
    <row r="168" spans="1:32" x14ac:dyDescent="0.3">
      <c r="A168" s="1">
        <v>167</v>
      </c>
      <c r="B168" s="1" t="s">
        <v>675</v>
      </c>
      <c r="C168" s="2">
        <v>41890</v>
      </c>
      <c r="D168" s="2">
        <v>41894</v>
      </c>
      <c r="E168" s="1" t="s">
        <v>48</v>
      </c>
      <c r="F168" s="1" t="s">
        <v>676</v>
      </c>
      <c r="G168" s="1" t="s">
        <v>677</v>
      </c>
      <c r="H168" s="1" t="s">
        <v>24</v>
      </c>
      <c r="I168" s="1" t="s">
        <v>25</v>
      </c>
      <c r="J168" s="1" t="s">
        <v>678</v>
      </c>
      <c r="K168" s="1" t="s">
        <v>102</v>
      </c>
      <c r="L168" s="1">
        <v>78207</v>
      </c>
      <c r="M168" s="1" t="s">
        <v>103</v>
      </c>
      <c r="N168" s="1" t="s">
        <v>684</v>
      </c>
      <c r="O168" s="1" t="s">
        <v>44</v>
      </c>
      <c r="P168" s="1" t="s">
        <v>57</v>
      </c>
      <c r="Q168" s="1" t="s">
        <v>685</v>
      </c>
      <c r="R168" s="1">
        <v>275.928</v>
      </c>
      <c r="S168" s="1">
        <v>3</v>
      </c>
      <c r="T168" s="3">
        <v>0.2</v>
      </c>
      <c r="U168" s="4">
        <v>-58.634700000000002</v>
      </c>
      <c r="V168" s="1" t="str">
        <f t="shared" si="20"/>
        <v>Standard Class</v>
      </c>
      <c r="W168" s="1" t="str">
        <f t="shared" si="21"/>
        <v>Consumer</v>
      </c>
      <c r="X168" s="1" t="str">
        <f t="shared" si="22"/>
        <v>San Antonio - Texas</v>
      </c>
      <c r="Y168" s="1" t="str">
        <f t="shared" si="23"/>
        <v>Storage</v>
      </c>
      <c r="Z168" s="1">
        <f t="shared" si="24"/>
        <v>275.928</v>
      </c>
      <c r="AA168" s="1">
        <f t="shared" si="25"/>
        <v>275.928</v>
      </c>
      <c r="AB168" s="1">
        <f t="shared" si="26"/>
        <v>827.78399999999999</v>
      </c>
      <c r="AC168" s="4">
        <f t="shared" si="27"/>
        <v>662.22720000000004</v>
      </c>
      <c r="AD168" s="1" t="s">
        <v>2013</v>
      </c>
      <c r="AE168" s="1" t="str">
        <f t="shared" si="28"/>
        <v>2014</v>
      </c>
      <c r="AF168" s="1" t="str">
        <f t="shared" si="29"/>
        <v>139892</v>
      </c>
    </row>
    <row r="169" spans="1:32" x14ac:dyDescent="0.3">
      <c r="A169" s="1">
        <v>168</v>
      </c>
      <c r="B169" s="1" t="s">
        <v>675</v>
      </c>
      <c r="C169" s="2">
        <v>41890</v>
      </c>
      <c r="D169" s="2">
        <v>41894</v>
      </c>
      <c r="E169" s="1" t="s">
        <v>48</v>
      </c>
      <c r="F169" s="1" t="s">
        <v>676</v>
      </c>
      <c r="G169" s="1" t="s">
        <v>677</v>
      </c>
      <c r="H169" s="1" t="s">
        <v>24</v>
      </c>
      <c r="I169" s="1" t="s">
        <v>25</v>
      </c>
      <c r="J169" s="1" t="s">
        <v>678</v>
      </c>
      <c r="K169" s="1" t="s">
        <v>102</v>
      </c>
      <c r="L169" s="1">
        <v>78207</v>
      </c>
      <c r="M169" s="1" t="s">
        <v>103</v>
      </c>
      <c r="N169" s="1" t="s">
        <v>686</v>
      </c>
      <c r="O169" s="1" t="s">
        <v>30</v>
      </c>
      <c r="P169" s="1" t="s">
        <v>34</v>
      </c>
      <c r="Q169" s="1" t="s">
        <v>687</v>
      </c>
      <c r="R169" s="1">
        <v>1740.06</v>
      </c>
      <c r="S169" s="1">
        <v>9</v>
      </c>
      <c r="T169" s="3">
        <v>0.3</v>
      </c>
      <c r="U169" s="4">
        <v>-24.858000000000001</v>
      </c>
      <c r="V169" s="1" t="str">
        <f t="shared" si="20"/>
        <v>Standard Class</v>
      </c>
      <c r="W169" s="1" t="str">
        <f t="shared" si="21"/>
        <v>Consumer</v>
      </c>
      <c r="X169" s="1" t="str">
        <f t="shared" si="22"/>
        <v>San Antonio - Texas</v>
      </c>
      <c r="Y169" s="1" t="str">
        <f t="shared" si="23"/>
        <v>Chairs</v>
      </c>
      <c r="Z169" s="1">
        <f t="shared" si="24"/>
        <v>1740.06</v>
      </c>
      <c r="AA169" s="1">
        <f t="shared" si="25"/>
        <v>1740.06</v>
      </c>
      <c r="AB169" s="1">
        <f t="shared" si="26"/>
        <v>15660.539999999999</v>
      </c>
      <c r="AC169" s="4">
        <f t="shared" si="27"/>
        <v>10962.377999999999</v>
      </c>
      <c r="AD169" s="1" t="s">
        <v>2013</v>
      </c>
      <c r="AE169" s="1" t="str">
        <f t="shared" si="28"/>
        <v>2014</v>
      </c>
      <c r="AF169" s="1" t="str">
        <f t="shared" si="29"/>
        <v>139892</v>
      </c>
    </row>
    <row r="170" spans="1:32" x14ac:dyDescent="0.3">
      <c r="A170" s="1">
        <v>169</v>
      </c>
      <c r="B170" s="1" t="s">
        <v>675</v>
      </c>
      <c r="C170" s="2">
        <v>41890</v>
      </c>
      <c r="D170" s="2">
        <v>41894</v>
      </c>
      <c r="E170" s="1" t="s">
        <v>48</v>
      </c>
      <c r="F170" s="1" t="s">
        <v>676</v>
      </c>
      <c r="G170" s="1" t="s">
        <v>677</v>
      </c>
      <c r="H170" s="1" t="s">
        <v>24</v>
      </c>
      <c r="I170" s="1" t="s">
        <v>25</v>
      </c>
      <c r="J170" s="1" t="s">
        <v>678</v>
      </c>
      <c r="K170" s="1" t="s">
        <v>102</v>
      </c>
      <c r="L170" s="1">
        <v>78207</v>
      </c>
      <c r="M170" s="1" t="s">
        <v>103</v>
      </c>
      <c r="N170" s="1" t="s">
        <v>688</v>
      </c>
      <c r="O170" s="1" t="s">
        <v>44</v>
      </c>
      <c r="P170" s="1" t="s">
        <v>66</v>
      </c>
      <c r="Q170" s="1" t="s">
        <v>689</v>
      </c>
      <c r="R170" s="1">
        <v>32.064</v>
      </c>
      <c r="S170" s="1">
        <v>6</v>
      </c>
      <c r="T170" s="3">
        <v>0.2</v>
      </c>
      <c r="U170" s="4">
        <v>6.8136000000000001</v>
      </c>
      <c r="V170" s="1" t="str">
        <f t="shared" si="20"/>
        <v>Standard Class</v>
      </c>
      <c r="W170" s="1" t="str">
        <f t="shared" si="21"/>
        <v>Consumer</v>
      </c>
      <c r="X170" s="1" t="str">
        <f t="shared" si="22"/>
        <v>San Antonio - Texas</v>
      </c>
      <c r="Y170" s="1" t="str">
        <f t="shared" si="23"/>
        <v>Art</v>
      </c>
      <c r="Z170" s="1">
        <f t="shared" si="24"/>
        <v>32.064</v>
      </c>
      <c r="AA170" s="1">
        <f t="shared" si="25"/>
        <v>32.064</v>
      </c>
      <c r="AB170" s="1">
        <f t="shared" si="26"/>
        <v>192.38400000000001</v>
      </c>
      <c r="AC170" s="4">
        <f t="shared" si="27"/>
        <v>153.90720000000002</v>
      </c>
      <c r="AD170" s="1" t="s">
        <v>2013</v>
      </c>
      <c r="AE170" s="1" t="str">
        <f t="shared" si="28"/>
        <v>2014</v>
      </c>
      <c r="AF170" s="1" t="str">
        <f t="shared" si="29"/>
        <v>139892</v>
      </c>
    </row>
    <row r="171" spans="1:32" x14ac:dyDescent="0.3">
      <c r="A171" s="1">
        <v>170</v>
      </c>
      <c r="B171" s="1" t="s">
        <v>675</v>
      </c>
      <c r="C171" s="2">
        <v>41890</v>
      </c>
      <c r="D171" s="2">
        <v>41894</v>
      </c>
      <c r="E171" s="1" t="s">
        <v>48</v>
      </c>
      <c r="F171" s="1" t="s">
        <v>676</v>
      </c>
      <c r="G171" s="1" t="s">
        <v>677</v>
      </c>
      <c r="H171" s="1" t="s">
        <v>24</v>
      </c>
      <c r="I171" s="1" t="s">
        <v>25</v>
      </c>
      <c r="J171" s="1" t="s">
        <v>678</v>
      </c>
      <c r="K171" s="1" t="s">
        <v>102</v>
      </c>
      <c r="L171" s="1">
        <v>78207</v>
      </c>
      <c r="M171" s="1" t="s">
        <v>103</v>
      </c>
      <c r="N171" s="1" t="s">
        <v>690</v>
      </c>
      <c r="O171" s="1" t="s">
        <v>44</v>
      </c>
      <c r="P171" s="1" t="s">
        <v>76</v>
      </c>
      <c r="Q171" s="1" t="s">
        <v>691</v>
      </c>
      <c r="R171" s="1">
        <v>177.98</v>
      </c>
      <c r="S171" s="1">
        <v>5</v>
      </c>
      <c r="T171" s="3">
        <v>0.8</v>
      </c>
      <c r="U171" s="4">
        <v>-453.84899999999999</v>
      </c>
      <c r="V171" s="1" t="str">
        <f t="shared" si="20"/>
        <v>Standard Class</v>
      </c>
      <c r="W171" s="1" t="str">
        <f t="shared" si="21"/>
        <v>Consumer</v>
      </c>
      <c r="X171" s="1" t="str">
        <f t="shared" si="22"/>
        <v>San Antonio - Texas</v>
      </c>
      <c r="Y171" s="1" t="str">
        <f t="shared" si="23"/>
        <v>Appliances</v>
      </c>
      <c r="Z171" s="1">
        <f t="shared" si="24"/>
        <v>177.98</v>
      </c>
      <c r="AA171" s="1">
        <f t="shared" si="25"/>
        <v>177.98</v>
      </c>
      <c r="AB171" s="1">
        <f t="shared" si="26"/>
        <v>889.9</v>
      </c>
      <c r="AC171" s="4">
        <f t="shared" si="27"/>
        <v>177.97999999999996</v>
      </c>
      <c r="AD171" s="1" t="s">
        <v>2013</v>
      </c>
      <c r="AE171" s="1" t="str">
        <f t="shared" si="28"/>
        <v>2014</v>
      </c>
      <c r="AF171" s="1" t="str">
        <f t="shared" si="29"/>
        <v>139892</v>
      </c>
    </row>
    <row r="172" spans="1:32" x14ac:dyDescent="0.3">
      <c r="A172" s="1">
        <v>171</v>
      </c>
      <c r="B172" s="1" t="s">
        <v>675</v>
      </c>
      <c r="C172" s="2">
        <v>41890</v>
      </c>
      <c r="D172" s="2">
        <v>41894</v>
      </c>
      <c r="E172" s="1" t="s">
        <v>48</v>
      </c>
      <c r="F172" s="1" t="s">
        <v>676</v>
      </c>
      <c r="G172" s="1" t="s">
        <v>677</v>
      </c>
      <c r="H172" s="1" t="s">
        <v>24</v>
      </c>
      <c r="I172" s="1" t="s">
        <v>25</v>
      </c>
      <c r="J172" s="1" t="s">
        <v>678</v>
      </c>
      <c r="K172" s="1" t="s">
        <v>102</v>
      </c>
      <c r="L172" s="1">
        <v>78207</v>
      </c>
      <c r="M172" s="1" t="s">
        <v>103</v>
      </c>
      <c r="N172" s="1" t="s">
        <v>692</v>
      </c>
      <c r="O172" s="1" t="s">
        <v>69</v>
      </c>
      <c r="P172" s="1" t="s">
        <v>70</v>
      </c>
      <c r="Q172" s="1" t="s">
        <v>693</v>
      </c>
      <c r="R172" s="1">
        <v>143.976</v>
      </c>
      <c r="S172" s="1">
        <v>3</v>
      </c>
      <c r="T172" s="3">
        <v>0.2</v>
      </c>
      <c r="U172" s="4">
        <v>8.9984999999999999</v>
      </c>
      <c r="V172" s="1" t="str">
        <f t="shared" si="20"/>
        <v>Standard Class</v>
      </c>
      <c r="W172" s="1" t="str">
        <f t="shared" si="21"/>
        <v>Consumer</v>
      </c>
      <c r="X172" s="1" t="str">
        <f t="shared" si="22"/>
        <v>San Antonio - Texas</v>
      </c>
      <c r="Y172" s="1" t="str">
        <f t="shared" si="23"/>
        <v>Phones</v>
      </c>
      <c r="Z172" s="1">
        <f t="shared" si="24"/>
        <v>143.976</v>
      </c>
      <c r="AA172" s="1">
        <f t="shared" si="25"/>
        <v>143.976</v>
      </c>
      <c r="AB172" s="1">
        <f t="shared" si="26"/>
        <v>431.928</v>
      </c>
      <c r="AC172" s="4">
        <f t="shared" si="27"/>
        <v>345.54240000000004</v>
      </c>
      <c r="AD172" s="1" t="s">
        <v>2013</v>
      </c>
      <c r="AE172" s="1" t="str">
        <f t="shared" si="28"/>
        <v>2014</v>
      </c>
      <c r="AF172" s="1" t="str">
        <f t="shared" si="29"/>
        <v>139892</v>
      </c>
    </row>
    <row r="173" spans="1:32" x14ac:dyDescent="0.3">
      <c r="A173" s="1">
        <v>172</v>
      </c>
      <c r="B173" s="1" t="s">
        <v>694</v>
      </c>
      <c r="C173" s="2">
        <v>41856</v>
      </c>
      <c r="D173" s="2">
        <v>41860</v>
      </c>
      <c r="E173" s="1" t="s">
        <v>48</v>
      </c>
      <c r="F173" s="1" t="s">
        <v>695</v>
      </c>
      <c r="G173" s="1" t="s">
        <v>696</v>
      </c>
      <c r="H173" s="1" t="s">
        <v>24</v>
      </c>
      <c r="I173" s="1" t="s">
        <v>25</v>
      </c>
      <c r="J173" s="1" t="s">
        <v>40</v>
      </c>
      <c r="K173" s="1" t="s">
        <v>41</v>
      </c>
      <c r="L173" s="1">
        <v>90004</v>
      </c>
      <c r="M173" s="1" t="s">
        <v>42</v>
      </c>
      <c r="N173" s="1" t="s">
        <v>697</v>
      </c>
      <c r="O173" s="1" t="s">
        <v>44</v>
      </c>
      <c r="P173" s="1" t="s">
        <v>88</v>
      </c>
      <c r="Q173" s="1" t="s">
        <v>698</v>
      </c>
      <c r="R173" s="1">
        <v>20.94</v>
      </c>
      <c r="S173" s="1">
        <v>3</v>
      </c>
      <c r="T173" s="3">
        <v>0</v>
      </c>
      <c r="U173" s="4">
        <v>9.8417999999999992</v>
      </c>
      <c r="V173" s="1" t="str">
        <f t="shared" si="20"/>
        <v>Standard Class</v>
      </c>
      <c r="W173" s="1" t="str">
        <f t="shared" si="21"/>
        <v>Consumer</v>
      </c>
      <c r="X173" s="1" t="str">
        <f t="shared" si="22"/>
        <v>Los Angeles - California</v>
      </c>
      <c r="Y173" s="1" t="str">
        <f t="shared" si="23"/>
        <v>Paper</v>
      </c>
      <c r="Z173" s="1">
        <f t="shared" si="24"/>
        <v>20.94</v>
      </c>
      <c r="AA173" s="1">
        <f t="shared" si="25"/>
        <v>20.94</v>
      </c>
      <c r="AB173" s="1">
        <f t="shared" si="26"/>
        <v>62.820000000000007</v>
      </c>
      <c r="AC173" s="4">
        <f t="shared" si="27"/>
        <v>62.820000000000007</v>
      </c>
      <c r="AD173" s="1" t="s">
        <v>2013</v>
      </c>
      <c r="AE173" s="1" t="str">
        <f t="shared" si="28"/>
        <v>2014</v>
      </c>
      <c r="AF173" s="1" t="str">
        <f t="shared" si="29"/>
        <v>118962</v>
      </c>
    </row>
    <row r="174" spans="1:32" x14ac:dyDescent="0.3">
      <c r="A174" s="1">
        <v>173</v>
      </c>
      <c r="B174" s="1" t="s">
        <v>694</v>
      </c>
      <c r="C174" s="2">
        <v>41856</v>
      </c>
      <c r="D174" s="2">
        <v>41860</v>
      </c>
      <c r="E174" s="1" t="s">
        <v>48</v>
      </c>
      <c r="F174" s="1" t="s">
        <v>695</v>
      </c>
      <c r="G174" s="1" t="s">
        <v>696</v>
      </c>
      <c r="H174" s="1" t="s">
        <v>24</v>
      </c>
      <c r="I174" s="1" t="s">
        <v>25</v>
      </c>
      <c r="J174" s="1" t="s">
        <v>40</v>
      </c>
      <c r="K174" s="1" t="s">
        <v>41</v>
      </c>
      <c r="L174" s="1">
        <v>90004</v>
      </c>
      <c r="M174" s="1" t="s">
        <v>42</v>
      </c>
      <c r="N174" s="1" t="s">
        <v>699</v>
      </c>
      <c r="O174" s="1" t="s">
        <v>44</v>
      </c>
      <c r="P174" s="1" t="s">
        <v>88</v>
      </c>
      <c r="Q174" s="1" t="s">
        <v>700</v>
      </c>
      <c r="R174" s="1">
        <v>110.96</v>
      </c>
      <c r="S174" s="1">
        <v>2</v>
      </c>
      <c r="T174" s="3">
        <v>0</v>
      </c>
      <c r="U174" s="4">
        <v>53.260800000000003</v>
      </c>
      <c r="V174" s="1" t="str">
        <f t="shared" si="20"/>
        <v>Standard Class</v>
      </c>
      <c r="W174" s="1" t="str">
        <f t="shared" si="21"/>
        <v>Consumer</v>
      </c>
      <c r="X174" s="1" t="str">
        <f t="shared" si="22"/>
        <v>Los Angeles - California</v>
      </c>
      <c r="Y174" s="1" t="str">
        <f t="shared" si="23"/>
        <v>Paper</v>
      </c>
      <c r="Z174" s="1">
        <f t="shared" si="24"/>
        <v>110.96</v>
      </c>
      <c r="AA174" s="1">
        <f t="shared" si="25"/>
        <v>110.96</v>
      </c>
      <c r="AB174" s="1">
        <f t="shared" si="26"/>
        <v>221.92</v>
      </c>
      <c r="AC174" s="4">
        <f t="shared" si="27"/>
        <v>221.92</v>
      </c>
      <c r="AD174" s="1" t="s">
        <v>2013</v>
      </c>
      <c r="AE174" s="1" t="str">
        <f t="shared" si="28"/>
        <v>2014</v>
      </c>
      <c r="AF174" s="1" t="str">
        <f t="shared" si="29"/>
        <v>118962</v>
      </c>
    </row>
    <row r="175" spans="1:32" x14ac:dyDescent="0.3">
      <c r="A175" s="1">
        <v>174</v>
      </c>
      <c r="B175" s="1" t="s">
        <v>694</v>
      </c>
      <c r="C175" s="2">
        <v>41856</v>
      </c>
      <c r="D175" s="2">
        <v>41860</v>
      </c>
      <c r="E175" s="1" t="s">
        <v>48</v>
      </c>
      <c r="F175" s="1" t="s">
        <v>695</v>
      </c>
      <c r="G175" s="1" t="s">
        <v>696</v>
      </c>
      <c r="H175" s="1"/>
      <c r="I175" s="1" t="s">
        <v>25</v>
      </c>
      <c r="J175" s="1" t="s">
        <v>40</v>
      </c>
      <c r="K175" s="1" t="s">
        <v>41</v>
      </c>
      <c r="L175" s="1">
        <v>90004</v>
      </c>
      <c r="M175" s="1" t="s">
        <v>42</v>
      </c>
      <c r="N175" s="1" t="s">
        <v>701</v>
      </c>
      <c r="O175" s="1" t="s">
        <v>30</v>
      </c>
      <c r="P175" s="1" t="s">
        <v>34</v>
      </c>
      <c r="Q175" s="1" t="s">
        <v>702</v>
      </c>
      <c r="R175" s="1">
        <v>340.14400000000001</v>
      </c>
      <c r="S175" s="1">
        <v>7</v>
      </c>
      <c r="T175" s="3">
        <v>0.2</v>
      </c>
      <c r="U175" s="4">
        <v>21.259</v>
      </c>
      <c r="V175" s="1" t="str">
        <f t="shared" si="20"/>
        <v>Standard Class</v>
      </c>
      <c r="W175" s="1" t="str">
        <f t="shared" si="21"/>
        <v>UNKNOWN</v>
      </c>
      <c r="X175" s="1" t="str">
        <f t="shared" si="22"/>
        <v>Los Angeles - California</v>
      </c>
      <c r="Y175" s="1" t="str">
        <f t="shared" si="23"/>
        <v>Chairs</v>
      </c>
      <c r="Z175" s="1">
        <f t="shared" si="24"/>
        <v>340.14400000000001</v>
      </c>
      <c r="AA175" s="1">
        <f t="shared" si="25"/>
        <v>340.14400000000001</v>
      </c>
      <c r="AB175" s="1">
        <f t="shared" si="26"/>
        <v>2381.0079999999998</v>
      </c>
      <c r="AC175" s="4">
        <f t="shared" si="27"/>
        <v>1904.8063999999999</v>
      </c>
      <c r="AD175" s="1" t="s">
        <v>2013</v>
      </c>
      <c r="AE175" s="1" t="str">
        <f t="shared" si="28"/>
        <v>2014</v>
      </c>
      <c r="AF175" s="1" t="str">
        <f t="shared" si="29"/>
        <v>118962</v>
      </c>
    </row>
    <row r="176" spans="1:32" x14ac:dyDescent="0.3">
      <c r="A176" s="1">
        <v>175</v>
      </c>
      <c r="B176" s="1" t="s">
        <v>703</v>
      </c>
      <c r="C176" s="2">
        <v>41896</v>
      </c>
      <c r="D176" s="2">
        <v>41901</v>
      </c>
      <c r="E176" s="1" t="s">
        <v>48</v>
      </c>
      <c r="F176" s="1" t="s">
        <v>704</v>
      </c>
      <c r="G176" s="1" t="s">
        <v>705</v>
      </c>
      <c r="H176" s="1" t="s">
        <v>39</v>
      </c>
      <c r="I176" s="1" t="s">
        <v>25</v>
      </c>
      <c r="J176" s="1" t="s">
        <v>301</v>
      </c>
      <c r="K176" s="1" t="s">
        <v>209</v>
      </c>
      <c r="L176" s="1">
        <v>60623</v>
      </c>
      <c r="M176" s="1" t="s">
        <v>103</v>
      </c>
      <c r="N176" s="1" t="s">
        <v>706</v>
      </c>
      <c r="O176" s="1" t="s">
        <v>44</v>
      </c>
      <c r="P176" s="1" t="s">
        <v>76</v>
      </c>
      <c r="Q176" s="1" t="s">
        <v>707</v>
      </c>
      <c r="R176" s="1">
        <v>52.448</v>
      </c>
      <c r="S176" s="1">
        <v>2</v>
      </c>
      <c r="T176" s="3">
        <v>0.8</v>
      </c>
      <c r="U176" s="4">
        <v>-131.12</v>
      </c>
      <c r="V176" s="1" t="str">
        <f t="shared" si="20"/>
        <v>Standard Class</v>
      </c>
      <c r="W176" s="1" t="str">
        <f t="shared" si="21"/>
        <v>Corporate</v>
      </c>
      <c r="X176" s="1" t="str">
        <f t="shared" si="22"/>
        <v>Chicago - Illinois</v>
      </c>
      <c r="Y176" s="1" t="str">
        <f t="shared" si="23"/>
        <v>Appliances</v>
      </c>
      <c r="Z176" s="1">
        <f t="shared" si="24"/>
        <v>52.448</v>
      </c>
      <c r="AA176" s="1">
        <f t="shared" si="25"/>
        <v>52.448</v>
      </c>
      <c r="AB176" s="1">
        <f t="shared" si="26"/>
        <v>104.896</v>
      </c>
      <c r="AC176" s="4">
        <f t="shared" si="27"/>
        <v>20.979199999999995</v>
      </c>
      <c r="AD176" s="1" t="s">
        <v>2014</v>
      </c>
      <c r="AE176" s="1" t="str">
        <f t="shared" si="28"/>
        <v>2014</v>
      </c>
      <c r="AF176" s="1" t="str">
        <f t="shared" si="29"/>
        <v>100853</v>
      </c>
    </row>
    <row r="177" spans="1:32" x14ac:dyDescent="0.3">
      <c r="A177" s="1">
        <v>176</v>
      </c>
      <c r="B177" s="1" t="s">
        <v>703</v>
      </c>
      <c r="C177" s="2">
        <v>41896</v>
      </c>
      <c r="D177" s="2">
        <v>41901</v>
      </c>
      <c r="E177" s="1" t="s">
        <v>48</v>
      </c>
      <c r="F177" s="1" t="s">
        <v>704</v>
      </c>
      <c r="G177" s="1" t="s">
        <v>705</v>
      </c>
      <c r="H177" s="1" t="s">
        <v>39</v>
      </c>
      <c r="I177" s="1" t="s">
        <v>25</v>
      </c>
      <c r="J177" s="1" t="s">
        <v>301</v>
      </c>
      <c r="K177" s="1" t="s">
        <v>209</v>
      </c>
      <c r="L177" s="1">
        <v>60623</v>
      </c>
      <c r="M177" s="1" t="s">
        <v>103</v>
      </c>
      <c r="N177" s="1" t="s">
        <v>708</v>
      </c>
      <c r="O177" s="1" t="s">
        <v>44</v>
      </c>
      <c r="P177" s="1" t="s">
        <v>45</v>
      </c>
      <c r="Q177" s="1" t="s">
        <v>709</v>
      </c>
      <c r="R177" s="1">
        <v>20.16</v>
      </c>
      <c r="S177" s="1">
        <v>4</v>
      </c>
      <c r="T177" s="3">
        <v>0.2</v>
      </c>
      <c r="U177" s="4">
        <v>6.5519999999999996</v>
      </c>
      <c r="V177" s="1" t="str">
        <f t="shared" si="20"/>
        <v>Standard Class</v>
      </c>
      <c r="W177" s="1" t="str">
        <f t="shared" si="21"/>
        <v>Corporate</v>
      </c>
      <c r="X177" s="1" t="str">
        <f t="shared" si="22"/>
        <v>Chicago - Illinois</v>
      </c>
      <c r="Y177" s="1" t="str">
        <f t="shared" si="23"/>
        <v>Labels</v>
      </c>
      <c r="Z177" s="1">
        <f t="shared" si="24"/>
        <v>20.16</v>
      </c>
      <c r="AA177" s="1">
        <f t="shared" si="25"/>
        <v>20.16</v>
      </c>
      <c r="AB177" s="1">
        <f t="shared" si="26"/>
        <v>80.64</v>
      </c>
      <c r="AC177" s="4">
        <f t="shared" si="27"/>
        <v>64.512</v>
      </c>
      <c r="AD177" s="1" t="s">
        <v>2014</v>
      </c>
      <c r="AE177" s="1" t="str">
        <f t="shared" si="28"/>
        <v>2014</v>
      </c>
      <c r="AF177" s="1" t="str">
        <f t="shared" si="29"/>
        <v>100853</v>
      </c>
    </row>
    <row r="178" spans="1:32" x14ac:dyDescent="0.3">
      <c r="A178" s="1">
        <v>177</v>
      </c>
      <c r="B178" s="1" t="s">
        <v>710</v>
      </c>
      <c r="C178" s="2">
        <v>42846</v>
      </c>
      <c r="D178" s="2">
        <v>42850</v>
      </c>
      <c r="E178" s="1" t="s">
        <v>21</v>
      </c>
      <c r="F178" s="1" t="s">
        <v>711</v>
      </c>
      <c r="G178" s="1" t="s">
        <v>712</v>
      </c>
      <c r="H178" s="1" t="s">
        <v>24</v>
      </c>
      <c r="I178" s="1" t="s">
        <v>25</v>
      </c>
      <c r="J178" s="1" t="s">
        <v>182</v>
      </c>
      <c r="K178" s="1" t="s">
        <v>102</v>
      </c>
      <c r="L178" s="1">
        <v>77036</v>
      </c>
      <c r="M178" s="1" t="s">
        <v>103</v>
      </c>
      <c r="N178" s="1" t="s">
        <v>713</v>
      </c>
      <c r="O178" s="1" t="s">
        <v>44</v>
      </c>
      <c r="P178" s="1" t="s">
        <v>76</v>
      </c>
      <c r="Q178" s="1" t="s">
        <v>714</v>
      </c>
      <c r="R178" s="1">
        <v>97.263999999999996</v>
      </c>
      <c r="S178" s="1">
        <v>4</v>
      </c>
      <c r="T178" s="3">
        <v>0.8</v>
      </c>
      <c r="U178" s="4">
        <v>-243.16</v>
      </c>
      <c r="V178" s="1" t="str">
        <f t="shared" si="20"/>
        <v>Second Class</v>
      </c>
      <c r="W178" s="1" t="str">
        <f t="shared" si="21"/>
        <v>Consumer</v>
      </c>
      <c r="X178" s="1" t="str">
        <f t="shared" si="22"/>
        <v>Houston - Texas</v>
      </c>
      <c r="Y178" s="1" t="str">
        <f t="shared" si="23"/>
        <v>Appliances</v>
      </c>
      <c r="Z178" s="1">
        <f t="shared" si="24"/>
        <v>97.263999999999996</v>
      </c>
      <c r="AA178" s="1">
        <f t="shared" si="25"/>
        <v>97.263999999999996</v>
      </c>
      <c r="AB178" s="1">
        <f t="shared" si="26"/>
        <v>389.05599999999998</v>
      </c>
      <c r="AC178" s="4">
        <f t="shared" si="27"/>
        <v>77.811199999999985</v>
      </c>
      <c r="AD178" s="1" t="s">
        <v>2014</v>
      </c>
      <c r="AE178" s="1" t="str">
        <f t="shared" si="28"/>
        <v>2017</v>
      </c>
      <c r="AF178" s="1" t="str">
        <f t="shared" si="29"/>
        <v>152366</v>
      </c>
    </row>
    <row r="179" spans="1:32" x14ac:dyDescent="0.3">
      <c r="A179" s="1">
        <v>178</v>
      </c>
      <c r="B179" s="1" t="s">
        <v>715</v>
      </c>
      <c r="C179" s="2">
        <v>42329</v>
      </c>
      <c r="D179" s="2">
        <v>42331</v>
      </c>
      <c r="E179" s="1" t="s">
        <v>21</v>
      </c>
      <c r="F179" s="1" t="s">
        <v>330</v>
      </c>
      <c r="G179" s="1" t="s">
        <v>331</v>
      </c>
      <c r="H179" s="1" t="s">
        <v>24</v>
      </c>
      <c r="I179" s="1" t="s">
        <v>25</v>
      </c>
      <c r="J179" s="1" t="s">
        <v>605</v>
      </c>
      <c r="K179" s="1" t="s">
        <v>496</v>
      </c>
      <c r="L179" s="1">
        <v>43055</v>
      </c>
      <c r="M179" s="1" t="s">
        <v>146</v>
      </c>
      <c r="N179" s="1" t="s">
        <v>716</v>
      </c>
      <c r="O179" s="1" t="s">
        <v>30</v>
      </c>
      <c r="P179" s="1" t="s">
        <v>34</v>
      </c>
      <c r="Q179" s="1" t="s">
        <v>717</v>
      </c>
      <c r="R179" s="1">
        <v>396.80200000000002</v>
      </c>
      <c r="S179" s="1">
        <v>7</v>
      </c>
      <c r="T179" s="3">
        <v>0.3</v>
      </c>
      <c r="U179" s="4">
        <v>-11.337199999999999</v>
      </c>
      <c r="V179" s="1" t="str">
        <f t="shared" si="20"/>
        <v>Second Class</v>
      </c>
      <c r="W179" s="1" t="str">
        <f t="shared" si="21"/>
        <v>Consumer</v>
      </c>
      <c r="X179" s="1" t="str">
        <f t="shared" si="22"/>
        <v>Newark - Ohio</v>
      </c>
      <c r="Y179" s="1" t="str">
        <f t="shared" si="23"/>
        <v>Chairs</v>
      </c>
      <c r="Z179" s="1">
        <f t="shared" si="24"/>
        <v>396.80200000000002</v>
      </c>
      <c r="AA179" s="1">
        <f t="shared" si="25"/>
        <v>396.80200000000002</v>
      </c>
      <c r="AB179" s="1">
        <f t="shared" si="26"/>
        <v>2777.614</v>
      </c>
      <c r="AC179" s="4">
        <f t="shared" si="27"/>
        <v>1944.3298</v>
      </c>
      <c r="AD179" s="1" t="s">
        <v>2014</v>
      </c>
      <c r="AE179" s="1" t="str">
        <f t="shared" si="28"/>
        <v>2015</v>
      </c>
      <c r="AF179" s="1" t="str">
        <f t="shared" si="29"/>
        <v>101511</v>
      </c>
    </row>
    <row r="180" spans="1:32" x14ac:dyDescent="0.3">
      <c r="A180" s="1">
        <v>179</v>
      </c>
      <c r="B180" s="1" t="s">
        <v>715</v>
      </c>
      <c r="C180" s="2">
        <v>42329</v>
      </c>
      <c r="D180" s="2">
        <v>42331</v>
      </c>
      <c r="E180" s="1" t="s">
        <v>21</v>
      </c>
      <c r="F180" s="1" t="s">
        <v>330</v>
      </c>
      <c r="G180" s="1" t="s">
        <v>331</v>
      </c>
      <c r="H180" s="1" t="s">
        <v>24</v>
      </c>
      <c r="I180" s="1" t="s">
        <v>25</v>
      </c>
      <c r="J180" s="1" t="s">
        <v>605</v>
      </c>
      <c r="K180" s="1" t="s">
        <v>496</v>
      </c>
      <c r="L180" s="1">
        <v>43055</v>
      </c>
      <c r="M180" s="1" t="s">
        <v>146</v>
      </c>
      <c r="N180" s="1" t="s">
        <v>718</v>
      </c>
      <c r="O180" s="1" t="s">
        <v>44</v>
      </c>
      <c r="P180" s="1" t="s">
        <v>577</v>
      </c>
      <c r="Q180" s="1" t="s">
        <v>719</v>
      </c>
      <c r="R180" s="1">
        <v>15.88</v>
      </c>
      <c r="S180" s="1">
        <v>5</v>
      </c>
      <c r="T180" s="3">
        <v>0.2</v>
      </c>
      <c r="U180" s="4">
        <v>-3.7715000000000001</v>
      </c>
      <c r="V180" s="1" t="str">
        <f t="shared" si="20"/>
        <v>Second Class</v>
      </c>
      <c r="W180" s="1" t="str">
        <f t="shared" si="21"/>
        <v>Consumer</v>
      </c>
      <c r="X180" s="1" t="str">
        <f t="shared" si="22"/>
        <v>Newark - Ohio</v>
      </c>
      <c r="Y180" s="1" t="str">
        <f t="shared" si="23"/>
        <v>Supplies</v>
      </c>
      <c r="Z180" s="1">
        <f t="shared" si="24"/>
        <v>15.88</v>
      </c>
      <c r="AA180" s="1">
        <f t="shared" si="25"/>
        <v>15.88</v>
      </c>
      <c r="AB180" s="1">
        <f t="shared" si="26"/>
        <v>79.400000000000006</v>
      </c>
      <c r="AC180" s="4">
        <f t="shared" si="27"/>
        <v>63.52000000000001</v>
      </c>
      <c r="AD180" s="1" t="s">
        <v>2014</v>
      </c>
      <c r="AE180" s="1" t="str">
        <f t="shared" si="28"/>
        <v>2015</v>
      </c>
      <c r="AF180" s="1" t="str">
        <f t="shared" si="29"/>
        <v>101511</v>
      </c>
    </row>
    <row r="181" spans="1:32" x14ac:dyDescent="0.3">
      <c r="A181" s="1">
        <v>180</v>
      </c>
      <c r="B181" s="1" t="s">
        <v>720</v>
      </c>
      <c r="C181" s="2">
        <v>42353</v>
      </c>
      <c r="D181" s="2">
        <v>42357</v>
      </c>
      <c r="E181" s="1" t="s">
        <v>48</v>
      </c>
      <c r="F181" s="1" t="s">
        <v>721</v>
      </c>
      <c r="G181" s="1" t="s">
        <v>722</v>
      </c>
      <c r="H181" s="1" t="s">
        <v>100</v>
      </c>
      <c r="I181" s="1" t="s">
        <v>25</v>
      </c>
      <c r="J181" s="1" t="s">
        <v>264</v>
      </c>
      <c r="K181" s="1" t="s">
        <v>265</v>
      </c>
      <c r="L181" s="1">
        <v>10009</v>
      </c>
      <c r="M181" s="1" t="s">
        <v>146</v>
      </c>
      <c r="N181" s="1" t="s">
        <v>723</v>
      </c>
      <c r="O181" s="1" t="s">
        <v>44</v>
      </c>
      <c r="P181" s="1" t="s">
        <v>66</v>
      </c>
      <c r="Q181" s="1" t="s">
        <v>724</v>
      </c>
      <c r="R181" s="1">
        <v>3.28</v>
      </c>
      <c r="S181" s="1">
        <v>1</v>
      </c>
      <c r="T181" s="3">
        <v>0</v>
      </c>
      <c r="U181" s="4">
        <v>1.4104000000000001</v>
      </c>
      <c r="V181" s="1" t="str">
        <f t="shared" si="20"/>
        <v>Standard Class</v>
      </c>
      <c r="W181" s="1" t="str">
        <f t="shared" si="21"/>
        <v>Home Office</v>
      </c>
      <c r="X181" s="1" t="str">
        <f t="shared" si="22"/>
        <v>New York City - New York</v>
      </c>
      <c r="Y181" s="1" t="str">
        <f t="shared" si="23"/>
        <v>Art</v>
      </c>
      <c r="Z181" s="1">
        <f t="shared" si="24"/>
        <v>3.28</v>
      </c>
      <c r="AA181" s="1">
        <f t="shared" si="25"/>
        <v>3.28</v>
      </c>
      <c r="AB181" s="1">
        <f t="shared" si="26"/>
        <v>3.28</v>
      </c>
      <c r="AC181" s="4">
        <f t="shared" si="27"/>
        <v>3.28</v>
      </c>
      <c r="AD181" s="1" t="s">
        <v>2013</v>
      </c>
      <c r="AE181" s="1" t="str">
        <f t="shared" si="28"/>
        <v>2015</v>
      </c>
      <c r="AF181" s="1" t="str">
        <f t="shared" si="29"/>
        <v>137225</v>
      </c>
    </row>
    <row r="182" spans="1:32" x14ac:dyDescent="0.3">
      <c r="A182" s="1">
        <v>181</v>
      </c>
      <c r="B182" s="1" t="s">
        <v>725</v>
      </c>
      <c r="C182" s="2">
        <v>41978</v>
      </c>
      <c r="D182" s="2">
        <v>41982</v>
      </c>
      <c r="E182" s="1" t="s">
        <v>21</v>
      </c>
      <c r="F182" s="1" t="s">
        <v>726</v>
      </c>
      <c r="G182" s="1" t="s">
        <v>727</v>
      </c>
      <c r="H182" s="1" t="s">
        <v>39</v>
      </c>
      <c r="I182" s="1" t="s">
        <v>25</v>
      </c>
      <c r="J182" s="1" t="s">
        <v>355</v>
      </c>
      <c r="K182" s="1" t="s">
        <v>209</v>
      </c>
      <c r="L182" s="1">
        <v>62521</v>
      </c>
      <c r="M182" s="1" t="s">
        <v>103</v>
      </c>
      <c r="N182" s="1" t="s">
        <v>728</v>
      </c>
      <c r="O182" s="1" t="s">
        <v>44</v>
      </c>
      <c r="P182" s="1" t="s">
        <v>57</v>
      </c>
      <c r="Q182" s="1" t="s">
        <v>729</v>
      </c>
      <c r="R182" s="1">
        <v>24.815999999999999</v>
      </c>
      <c r="S182" s="1">
        <v>2</v>
      </c>
      <c r="T182" s="3">
        <v>0.2</v>
      </c>
      <c r="U182" s="4">
        <v>1.8612</v>
      </c>
      <c r="V182" s="1" t="str">
        <f t="shared" si="20"/>
        <v>Second Class</v>
      </c>
      <c r="W182" s="1" t="str">
        <f t="shared" si="21"/>
        <v>Corporate</v>
      </c>
      <c r="X182" s="1" t="str">
        <f t="shared" si="22"/>
        <v>Decatur - Illinois</v>
      </c>
      <c r="Y182" s="1" t="str">
        <f t="shared" si="23"/>
        <v>Storage</v>
      </c>
      <c r="Z182" s="1">
        <f t="shared" si="24"/>
        <v>24.815999999999999</v>
      </c>
      <c r="AA182" s="1">
        <f t="shared" si="25"/>
        <v>24.815999999999999</v>
      </c>
      <c r="AB182" s="1">
        <f t="shared" si="26"/>
        <v>49.631999999999998</v>
      </c>
      <c r="AC182" s="4">
        <f t="shared" si="27"/>
        <v>39.705600000000004</v>
      </c>
      <c r="AD182" s="1" t="s">
        <v>2013</v>
      </c>
      <c r="AE182" s="1" t="str">
        <f t="shared" si="28"/>
        <v>2014</v>
      </c>
      <c r="AF182" s="1" t="str">
        <f t="shared" si="29"/>
        <v>166191</v>
      </c>
    </row>
    <row r="183" spans="1:32" x14ac:dyDescent="0.3">
      <c r="A183" s="1">
        <v>182</v>
      </c>
      <c r="B183" s="1" t="s">
        <v>725</v>
      </c>
      <c r="C183" s="2">
        <v>41978</v>
      </c>
      <c r="D183" s="2">
        <v>41982</v>
      </c>
      <c r="E183" s="1" t="s">
        <v>21</v>
      </c>
      <c r="F183" s="1" t="s">
        <v>726</v>
      </c>
      <c r="G183" s="1" t="s">
        <v>727</v>
      </c>
      <c r="H183" s="1" t="s">
        <v>39</v>
      </c>
      <c r="I183" s="1" t="s">
        <v>25</v>
      </c>
      <c r="J183" s="1" t="s">
        <v>355</v>
      </c>
      <c r="K183" s="1" t="s">
        <v>209</v>
      </c>
      <c r="L183" s="1">
        <v>62521</v>
      </c>
      <c r="M183" s="1" t="s">
        <v>103</v>
      </c>
      <c r="N183" s="1" t="s">
        <v>730</v>
      </c>
      <c r="O183" s="1" t="s">
        <v>69</v>
      </c>
      <c r="P183" s="1" t="s">
        <v>159</v>
      </c>
      <c r="Q183" s="1" t="s">
        <v>731</v>
      </c>
      <c r="R183" s="1">
        <v>408.74400000000003</v>
      </c>
      <c r="S183" s="1">
        <v>7</v>
      </c>
      <c r="T183" s="3">
        <v>0.2</v>
      </c>
      <c r="U183" s="4">
        <v>76.639499999999998</v>
      </c>
      <c r="V183" s="1" t="str">
        <f t="shared" si="20"/>
        <v>Second Class</v>
      </c>
      <c r="W183" s="1" t="str">
        <f t="shared" si="21"/>
        <v>Corporate</v>
      </c>
      <c r="X183" s="1" t="str">
        <f t="shared" si="22"/>
        <v>Decatur - Illinois</v>
      </c>
      <c r="Y183" s="1" t="str">
        <f t="shared" si="23"/>
        <v>Accessories</v>
      </c>
      <c r="Z183" s="1">
        <f t="shared" si="24"/>
        <v>408.74400000000003</v>
      </c>
      <c r="AA183" s="1">
        <f t="shared" si="25"/>
        <v>408.74400000000003</v>
      </c>
      <c r="AB183" s="1">
        <f t="shared" si="26"/>
        <v>2861.2080000000001</v>
      </c>
      <c r="AC183" s="4">
        <f t="shared" si="27"/>
        <v>2288.9664000000002</v>
      </c>
      <c r="AD183" s="1" t="s">
        <v>2013</v>
      </c>
      <c r="AE183" s="1" t="str">
        <f t="shared" si="28"/>
        <v>2014</v>
      </c>
      <c r="AF183" s="1" t="str">
        <f t="shared" si="29"/>
        <v>166191</v>
      </c>
    </row>
    <row r="184" spans="1:32" x14ac:dyDescent="0.3">
      <c r="A184" s="1">
        <v>183</v>
      </c>
      <c r="B184" s="1" t="s">
        <v>732</v>
      </c>
      <c r="C184" s="2">
        <v>41962</v>
      </c>
      <c r="D184" s="2">
        <v>41967</v>
      </c>
      <c r="E184" s="1" t="s">
        <v>21</v>
      </c>
      <c r="F184" s="1" t="s">
        <v>733</v>
      </c>
      <c r="G184" s="1" t="s">
        <v>734</v>
      </c>
      <c r="H184" s="1" t="s">
        <v>100</v>
      </c>
      <c r="I184" s="1" t="s">
        <v>25</v>
      </c>
      <c r="J184" s="1" t="s">
        <v>735</v>
      </c>
      <c r="K184" s="1" t="s">
        <v>736</v>
      </c>
      <c r="L184" s="1">
        <v>71203</v>
      </c>
      <c r="M184" s="1" t="s">
        <v>28</v>
      </c>
      <c r="N184" s="1" t="s">
        <v>737</v>
      </c>
      <c r="O184" s="1" t="s">
        <v>69</v>
      </c>
      <c r="P184" s="1" t="s">
        <v>70</v>
      </c>
      <c r="Q184" s="1" t="s">
        <v>738</v>
      </c>
      <c r="R184" s="1">
        <v>503.96</v>
      </c>
      <c r="S184" s="1">
        <v>4</v>
      </c>
      <c r="T184" s="3">
        <v>0</v>
      </c>
      <c r="U184" s="4">
        <v>131.02959999999999</v>
      </c>
      <c r="V184" s="1" t="str">
        <f t="shared" si="20"/>
        <v>Second Class</v>
      </c>
      <c r="W184" s="1" t="str">
        <f t="shared" si="21"/>
        <v>Home Office</v>
      </c>
      <c r="X184" s="1" t="str">
        <f t="shared" si="22"/>
        <v>Monroe - Louisiana</v>
      </c>
      <c r="Y184" s="1" t="str">
        <f t="shared" si="23"/>
        <v>Phones</v>
      </c>
      <c r="Z184" s="1">
        <f t="shared" si="24"/>
        <v>503.96</v>
      </c>
      <c r="AA184" s="1">
        <f t="shared" si="25"/>
        <v>503.96</v>
      </c>
      <c r="AB184" s="1">
        <f t="shared" si="26"/>
        <v>2015.84</v>
      </c>
      <c r="AC184" s="4">
        <f t="shared" si="27"/>
        <v>2015.84</v>
      </c>
      <c r="AD184" s="1" t="s">
        <v>2013</v>
      </c>
      <c r="AE184" s="1" t="str">
        <f t="shared" si="28"/>
        <v>2014</v>
      </c>
      <c r="AF184" s="1" t="str">
        <f t="shared" si="29"/>
        <v>158274</v>
      </c>
    </row>
    <row r="185" spans="1:32" x14ac:dyDescent="0.3">
      <c r="A185" s="1">
        <v>184</v>
      </c>
      <c r="B185" s="1" t="s">
        <v>732</v>
      </c>
      <c r="C185" s="2">
        <v>41962</v>
      </c>
      <c r="D185" s="2">
        <v>41967</v>
      </c>
      <c r="E185" s="1" t="s">
        <v>21</v>
      </c>
      <c r="F185" s="1" t="s">
        <v>733</v>
      </c>
      <c r="G185" s="1" t="s">
        <v>734</v>
      </c>
      <c r="H185" s="1" t="s">
        <v>100</v>
      </c>
      <c r="I185" s="1" t="s">
        <v>25</v>
      </c>
      <c r="J185" s="1" t="s">
        <v>735</v>
      </c>
      <c r="K185" s="1" t="s">
        <v>736</v>
      </c>
      <c r="L185" s="1">
        <v>71203</v>
      </c>
      <c r="M185" s="1" t="s">
        <v>28</v>
      </c>
      <c r="N185" s="1" t="s">
        <v>739</v>
      </c>
      <c r="O185" s="1" t="s">
        <v>69</v>
      </c>
      <c r="P185" s="1" t="s">
        <v>70</v>
      </c>
      <c r="Q185" s="1" t="s">
        <v>740</v>
      </c>
      <c r="R185" s="1">
        <v>149.94999999999999</v>
      </c>
      <c r="S185" s="1">
        <v>5</v>
      </c>
      <c r="T185" s="3">
        <v>0</v>
      </c>
      <c r="U185" s="4">
        <v>41.985999999999997</v>
      </c>
      <c r="V185" s="1" t="str">
        <f t="shared" si="20"/>
        <v>Second Class</v>
      </c>
      <c r="W185" s="1" t="str">
        <f t="shared" si="21"/>
        <v>Home Office</v>
      </c>
      <c r="X185" s="1" t="str">
        <f t="shared" si="22"/>
        <v>Monroe - Louisiana</v>
      </c>
      <c r="Y185" s="1" t="str">
        <f t="shared" si="23"/>
        <v>Phones</v>
      </c>
      <c r="Z185" s="1">
        <f t="shared" si="24"/>
        <v>149.94999999999999</v>
      </c>
      <c r="AA185" s="1">
        <f t="shared" si="25"/>
        <v>149.94999999999999</v>
      </c>
      <c r="AB185" s="1">
        <f t="shared" si="26"/>
        <v>749.75</v>
      </c>
      <c r="AC185" s="4">
        <f t="shared" si="27"/>
        <v>749.75</v>
      </c>
      <c r="AD185" s="1" t="s">
        <v>2013</v>
      </c>
      <c r="AE185" s="1" t="str">
        <f t="shared" si="28"/>
        <v>2014</v>
      </c>
      <c r="AF185" s="1" t="str">
        <f t="shared" si="29"/>
        <v>158274</v>
      </c>
    </row>
    <row r="186" spans="1:32" x14ac:dyDescent="0.3">
      <c r="A186" s="1">
        <v>185</v>
      </c>
      <c r="B186" s="1" t="s">
        <v>732</v>
      </c>
      <c r="C186" s="2">
        <v>41962</v>
      </c>
      <c r="D186" s="2">
        <v>41967</v>
      </c>
      <c r="E186" s="1" t="s">
        <v>21</v>
      </c>
      <c r="F186" s="1" t="s">
        <v>733</v>
      </c>
      <c r="G186" s="1" t="s">
        <v>734</v>
      </c>
      <c r="H186" s="1" t="s">
        <v>100</v>
      </c>
      <c r="I186" s="1" t="s">
        <v>25</v>
      </c>
      <c r="J186" s="1" t="s">
        <v>735</v>
      </c>
      <c r="K186" s="1" t="s">
        <v>736</v>
      </c>
      <c r="L186" s="1">
        <v>71203</v>
      </c>
      <c r="M186" s="1" t="s">
        <v>28</v>
      </c>
      <c r="N186" s="1" t="s">
        <v>741</v>
      </c>
      <c r="O186" s="1" t="s">
        <v>69</v>
      </c>
      <c r="P186" s="1" t="s">
        <v>159</v>
      </c>
      <c r="Q186" s="1" t="s">
        <v>742</v>
      </c>
      <c r="R186" s="1">
        <v>29</v>
      </c>
      <c r="S186" s="1">
        <v>2</v>
      </c>
      <c r="T186" s="3">
        <v>0</v>
      </c>
      <c r="U186" s="4">
        <v>7.25</v>
      </c>
      <c r="V186" s="1" t="str">
        <f t="shared" si="20"/>
        <v>Second Class</v>
      </c>
      <c r="W186" s="1" t="str">
        <f t="shared" si="21"/>
        <v>Home Office</v>
      </c>
      <c r="X186" s="1" t="str">
        <f t="shared" si="22"/>
        <v>Monroe - Louisiana</v>
      </c>
      <c r="Y186" s="1" t="str">
        <f t="shared" si="23"/>
        <v>Accessories</v>
      </c>
      <c r="Z186" s="1">
        <f t="shared" si="24"/>
        <v>29</v>
      </c>
      <c r="AA186" s="1">
        <f t="shared" si="25"/>
        <v>29</v>
      </c>
      <c r="AB186" s="1">
        <f t="shared" si="26"/>
        <v>58</v>
      </c>
      <c r="AC186" s="4">
        <f t="shared" si="27"/>
        <v>58</v>
      </c>
      <c r="AD186" s="1" t="s">
        <v>2013</v>
      </c>
      <c r="AE186" s="1" t="str">
        <f t="shared" si="28"/>
        <v>2014</v>
      </c>
      <c r="AF186" s="1" t="str">
        <f t="shared" si="29"/>
        <v>158274</v>
      </c>
    </row>
    <row r="187" spans="1:32" x14ac:dyDescent="0.3">
      <c r="A187" s="1">
        <v>186</v>
      </c>
      <c r="B187" s="1" t="s">
        <v>743</v>
      </c>
      <c r="C187" s="2">
        <v>42702</v>
      </c>
      <c r="D187" s="2">
        <v>42706</v>
      </c>
      <c r="E187" s="1" t="s">
        <v>48</v>
      </c>
      <c r="F187" s="1" t="s">
        <v>744</v>
      </c>
      <c r="G187" s="1" t="s">
        <v>745</v>
      </c>
      <c r="H187" s="1" t="s">
        <v>24</v>
      </c>
      <c r="I187" s="1" t="s">
        <v>25</v>
      </c>
      <c r="J187" s="1" t="s">
        <v>746</v>
      </c>
      <c r="K187" s="1" t="s">
        <v>747</v>
      </c>
      <c r="L187" s="1">
        <v>6824</v>
      </c>
      <c r="M187" s="1" t="s">
        <v>146</v>
      </c>
      <c r="N187" s="1" t="s">
        <v>748</v>
      </c>
      <c r="O187" s="1" t="s">
        <v>44</v>
      </c>
      <c r="P187" s="1" t="s">
        <v>73</v>
      </c>
      <c r="Q187" s="1" t="s">
        <v>749</v>
      </c>
      <c r="R187" s="1">
        <v>7.16</v>
      </c>
      <c r="S187" s="1">
        <v>2</v>
      </c>
      <c r="T187" s="3">
        <v>0</v>
      </c>
      <c r="U187" s="4">
        <v>3.4367999999999999</v>
      </c>
      <c r="V187" s="1" t="str">
        <f t="shared" si="20"/>
        <v>Standard Class</v>
      </c>
      <c r="W187" s="1" t="str">
        <f t="shared" si="21"/>
        <v>Consumer</v>
      </c>
      <c r="X187" s="1" t="str">
        <f t="shared" si="22"/>
        <v>Fairfield - Connecticut</v>
      </c>
      <c r="Y187" s="1" t="str">
        <f t="shared" si="23"/>
        <v>Binders</v>
      </c>
      <c r="Z187" s="1">
        <f t="shared" si="24"/>
        <v>7.16</v>
      </c>
      <c r="AA187" s="1">
        <f t="shared" si="25"/>
        <v>7.16</v>
      </c>
      <c r="AB187" s="1">
        <f t="shared" si="26"/>
        <v>14.32</v>
      </c>
      <c r="AC187" s="4">
        <f t="shared" si="27"/>
        <v>14.32</v>
      </c>
      <c r="AD187" s="1" t="s">
        <v>2013</v>
      </c>
      <c r="AE187" s="1" t="str">
        <f t="shared" si="28"/>
        <v>2016</v>
      </c>
      <c r="AF187" s="1" t="str">
        <f t="shared" si="29"/>
        <v>105018</v>
      </c>
    </row>
    <row r="188" spans="1:32" x14ac:dyDescent="0.3">
      <c r="A188" s="1">
        <v>187</v>
      </c>
      <c r="B188" s="1" t="s">
        <v>750</v>
      </c>
      <c r="C188" s="2">
        <v>41877</v>
      </c>
      <c r="D188" s="2">
        <v>41881</v>
      </c>
      <c r="E188" s="1" t="s">
        <v>48</v>
      </c>
      <c r="F188" s="1" t="s">
        <v>751</v>
      </c>
      <c r="G188" s="1" t="s">
        <v>752</v>
      </c>
      <c r="H188" s="1" t="s">
        <v>100</v>
      </c>
      <c r="I188" s="1" t="s">
        <v>25</v>
      </c>
      <c r="J188" s="1" t="s">
        <v>40</v>
      </c>
      <c r="K188" s="1" t="s">
        <v>41</v>
      </c>
      <c r="L188" s="1">
        <v>90032</v>
      </c>
      <c r="M188" s="1" t="s">
        <v>42</v>
      </c>
      <c r="N188" s="1" t="s">
        <v>753</v>
      </c>
      <c r="O188" s="1" t="s">
        <v>69</v>
      </c>
      <c r="P188" s="1" t="s">
        <v>159</v>
      </c>
      <c r="Q188" s="1" t="s">
        <v>754</v>
      </c>
      <c r="R188" s="1">
        <v>176.8</v>
      </c>
      <c r="S188" s="1">
        <v>8</v>
      </c>
      <c r="T188" s="3">
        <v>0</v>
      </c>
      <c r="U188" s="4">
        <v>22.984000000000002</v>
      </c>
      <c r="V188" s="1" t="str">
        <f t="shared" si="20"/>
        <v>Standard Class</v>
      </c>
      <c r="W188" s="1" t="str">
        <f t="shared" si="21"/>
        <v>Home Office</v>
      </c>
      <c r="X188" s="1" t="str">
        <f t="shared" si="22"/>
        <v>Los Angeles - California</v>
      </c>
      <c r="Y188" s="1" t="str">
        <f t="shared" si="23"/>
        <v>Accessories</v>
      </c>
      <c r="Z188" s="1">
        <f t="shared" si="24"/>
        <v>176.8</v>
      </c>
      <c r="AA188" s="1">
        <f t="shared" si="25"/>
        <v>176.8</v>
      </c>
      <c r="AB188" s="1">
        <f t="shared" si="26"/>
        <v>1414.4</v>
      </c>
      <c r="AC188" s="4">
        <f t="shared" si="27"/>
        <v>1414.4</v>
      </c>
      <c r="AD188" s="1" t="s">
        <v>2013</v>
      </c>
      <c r="AE188" s="1" t="str">
        <f t="shared" si="28"/>
        <v>2014</v>
      </c>
      <c r="AF188" s="1" t="str">
        <f t="shared" si="29"/>
        <v>123260</v>
      </c>
    </row>
    <row r="189" spans="1:32" x14ac:dyDescent="0.3">
      <c r="A189" s="1">
        <v>188</v>
      </c>
      <c r="B189" s="1" t="s">
        <v>755</v>
      </c>
      <c r="C189" s="2">
        <v>42567</v>
      </c>
      <c r="D189" s="2">
        <v>42573</v>
      </c>
      <c r="E189" s="1" t="s">
        <v>48</v>
      </c>
      <c r="F189" s="1" t="s">
        <v>756</v>
      </c>
      <c r="G189" s="1" t="s">
        <v>757</v>
      </c>
      <c r="H189" s="1" t="s">
        <v>39</v>
      </c>
      <c r="I189" s="1" t="s">
        <v>25</v>
      </c>
      <c r="J189" s="1" t="s">
        <v>758</v>
      </c>
      <c r="K189" s="1" t="s">
        <v>102</v>
      </c>
      <c r="L189" s="1">
        <v>75051</v>
      </c>
      <c r="M189" s="1" t="s">
        <v>103</v>
      </c>
      <c r="N189" s="1" t="s">
        <v>759</v>
      </c>
      <c r="O189" s="1" t="s">
        <v>44</v>
      </c>
      <c r="P189" s="1" t="s">
        <v>57</v>
      </c>
      <c r="Q189" s="1" t="s">
        <v>760</v>
      </c>
      <c r="R189" s="1">
        <v>37.223999999999997</v>
      </c>
      <c r="S189" s="1">
        <v>3</v>
      </c>
      <c r="T189" s="3">
        <v>0.2</v>
      </c>
      <c r="U189" s="4">
        <v>3.7223999999999999</v>
      </c>
      <c r="V189" s="1" t="str">
        <f t="shared" si="20"/>
        <v>Standard Class</v>
      </c>
      <c r="W189" s="1" t="str">
        <f t="shared" si="21"/>
        <v>Corporate</v>
      </c>
      <c r="X189" s="1" t="str">
        <f t="shared" si="22"/>
        <v>Grand Prairie - Texas</v>
      </c>
      <c r="Y189" s="1" t="str">
        <f t="shared" si="23"/>
        <v>Storage</v>
      </c>
      <c r="Z189" s="1">
        <f t="shared" si="24"/>
        <v>37.223999999999997</v>
      </c>
      <c r="AA189" s="1">
        <f t="shared" si="25"/>
        <v>37.223999999999997</v>
      </c>
      <c r="AB189" s="1">
        <f t="shared" si="26"/>
        <v>111.672</v>
      </c>
      <c r="AC189" s="4">
        <f t="shared" si="27"/>
        <v>89.337600000000009</v>
      </c>
      <c r="AD189" s="1" t="s">
        <v>2013</v>
      </c>
      <c r="AE189" s="1" t="str">
        <f t="shared" si="28"/>
        <v>2016</v>
      </c>
      <c r="AF189" s="1" t="str">
        <f t="shared" si="29"/>
        <v>157000</v>
      </c>
    </row>
    <row r="190" spans="1:32" x14ac:dyDescent="0.3">
      <c r="A190" s="1">
        <v>189</v>
      </c>
      <c r="B190" s="1" t="s">
        <v>755</v>
      </c>
      <c r="C190" s="2">
        <v>42567</v>
      </c>
      <c r="D190" s="2">
        <v>42573</v>
      </c>
      <c r="E190" s="1" t="s">
        <v>48</v>
      </c>
      <c r="F190" s="1" t="s">
        <v>756</v>
      </c>
      <c r="G190" s="1" t="s">
        <v>757</v>
      </c>
      <c r="H190" s="1" t="s">
        <v>39</v>
      </c>
      <c r="I190" s="1" t="s">
        <v>25</v>
      </c>
      <c r="J190" s="1" t="s">
        <v>758</v>
      </c>
      <c r="K190" s="1" t="s">
        <v>102</v>
      </c>
      <c r="L190" s="1">
        <v>75051</v>
      </c>
      <c r="M190" s="1" t="s">
        <v>103</v>
      </c>
      <c r="N190" s="1" t="s">
        <v>630</v>
      </c>
      <c r="O190" s="1" t="s">
        <v>44</v>
      </c>
      <c r="P190" s="1" t="s">
        <v>88</v>
      </c>
      <c r="Q190" s="1" t="s">
        <v>631</v>
      </c>
      <c r="R190" s="1">
        <v>20.015999999999998</v>
      </c>
      <c r="S190" s="1">
        <v>3</v>
      </c>
      <c r="T190" s="3">
        <v>0.2</v>
      </c>
      <c r="U190" s="4">
        <v>6.2549999999999999</v>
      </c>
      <c r="V190" s="1" t="str">
        <f t="shared" si="20"/>
        <v>Standard Class</v>
      </c>
      <c r="W190" s="1" t="str">
        <f t="shared" si="21"/>
        <v>Corporate</v>
      </c>
      <c r="X190" s="1" t="str">
        <f t="shared" si="22"/>
        <v>Grand Prairie - Texas</v>
      </c>
      <c r="Y190" s="1" t="str">
        <f t="shared" si="23"/>
        <v>Paper</v>
      </c>
      <c r="Z190" s="1">
        <f t="shared" si="24"/>
        <v>20.015999999999998</v>
      </c>
      <c r="AA190" s="1">
        <f t="shared" si="25"/>
        <v>20.015999999999998</v>
      </c>
      <c r="AB190" s="1">
        <f t="shared" si="26"/>
        <v>60.047999999999995</v>
      </c>
      <c r="AC190" s="4">
        <f t="shared" si="27"/>
        <v>48.038399999999996</v>
      </c>
      <c r="AD190" s="1" t="s">
        <v>2013</v>
      </c>
      <c r="AE190" s="1" t="str">
        <f t="shared" si="28"/>
        <v>2016</v>
      </c>
      <c r="AF190" s="1" t="str">
        <f t="shared" si="29"/>
        <v>157000</v>
      </c>
    </row>
    <row r="191" spans="1:32" x14ac:dyDescent="0.3">
      <c r="A191" s="1">
        <v>190</v>
      </c>
      <c r="B191" s="1" t="s">
        <v>761</v>
      </c>
      <c r="C191" s="2">
        <v>42289</v>
      </c>
      <c r="D191" s="2">
        <v>42291</v>
      </c>
      <c r="E191" s="1" t="s">
        <v>186</v>
      </c>
      <c r="F191" s="1" t="s">
        <v>762</v>
      </c>
      <c r="G191" s="1" t="s">
        <v>763</v>
      </c>
      <c r="H191" s="1" t="s">
        <v>100</v>
      </c>
      <c r="I191" s="1" t="s">
        <v>25</v>
      </c>
      <c r="J191" s="1" t="s">
        <v>264</v>
      </c>
      <c r="K191" s="1" t="s">
        <v>265</v>
      </c>
      <c r="L191" s="1">
        <v>10035</v>
      </c>
      <c r="M191" s="1" t="s">
        <v>146</v>
      </c>
      <c r="N191" s="1" t="s">
        <v>764</v>
      </c>
      <c r="O191" s="1" t="s">
        <v>30</v>
      </c>
      <c r="P191" s="1" t="s">
        <v>31</v>
      </c>
      <c r="Q191" s="1" t="s">
        <v>765</v>
      </c>
      <c r="R191" s="1">
        <v>899.13599999999997</v>
      </c>
      <c r="S191" s="1">
        <v>4</v>
      </c>
      <c r="T191" s="3">
        <v>0.2</v>
      </c>
      <c r="U191" s="4">
        <v>112.392</v>
      </c>
      <c r="V191" s="1" t="str">
        <f t="shared" si="20"/>
        <v>First Class</v>
      </c>
      <c r="W191" s="1" t="str">
        <f t="shared" si="21"/>
        <v>Home Office</v>
      </c>
      <c r="X191" s="1" t="str">
        <f t="shared" si="22"/>
        <v>New York City - New York</v>
      </c>
      <c r="Y191" s="1" t="str">
        <f t="shared" si="23"/>
        <v>Bookcases</v>
      </c>
      <c r="Z191" s="1">
        <f t="shared" si="24"/>
        <v>899.13599999999997</v>
      </c>
      <c r="AA191" s="1">
        <f t="shared" si="25"/>
        <v>899.13599999999997</v>
      </c>
      <c r="AB191" s="1">
        <f t="shared" si="26"/>
        <v>3596.5439999999999</v>
      </c>
      <c r="AC191" s="4">
        <f t="shared" si="27"/>
        <v>2877.2352000000001</v>
      </c>
      <c r="AD191" s="1" t="s">
        <v>2013</v>
      </c>
      <c r="AE191" s="1" t="str">
        <f t="shared" si="28"/>
        <v>2015</v>
      </c>
      <c r="AF191" s="1" t="str">
        <f t="shared" si="29"/>
        <v>102281</v>
      </c>
    </row>
    <row r="192" spans="1:32" x14ac:dyDescent="0.3">
      <c r="A192" s="1">
        <v>191</v>
      </c>
      <c r="B192" s="1" t="s">
        <v>761</v>
      </c>
      <c r="C192" s="2">
        <v>42289</v>
      </c>
      <c r="D192" s="2">
        <v>42291</v>
      </c>
      <c r="E192" s="1" t="s">
        <v>186</v>
      </c>
      <c r="F192" s="1" t="s">
        <v>762</v>
      </c>
      <c r="G192" s="1" t="s">
        <v>763</v>
      </c>
      <c r="H192" s="1" t="s">
        <v>100</v>
      </c>
      <c r="I192" s="1" t="s">
        <v>25</v>
      </c>
      <c r="J192" s="1" t="s">
        <v>264</v>
      </c>
      <c r="K192" s="1" t="s">
        <v>265</v>
      </c>
      <c r="L192" s="1">
        <v>10035</v>
      </c>
      <c r="M192" s="1" t="s">
        <v>146</v>
      </c>
      <c r="N192" s="1" t="s">
        <v>766</v>
      </c>
      <c r="O192" s="1" t="s">
        <v>69</v>
      </c>
      <c r="P192" s="1" t="s">
        <v>70</v>
      </c>
      <c r="Q192" s="1" t="s">
        <v>767</v>
      </c>
      <c r="R192" s="1">
        <v>71.760000000000005</v>
      </c>
      <c r="S192" s="1">
        <v>6</v>
      </c>
      <c r="T192" s="3">
        <v>0</v>
      </c>
      <c r="U192" s="4">
        <v>20.0928</v>
      </c>
      <c r="V192" s="1" t="str">
        <f t="shared" si="20"/>
        <v>First Class</v>
      </c>
      <c r="W192" s="1" t="str">
        <f t="shared" si="21"/>
        <v>Home Office</v>
      </c>
      <c r="X192" s="1" t="str">
        <f t="shared" si="22"/>
        <v>New York City - New York</v>
      </c>
      <c r="Y192" s="1" t="str">
        <f t="shared" si="23"/>
        <v>Phones</v>
      </c>
      <c r="Z192" s="1">
        <f t="shared" si="24"/>
        <v>71.760000000000005</v>
      </c>
      <c r="AA192" s="1">
        <f t="shared" si="25"/>
        <v>71.760000000000005</v>
      </c>
      <c r="AB192" s="1">
        <f t="shared" si="26"/>
        <v>430.56000000000006</v>
      </c>
      <c r="AC192" s="4">
        <f t="shared" si="27"/>
        <v>430.56000000000006</v>
      </c>
      <c r="AD192" s="1" t="s">
        <v>2013</v>
      </c>
      <c r="AE192" s="1" t="str">
        <f t="shared" si="28"/>
        <v>2015</v>
      </c>
      <c r="AF192" s="1" t="str">
        <f t="shared" si="29"/>
        <v>102281</v>
      </c>
    </row>
    <row r="193" spans="1:32" x14ac:dyDescent="0.3">
      <c r="A193" s="1">
        <v>192</v>
      </c>
      <c r="B193" s="1" t="s">
        <v>761</v>
      </c>
      <c r="C193" s="2">
        <v>42289</v>
      </c>
      <c r="D193" s="2">
        <v>42291</v>
      </c>
      <c r="E193" s="1" t="s">
        <v>186</v>
      </c>
      <c r="F193" s="1" t="s">
        <v>762</v>
      </c>
      <c r="G193" s="1" t="s">
        <v>763</v>
      </c>
      <c r="H193" s="1" t="s">
        <v>100</v>
      </c>
      <c r="I193" s="1" t="s">
        <v>25</v>
      </c>
      <c r="J193" s="1" t="s">
        <v>264</v>
      </c>
      <c r="K193" s="1" t="s">
        <v>265</v>
      </c>
      <c r="L193" s="1">
        <v>10035</v>
      </c>
      <c r="M193" s="1" t="s">
        <v>146</v>
      </c>
      <c r="N193" s="1" t="s">
        <v>768</v>
      </c>
      <c r="O193" s="1" t="s">
        <v>44</v>
      </c>
      <c r="P193" s="1" t="s">
        <v>88</v>
      </c>
      <c r="Q193" s="1" t="s">
        <v>769</v>
      </c>
      <c r="R193" s="1">
        <v>51.84</v>
      </c>
      <c r="S193" s="1">
        <v>8</v>
      </c>
      <c r="T193" s="3">
        <v>0</v>
      </c>
      <c r="U193" s="4">
        <v>24.883199999999999</v>
      </c>
      <c r="V193" s="1" t="str">
        <f t="shared" si="20"/>
        <v>First Class</v>
      </c>
      <c r="W193" s="1" t="str">
        <f t="shared" si="21"/>
        <v>Home Office</v>
      </c>
      <c r="X193" s="1" t="str">
        <f t="shared" si="22"/>
        <v>New York City - New York</v>
      </c>
      <c r="Y193" s="1" t="str">
        <f t="shared" si="23"/>
        <v>Paper</v>
      </c>
      <c r="Z193" s="1">
        <f t="shared" si="24"/>
        <v>51.84</v>
      </c>
      <c r="AA193" s="1">
        <f t="shared" si="25"/>
        <v>51.84</v>
      </c>
      <c r="AB193" s="1">
        <f t="shared" si="26"/>
        <v>414.72</v>
      </c>
      <c r="AC193" s="4">
        <f t="shared" si="27"/>
        <v>414.72</v>
      </c>
      <c r="AD193" s="1" t="s">
        <v>2013</v>
      </c>
      <c r="AE193" s="1" t="str">
        <f t="shared" si="28"/>
        <v>2015</v>
      </c>
      <c r="AF193" s="1" t="str">
        <f t="shared" si="29"/>
        <v>102281</v>
      </c>
    </row>
    <row r="194" spans="1:32" x14ac:dyDescent="0.3">
      <c r="A194" s="1">
        <v>193</v>
      </c>
      <c r="B194" s="1" t="s">
        <v>761</v>
      </c>
      <c r="C194" s="2">
        <v>42289</v>
      </c>
      <c r="D194" s="2">
        <v>42291</v>
      </c>
      <c r="E194" s="1" t="s">
        <v>186</v>
      </c>
      <c r="F194" s="1" t="s">
        <v>762</v>
      </c>
      <c r="G194" s="1" t="s">
        <v>763</v>
      </c>
      <c r="H194" s="1" t="s">
        <v>100</v>
      </c>
      <c r="I194" s="1" t="s">
        <v>25</v>
      </c>
      <c r="J194" s="1" t="s">
        <v>264</v>
      </c>
      <c r="K194" s="1" t="s">
        <v>265</v>
      </c>
      <c r="L194" s="1">
        <v>10035</v>
      </c>
      <c r="M194" s="1" t="s">
        <v>146</v>
      </c>
      <c r="N194" s="1" t="s">
        <v>199</v>
      </c>
      <c r="O194" s="1" t="s">
        <v>30</v>
      </c>
      <c r="P194" s="1" t="s">
        <v>31</v>
      </c>
      <c r="Q194" s="1" t="s">
        <v>200</v>
      </c>
      <c r="R194" s="1">
        <v>626.35199999999998</v>
      </c>
      <c r="S194" s="1">
        <v>3</v>
      </c>
      <c r="T194" s="3">
        <v>0.2</v>
      </c>
      <c r="U194" s="4">
        <v>46.976399999999998</v>
      </c>
      <c r="V194" s="1" t="str">
        <f t="shared" ref="V194:V257" si="30">IF(ISBLANK(E194),"UNKNOWN",E194)</f>
        <v>First Class</v>
      </c>
      <c r="W194" s="1" t="str">
        <f t="shared" ref="W194:W257" si="31">IF(ISBLANK(H194),"UNKNOWN",H194)</f>
        <v>Home Office</v>
      </c>
      <c r="X194" s="1" t="str">
        <f t="shared" ref="X194:X257" si="32">CONCATENATE(J194," - ",K194)</f>
        <v>New York City - New York</v>
      </c>
      <c r="Y194" s="1" t="str">
        <f t="shared" ref="Y194:Y257" si="33">IF(ISBLANK(P194),"UNKNOWN",P194)</f>
        <v>Bookcases</v>
      </c>
      <c r="Z194" s="1">
        <f t="shared" ref="Z194:Z257" si="34">IF(ISBLANK(R194),ROUND(AVERAGEIF($O$2:$O$600,O194,$R$2:$R$29),0),R194)</f>
        <v>626.35199999999998</v>
      </c>
      <c r="AA194" s="1">
        <f t="shared" ref="AA194:AA257" si="35">IF(ISBLANK(R194),ROUND(AVERAGEIF($Y$2:$Y$600,Y194,$R$2:$R$29),0),R194)</f>
        <v>626.35199999999998</v>
      </c>
      <c r="AB194" s="1">
        <f t="shared" ref="AB194:AB257" si="36">AA194*S194</f>
        <v>1879.056</v>
      </c>
      <c r="AC194" s="4">
        <f t="shared" si="27"/>
        <v>1503.2448000000002</v>
      </c>
      <c r="AD194" s="1" t="s">
        <v>2013</v>
      </c>
      <c r="AE194" s="1" t="str">
        <f t="shared" si="28"/>
        <v>2015</v>
      </c>
      <c r="AF194" s="1" t="str">
        <f t="shared" si="29"/>
        <v>102281</v>
      </c>
    </row>
    <row r="195" spans="1:32" x14ac:dyDescent="0.3">
      <c r="A195" s="1">
        <v>194</v>
      </c>
      <c r="B195" s="1" t="s">
        <v>761</v>
      </c>
      <c r="C195" s="2">
        <v>42289</v>
      </c>
      <c r="D195" s="2">
        <v>42291</v>
      </c>
      <c r="E195" s="1" t="s">
        <v>186</v>
      </c>
      <c r="F195" s="1" t="s">
        <v>762</v>
      </c>
      <c r="G195" s="1" t="s">
        <v>763</v>
      </c>
      <c r="H195" s="1" t="s">
        <v>100</v>
      </c>
      <c r="I195" s="1" t="s">
        <v>25</v>
      </c>
      <c r="J195" s="1" t="s">
        <v>264</v>
      </c>
      <c r="K195" s="1" t="s">
        <v>265</v>
      </c>
      <c r="L195" s="1">
        <v>10035</v>
      </c>
      <c r="M195" s="1" t="s">
        <v>146</v>
      </c>
      <c r="N195" s="1" t="s">
        <v>770</v>
      </c>
      <c r="O195" s="1" t="s">
        <v>44</v>
      </c>
      <c r="P195" s="1" t="s">
        <v>66</v>
      </c>
      <c r="Q195" s="1" t="s">
        <v>771</v>
      </c>
      <c r="R195" s="1">
        <v>19.899999999999999</v>
      </c>
      <c r="S195" s="1">
        <v>5</v>
      </c>
      <c r="T195" s="3">
        <v>0</v>
      </c>
      <c r="U195" s="4">
        <v>6.5670000000000002</v>
      </c>
      <c r="V195" s="1" t="str">
        <f t="shared" si="30"/>
        <v>First Class</v>
      </c>
      <c r="W195" s="1" t="str">
        <f t="shared" si="31"/>
        <v>Home Office</v>
      </c>
      <c r="X195" s="1" t="str">
        <f t="shared" si="32"/>
        <v>New York City - New York</v>
      </c>
      <c r="Y195" s="1" t="str">
        <f t="shared" si="33"/>
        <v>Art</v>
      </c>
      <c r="Z195" s="1">
        <f t="shared" si="34"/>
        <v>19.899999999999999</v>
      </c>
      <c r="AA195" s="1">
        <f t="shared" si="35"/>
        <v>19.899999999999999</v>
      </c>
      <c r="AB195" s="1">
        <f t="shared" si="36"/>
        <v>99.5</v>
      </c>
      <c r="AC195" s="4">
        <f t="shared" ref="AC195:AC258" si="37">AB195*(1-T195)</f>
        <v>99.5</v>
      </c>
      <c r="AD195" s="1" t="s">
        <v>2013</v>
      </c>
      <c r="AE195" s="1" t="str">
        <f t="shared" ref="AE195:AE258" si="38">MID(B195,4,4)</f>
        <v>2015</v>
      </c>
      <c r="AF195" s="1" t="str">
        <f t="shared" ref="AF195:AF258" si="39">RIGHT(B195,6)</f>
        <v>102281</v>
      </c>
    </row>
    <row r="196" spans="1:32" x14ac:dyDescent="0.3">
      <c r="A196" s="1">
        <v>195</v>
      </c>
      <c r="B196" s="1" t="s">
        <v>772</v>
      </c>
      <c r="C196" s="2">
        <v>42308</v>
      </c>
      <c r="D196" s="2">
        <v>42314</v>
      </c>
      <c r="E196" s="1" t="s">
        <v>48</v>
      </c>
      <c r="F196" s="1" t="s">
        <v>773</v>
      </c>
      <c r="G196" s="1" t="s">
        <v>774</v>
      </c>
      <c r="H196" s="1" t="s">
        <v>39</v>
      </c>
      <c r="I196" s="1" t="s">
        <v>25</v>
      </c>
      <c r="J196" s="1" t="s">
        <v>775</v>
      </c>
      <c r="K196" s="1" t="s">
        <v>41</v>
      </c>
      <c r="L196" s="1">
        <v>92374</v>
      </c>
      <c r="M196" s="1" t="s">
        <v>42</v>
      </c>
      <c r="N196" s="1" t="s">
        <v>170</v>
      </c>
      <c r="O196" s="1" t="s">
        <v>44</v>
      </c>
      <c r="P196" s="1" t="s">
        <v>171</v>
      </c>
      <c r="Q196" s="1" t="s">
        <v>172</v>
      </c>
      <c r="R196" s="1">
        <v>14.28</v>
      </c>
      <c r="S196" s="1">
        <v>7</v>
      </c>
      <c r="T196" s="3">
        <v>0</v>
      </c>
      <c r="U196" s="4">
        <v>6.7115999999999998</v>
      </c>
      <c r="V196" s="1" t="str">
        <f t="shared" si="30"/>
        <v>Standard Class</v>
      </c>
      <c r="W196" s="1" t="str">
        <f t="shared" si="31"/>
        <v>Corporate</v>
      </c>
      <c r="X196" s="1" t="str">
        <f t="shared" si="32"/>
        <v>Redlands - California</v>
      </c>
      <c r="Y196" s="1" t="str">
        <f t="shared" si="33"/>
        <v>Envelopes</v>
      </c>
      <c r="Z196" s="1">
        <f t="shared" si="34"/>
        <v>14.28</v>
      </c>
      <c r="AA196" s="1">
        <f t="shared" si="35"/>
        <v>14.28</v>
      </c>
      <c r="AB196" s="1">
        <f t="shared" si="36"/>
        <v>99.96</v>
      </c>
      <c r="AC196" s="4">
        <f t="shared" si="37"/>
        <v>99.96</v>
      </c>
      <c r="AD196" s="1" t="s">
        <v>2013</v>
      </c>
      <c r="AE196" s="1" t="str">
        <f t="shared" si="38"/>
        <v>2015</v>
      </c>
      <c r="AF196" s="1" t="str">
        <f t="shared" si="39"/>
        <v>131457</v>
      </c>
    </row>
    <row r="197" spans="1:32" x14ac:dyDescent="0.3">
      <c r="A197" s="1">
        <v>196</v>
      </c>
      <c r="B197" s="1" t="s">
        <v>776</v>
      </c>
      <c r="C197" s="2">
        <v>41719</v>
      </c>
      <c r="D197" s="2">
        <v>41723</v>
      </c>
      <c r="E197" s="1" t="s">
        <v>48</v>
      </c>
      <c r="F197" s="1" t="s">
        <v>777</v>
      </c>
      <c r="G197" s="1" t="s">
        <v>778</v>
      </c>
      <c r="H197" s="1" t="s">
        <v>24</v>
      </c>
      <c r="I197" s="1" t="s">
        <v>25</v>
      </c>
      <c r="J197" s="1" t="s">
        <v>779</v>
      </c>
      <c r="K197" s="1" t="s">
        <v>496</v>
      </c>
      <c r="L197" s="1">
        <v>45011</v>
      </c>
      <c r="M197" s="1" t="s">
        <v>146</v>
      </c>
      <c r="N197" s="1" t="s">
        <v>780</v>
      </c>
      <c r="O197" s="1" t="s">
        <v>44</v>
      </c>
      <c r="P197" s="1" t="s">
        <v>66</v>
      </c>
      <c r="Q197" s="1" t="s">
        <v>781</v>
      </c>
      <c r="R197" s="1">
        <v>7.4080000000000004</v>
      </c>
      <c r="S197" s="1">
        <v>2</v>
      </c>
      <c r="T197" s="3">
        <v>0.2</v>
      </c>
      <c r="U197" s="4">
        <v>1.2038</v>
      </c>
      <c r="V197" s="1" t="str">
        <f t="shared" si="30"/>
        <v>Standard Class</v>
      </c>
      <c r="W197" s="1" t="str">
        <f t="shared" si="31"/>
        <v>Consumer</v>
      </c>
      <c r="X197" s="1" t="str">
        <f t="shared" si="32"/>
        <v>Hamilton - Ohio</v>
      </c>
      <c r="Y197" s="1" t="str">
        <f t="shared" si="33"/>
        <v>Art</v>
      </c>
      <c r="Z197" s="1">
        <f t="shared" si="34"/>
        <v>7.4080000000000004</v>
      </c>
      <c r="AA197" s="1">
        <f t="shared" si="35"/>
        <v>7.4080000000000004</v>
      </c>
      <c r="AB197" s="1">
        <f t="shared" si="36"/>
        <v>14.816000000000001</v>
      </c>
      <c r="AC197" s="4">
        <f t="shared" si="37"/>
        <v>11.852800000000002</v>
      </c>
      <c r="AD197" s="1" t="s">
        <v>2013</v>
      </c>
      <c r="AE197" s="1" t="str">
        <f t="shared" si="38"/>
        <v>2014</v>
      </c>
      <c r="AF197" s="1" t="str">
        <f t="shared" si="39"/>
        <v>140004</v>
      </c>
    </row>
    <row r="198" spans="1:32" x14ac:dyDescent="0.3">
      <c r="A198" s="1">
        <v>197</v>
      </c>
      <c r="B198" s="1" t="s">
        <v>776</v>
      </c>
      <c r="C198" s="2">
        <v>41719</v>
      </c>
      <c r="D198" s="2">
        <v>41723</v>
      </c>
      <c r="E198" s="1" t="s">
        <v>48</v>
      </c>
      <c r="F198" s="1" t="s">
        <v>777</v>
      </c>
      <c r="G198" s="1" t="s">
        <v>778</v>
      </c>
      <c r="H198" s="1" t="s">
        <v>24</v>
      </c>
      <c r="I198" s="1" t="s">
        <v>25</v>
      </c>
      <c r="J198" s="1" t="s">
        <v>779</v>
      </c>
      <c r="K198" s="1" t="s">
        <v>496</v>
      </c>
      <c r="L198" s="1">
        <v>45011</v>
      </c>
      <c r="M198" s="1" t="s">
        <v>146</v>
      </c>
      <c r="N198" s="1" t="s">
        <v>782</v>
      </c>
      <c r="O198" s="1" t="s">
        <v>44</v>
      </c>
      <c r="P198" s="1" t="s">
        <v>66</v>
      </c>
      <c r="Q198" s="1" t="s">
        <v>783</v>
      </c>
      <c r="R198" s="1">
        <v>6.048</v>
      </c>
      <c r="S198" s="1">
        <v>3</v>
      </c>
      <c r="T198" s="3">
        <v>0.2</v>
      </c>
      <c r="U198" s="4">
        <v>1.5875999999999999</v>
      </c>
      <c r="V198" s="1" t="str">
        <f t="shared" si="30"/>
        <v>Standard Class</v>
      </c>
      <c r="W198" s="1" t="str">
        <f t="shared" si="31"/>
        <v>Consumer</v>
      </c>
      <c r="X198" s="1" t="str">
        <f t="shared" si="32"/>
        <v>Hamilton - Ohio</v>
      </c>
      <c r="Y198" s="1" t="str">
        <f t="shared" si="33"/>
        <v>Art</v>
      </c>
      <c r="Z198" s="1">
        <f t="shared" si="34"/>
        <v>6.048</v>
      </c>
      <c r="AA198" s="1">
        <f t="shared" si="35"/>
        <v>6.048</v>
      </c>
      <c r="AB198" s="1">
        <f t="shared" si="36"/>
        <v>18.143999999999998</v>
      </c>
      <c r="AC198" s="4">
        <f t="shared" si="37"/>
        <v>14.5152</v>
      </c>
      <c r="AD198" s="1" t="s">
        <v>2013</v>
      </c>
      <c r="AE198" s="1" t="str">
        <f t="shared" si="38"/>
        <v>2014</v>
      </c>
      <c r="AF198" s="1" t="str">
        <f t="shared" si="39"/>
        <v>140004</v>
      </c>
    </row>
    <row r="199" spans="1:32" x14ac:dyDescent="0.3">
      <c r="A199" s="1">
        <v>198</v>
      </c>
      <c r="B199" s="1" t="s">
        <v>784</v>
      </c>
      <c r="C199" s="2">
        <v>43045</v>
      </c>
      <c r="D199" s="2">
        <v>43052</v>
      </c>
      <c r="E199" s="1" t="s">
        <v>48</v>
      </c>
      <c r="F199" s="1" t="s">
        <v>785</v>
      </c>
      <c r="G199" s="1" t="s">
        <v>786</v>
      </c>
      <c r="H199" s="1" t="s">
        <v>100</v>
      </c>
      <c r="I199" s="1" t="s">
        <v>25</v>
      </c>
      <c r="J199" s="1" t="s">
        <v>787</v>
      </c>
      <c r="K199" s="1" t="s">
        <v>788</v>
      </c>
      <c r="L199" s="1">
        <v>7090</v>
      </c>
      <c r="M199" s="1" t="s">
        <v>146</v>
      </c>
      <c r="N199" s="1" t="s">
        <v>789</v>
      </c>
      <c r="O199" s="1" t="s">
        <v>44</v>
      </c>
      <c r="P199" s="1" t="s">
        <v>57</v>
      </c>
      <c r="Q199" s="1" t="s">
        <v>790</v>
      </c>
      <c r="R199" s="1">
        <v>46.26</v>
      </c>
      <c r="S199" s="1">
        <v>3</v>
      </c>
      <c r="T199" s="3">
        <v>0</v>
      </c>
      <c r="U199" s="4">
        <v>12.0276</v>
      </c>
      <c r="V199" s="1" t="str">
        <f t="shared" si="30"/>
        <v>Standard Class</v>
      </c>
      <c r="W199" s="1" t="str">
        <f t="shared" si="31"/>
        <v>Home Office</v>
      </c>
      <c r="X199" s="1" t="str">
        <f t="shared" si="32"/>
        <v>Westfield - New Jersey</v>
      </c>
      <c r="Y199" s="1" t="str">
        <f t="shared" si="33"/>
        <v>Storage</v>
      </c>
      <c r="Z199" s="1">
        <f t="shared" si="34"/>
        <v>46.26</v>
      </c>
      <c r="AA199" s="1">
        <f t="shared" si="35"/>
        <v>46.26</v>
      </c>
      <c r="AB199" s="1">
        <f t="shared" si="36"/>
        <v>138.78</v>
      </c>
      <c r="AC199" s="4">
        <f t="shared" si="37"/>
        <v>138.78</v>
      </c>
      <c r="AD199" s="1" t="s">
        <v>2013</v>
      </c>
      <c r="AE199" s="1" t="str">
        <f t="shared" si="38"/>
        <v>2017</v>
      </c>
      <c r="AF199" s="1" t="str">
        <f t="shared" si="39"/>
        <v>107720</v>
      </c>
    </row>
    <row r="200" spans="1:32" x14ac:dyDescent="0.3">
      <c r="A200" s="1">
        <v>199</v>
      </c>
      <c r="B200" s="1" t="s">
        <v>791</v>
      </c>
      <c r="C200" s="2">
        <v>42922</v>
      </c>
      <c r="D200" s="2">
        <v>42929</v>
      </c>
      <c r="E200" s="1" t="s">
        <v>48</v>
      </c>
      <c r="F200" s="1" t="s">
        <v>792</v>
      </c>
      <c r="G200" s="1" t="s">
        <v>793</v>
      </c>
      <c r="H200" s="1" t="s">
        <v>39</v>
      </c>
      <c r="I200" s="1" t="s">
        <v>25</v>
      </c>
      <c r="J200" s="1" t="s">
        <v>144</v>
      </c>
      <c r="K200" s="1" t="s">
        <v>145</v>
      </c>
      <c r="L200" s="1">
        <v>19120</v>
      </c>
      <c r="M200" s="1" t="s">
        <v>146</v>
      </c>
      <c r="N200" s="1" t="s">
        <v>794</v>
      </c>
      <c r="O200" s="1" t="s">
        <v>44</v>
      </c>
      <c r="P200" s="1" t="s">
        <v>73</v>
      </c>
      <c r="Q200" s="1" t="s">
        <v>795</v>
      </c>
      <c r="R200" s="1">
        <v>2.9460000000000002</v>
      </c>
      <c r="S200" s="1">
        <v>2</v>
      </c>
      <c r="T200" s="3">
        <v>0.7</v>
      </c>
      <c r="U200" s="4">
        <v>-2.2585999999999999</v>
      </c>
      <c r="V200" s="1" t="str">
        <f t="shared" si="30"/>
        <v>Standard Class</v>
      </c>
      <c r="W200" s="1" t="str">
        <f t="shared" si="31"/>
        <v>Corporate</v>
      </c>
      <c r="X200" s="1" t="str">
        <f t="shared" si="32"/>
        <v>Philadelphia - Pennsylvania</v>
      </c>
      <c r="Y200" s="1" t="str">
        <f t="shared" si="33"/>
        <v>Binders</v>
      </c>
      <c r="Z200" s="1">
        <f t="shared" si="34"/>
        <v>2.9460000000000002</v>
      </c>
      <c r="AA200" s="1">
        <f t="shared" si="35"/>
        <v>2.9460000000000002</v>
      </c>
      <c r="AB200" s="1">
        <f t="shared" si="36"/>
        <v>5.8920000000000003</v>
      </c>
      <c r="AC200" s="4">
        <f t="shared" si="37"/>
        <v>1.7676000000000003</v>
      </c>
      <c r="AD200" s="1" t="s">
        <v>2014</v>
      </c>
      <c r="AE200" s="1" t="str">
        <f t="shared" si="38"/>
        <v>2017</v>
      </c>
      <c r="AF200" s="1" t="str">
        <f t="shared" si="39"/>
        <v>124303</v>
      </c>
    </row>
    <row r="201" spans="1:32" x14ac:dyDescent="0.3">
      <c r="A201" s="1">
        <v>200</v>
      </c>
      <c r="B201" s="1" t="s">
        <v>791</v>
      </c>
      <c r="C201" s="2">
        <v>42922</v>
      </c>
      <c r="D201" s="2">
        <v>42929</v>
      </c>
      <c r="E201" s="1" t="s">
        <v>48</v>
      </c>
      <c r="F201" s="1" t="s">
        <v>792</v>
      </c>
      <c r="G201" s="1" t="s">
        <v>793</v>
      </c>
      <c r="H201" s="1" t="s">
        <v>39</v>
      </c>
      <c r="I201" s="1" t="s">
        <v>25</v>
      </c>
      <c r="J201" s="1" t="s">
        <v>144</v>
      </c>
      <c r="K201" s="1" t="s">
        <v>145</v>
      </c>
      <c r="L201" s="1">
        <v>19120</v>
      </c>
      <c r="M201" s="1" t="s">
        <v>146</v>
      </c>
      <c r="N201" s="1" t="s">
        <v>796</v>
      </c>
      <c r="O201" s="1" t="s">
        <v>44</v>
      </c>
      <c r="P201" s="1" t="s">
        <v>88</v>
      </c>
      <c r="Q201" s="1" t="s">
        <v>797</v>
      </c>
      <c r="R201" s="1">
        <v>16.056000000000001</v>
      </c>
      <c r="S201" s="1">
        <v>3</v>
      </c>
      <c r="T201" s="3">
        <v>0.2</v>
      </c>
      <c r="U201" s="4">
        <v>5.8202999999999996</v>
      </c>
      <c r="V201" s="1" t="str">
        <f t="shared" si="30"/>
        <v>Standard Class</v>
      </c>
      <c r="W201" s="1" t="str">
        <f t="shared" si="31"/>
        <v>Corporate</v>
      </c>
      <c r="X201" s="1" t="str">
        <f t="shared" si="32"/>
        <v>Philadelphia - Pennsylvania</v>
      </c>
      <c r="Y201" s="1" t="str">
        <f t="shared" si="33"/>
        <v>Paper</v>
      </c>
      <c r="Z201" s="1">
        <f t="shared" si="34"/>
        <v>16.056000000000001</v>
      </c>
      <c r="AA201" s="1">
        <f t="shared" si="35"/>
        <v>16.056000000000001</v>
      </c>
      <c r="AB201" s="1">
        <f t="shared" si="36"/>
        <v>48.168000000000006</v>
      </c>
      <c r="AC201" s="4">
        <f t="shared" si="37"/>
        <v>38.534400000000005</v>
      </c>
      <c r="AD201" s="1" t="s">
        <v>2014</v>
      </c>
      <c r="AE201" s="1" t="str">
        <f t="shared" si="38"/>
        <v>2017</v>
      </c>
      <c r="AF201" s="1" t="str">
        <f t="shared" si="39"/>
        <v>124303</v>
      </c>
    </row>
    <row r="202" spans="1:32" x14ac:dyDescent="0.3">
      <c r="A202" s="1">
        <v>201</v>
      </c>
      <c r="B202" s="1" t="s">
        <v>798</v>
      </c>
      <c r="C202" s="2">
        <v>42910</v>
      </c>
      <c r="D202" s="2">
        <v>42915</v>
      </c>
      <c r="E202" s="1" t="s">
        <v>48</v>
      </c>
      <c r="F202" s="1" t="s">
        <v>799</v>
      </c>
      <c r="G202" s="1" t="s">
        <v>800</v>
      </c>
      <c r="H202" s="1" t="s">
        <v>24</v>
      </c>
      <c r="I202" s="1" t="s">
        <v>25</v>
      </c>
      <c r="J202" s="1" t="s">
        <v>801</v>
      </c>
      <c r="K202" s="1" t="s">
        <v>496</v>
      </c>
      <c r="L202" s="1">
        <v>44312</v>
      </c>
      <c r="M202" s="1" t="s">
        <v>146</v>
      </c>
      <c r="N202" s="1" t="s">
        <v>802</v>
      </c>
      <c r="O202" s="1" t="s">
        <v>44</v>
      </c>
      <c r="P202" s="1" t="s">
        <v>88</v>
      </c>
      <c r="Q202" s="1" t="s">
        <v>803</v>
      </c>
      <c r="R202" s="1">
        <v>21.744</v>
      </c>
      <c r="S202" s="1">
        <v>3</v>
      </c>
      <c r="T202" s="3">
        <v>0.2</v>
      </c>
      <c r="U202" s="4">
        <v>6.7949999999999999</v>
      </c>
      <c r="V202" s="1" t="str">
        <f t="shared" si="30"/>
        <v>Standard Class</v>
      </c>
      <c r="W202" s="1" t="str">
        <f t="shared" si="31"/>
        <v>Consumer</v>
      </c>
      <c r="X202" s="1" t="str">
        <f t="shared" si="32"/>
        <v>Akron - Ohio</v>
      </c>
      <c r="Y202" s="1" t="str">
        <f t="shared" si="33"/>
        <v>Paper</v>
      </c>
      <c r="Z202" s="1">
        <f t="shared" si="34"/>
        <v>21.744</v>
      </c>
      <c r="AA202" s="1">
        <f t="shared" si="35"/>
        <v>21.744</v>
      </c>
      <c r="AB202" s="1">
        <f t="shared" si="36"/>
        <v>65.231999999999999</v>
      </c>
      <c r="AC202" s="4">
        <f t="shared" si="37"/>
        <v>52.185600000000001</v>
      </c>
      <c r="AD202" s="1" t="s">
        <v>2013</v>
      </c>
      <c r="AE202" s="1" t="str">
        <f t="shared" si="38"/>
        <v>2017</v>
      </c>
      <c r="AF202" s="1" t="str">
        <f t="shared" si="39"/>
        <v>105074</v>
      </c>
    </row>
    <row r="203" spans="1:32" x14ac:dyDescent="0.3">
      <c r="A203" s="1">
        <v>202</v>
      </c>
      <c r="B203" s="1" t="s">
        <v>804</v>
      </c>
      <c r="C203" s="2">
        <v>41854</v>
      </c>
      <c r="D203" s="2">
        <v>41856</v>
      </c>
      <c r="E203" s="1" t="s">
        <v>186</v>
      </c>
      <c r="F203" s="1" t="s">
        <v>805</v>
      </c>
      <c r="G203" s="1" t="s">
        <v>806</v>
      </c>
      <c r="H203" s="1" t="s">
        <v>24</v>
      </c>
      <c r="I203" s="1" t="s">
        <v>25</v>
      </c>
      <c r="J203" s="1" t="s">
        <v>807</v>
      </c>
      <c r="K203" s="1" t="s">
        <v>455</v>
      </c>
      <c r="L203" s="1">
        <v>80219</v>
      </c>
      <c r="M203" s="1" t="s">
        <v>42</v>
      </c>
      <c r="N203" s="1" t="s">
        <v>808</v>
      </c>
      <c r="O203" s="1" t="s">
        <v>30</v>
      </c>
      <c r="P203" s="1" t="s">
        <v>54</v>
      </c>
      <c r="Q203" s="1" t="s">
        <v>809</v>
      </c>
      <c r="R203" s="1">
        <v>218.75</v>
      </c>
      <c r="S203" s="1">
        <v>2</v>
      </c>
      <c r="T203" s="3">
        <v>0.5</v>
      </c>
      <c r="U203" s="4">
        <v>-161.875</v>
      </c>
      <c r="V203" s="1" t="str">
        <f t="shared" si="30"/>
        <v>First Class</v>
      </c>
      <c r="W203" s="1" t="str">
        <f t="shared" si="31"/>
        <v>Consumer</v>
      </c>
      <c r="X203" s="1" t="str">
        <f t="shared" si="32"/>
        <v>Denver - Colorado</v>
      </c>
      <c r="Y203" s="1" t="str">
        <f t="shared" si="33"/>
        <v>Tables</v>
      </c>
      <c r="Z203" s="1">
        <f t="shared" si="34"/>
        <v>218.75</v>
      </c>
      <c r="AA203" s="1">
        <f t="shared" si="35"/>
        <v>218.75</v>
      </c>
      <c r="AB203" s="1">
        <f t="shared" si="36"/>
        <v>437.5</v>
      </c>
      <c r="AC203" s="4">
        <f t="shared" si="37"/>
        <v>218.75</v>
      </c>
      <c r="AD203" s="1" t="s">
        <v>2013</v>
      </c>
      <c r="AE203" s="1" t="str">
        <f t="shared" si="38"/>
        <v>2014</v>
      </c>
      <c r="AF203" s="1" t="str">
        <f t="shared" si="39"/>
        <v>133690</v>
      </c>
    </row>
    <row r="204" spans="1:32" x14ac:dyDescent="0.3">
      <c r="A204" s="1">
        <v>203</v>
      </c>
      <c r="B204" s="1" t="s">
        <v>804</v>
      </c>
      <c r="C204" s="2">
        <v>41854</v>
      </c>
      <c r="D204" s="2">
        <v>41856</v>
      </c>
      <c r="E204" s="1" t="s">
        <v>186</v>
      </c>
      <c r="F204" s="1" t="s">
        <v>805</v>
      </c>
      <c r="G204" s="1" t="s">
        <v>806</v>
      </c>
      <c r="H204" s="1" t="s">
        <v>24</v>
      </c>
      <c r="I204" s="1" t="s">
        <v>25</v>
      </c>
      <c r="J204" s="1" t="s">
        <v>807</v>
      </c>
      <c r="K204" s="1" t="s">
        <v>455</v>
      </c>
      <c r="L204" s="1">
        <v>80219</v>
      </c>
      <c r="M204" s="1" t="s">
        <v>42</v>
      </c>
      <c r="N204" s="1" t="s">
        <v>810</v>
      </c>
      <c r="O204" s="1" t="s">
        <v>44</v>
      </c>
      <c r="P204" s="1" t="s">
        <v>76</v>
      </c>
      <c r="Q204" s="1" t="s">
        <v>811</v>
      </c>
      <c r="R204" s="1">
        <v>2.6</v>
      </c>
      <c r="S204" s="1">
        <v>1</v>
      </c>
      <c r="T204" s="3">
        <v>0.2</v>
      </c>
      <c r="U204" s="4">
        <v>0.29249999999999998</v>
      </c>
      <c r="V204" s="1" t="str">
        <f t="shared" si="30"/>
        <v>First Class</v>
      </c>
      <c r="W204" s="1" t="str">
        <f t="shared" si="31"/>
        <v>Consumer</v>
      </c>
      <c r="X204" s="1" t="str">
        <f t="shared" si="32"/>
        <v>Denver - Colorado</v>
      </c>
      <c r="Y204" s="1" t="str">
        <f t="shared" si="33"/>
        <v>Appliances</v>
      </c>
      <c r="Z204" s="1">
        <f t="shared" si="34"/>
        <v>2.6</v>
      </c>
      <c r="AA204" s="1">
        <f t="shared" si="35"/>
        <v>2.6</v>
      </c>
      <c r="AB204" s="1">
        <f t="shared" si="36"/>
        <v>2.6</v>
      </c>
      <c r="AC204" s="4">
        <f t="shared" si="37"/>
        <v>2.08</v>
      </c>
      <c r="AD204" s="1" t="s">
        <v>2013</v>
      </c>
      <c r="AE204" s="1" t="str">
        <f t="shared" si="38"/>
        <v>2014</v>
      </c>
      <c r="AF204" s="1" t="str">
        <f t="shared" si="39"/>
        <v>133690</v>
      </c>
    </row>
    <row r="205" spans="1:32" x14ac:dyDescent="0.3">
      <c r="A205" s="1">
        <v>204</v>
      </c>
      <c r="B205" s="1" t="s">
        <v>812</v>
      </c>
      <c r="C205" s="2">
        <v>43086</v>
      </c>
      <c r="D205" s="2">
        <v>43090</v>
      </c>
      <c r="E205" s="1" t="s">
        <v>21</v>
      </c>
      <c r="F205" s="1" t="s">
        <v>813</v>
      </c>
      <c r="G205" s="1" t="s">
        <v>814</v>
      </c>
      <c r="H205" s="1" t="s">
        <v>24</v>
      </c>
      <c r="I205" s="1" t="s">
        <v>25</v>
      </c>
      <c r="J205" s="1" t="s">
        <v>815</v>
      </c>
      <c r="K205" s="1" t="s">
        <v>102</v>
      </c>
      <c r="L205" s="1">
        <v>75220</v>
      </c>
      <c r="M205" s="1" t="s">
        <v>103</v>
      </c>
      <c r="N205" s="1" t="s">
        <v>816</v>
      </c>
      <c r="O205" s="1" t="s">
        <v>44</v>
      </c>
      <c r="P205" s="1" t="s">
        <v>76</v>
      </c>
      <c r="Q205" s="1" t="s">
        <v>817</v>
      </c>
      <c r="R205" s="1">
        <v>66.284000000000006</v>
      </c>
      <c r="S205" s="1">
        <v>2</v>
      </c>
      <c r="T205" s="3">
        <v>0.8</v>
      </c>
      <c r="U205" s="4">
        <v>-178.96680000000001</v>
      </c>
      <c r="V205" s="1" t="str">
        <f t="shared" si="30"/>
        <v>Second Class</v>
      </c>
      <c r="W205" s="1" t="str">
        <f t="shared" si="31"/>
        <v>Consumer</v>
      </c>
      <c r="X205" s="1" t="str">
        <f t="shared" si="32"/>
        <v>Dallas - Texas</v>
      </c>
      <c r="Y205" s="1" t="str">
        <f t="shared" si="33"/>
        <v>Appliances</v>
      </c>
      <c r="Z205" s="1">
        <f t="shared" si="34"/>
        <v>66.284000000000006</v>
      </c>
      <c r="AA205" s="1">
        <f t="shared" si="35"/>
        <v>66.284000000000006</v>
      </c>
      <c r="AB205" s="1">
        <f t="shared" si="36"/>
        <v>132.56800000000001</v>
      </c>
      <c r="AC205" s="4">
        <f t="shared" si="37"/>
        <v>26.513599999999997</v>
      </c>
      <c r="AD205" s="1" t="s">
        <v>2014</v>
      </c>
      <c r="AE205" s="1" t="str">
        <f t="shared" si="38"/>
        <v>2017</v>
      </c>
      <c r="AF205" s="1" t="str">
        <f t="shared" si="39"/>
        <v>116701</v>
      </c>
    </row>
    <row r="206" spans="1:32" x14ac:dyDescent="0.3">
      <c r="A206" s="1">
        <v>205</v>
      </c>
      <c r="B206" s="1" t="s">
        <v>818</v>
      </c>
      <c r="C206" s="2">
        <v>42889</v>
      </c>
      <c r="D206" s="2">
        <v>42893</v>
      </c>
      <c r="E206" s="1" t="s">
        <v>48</v>
      </c>
      <c r="F206" s="1" t="s">
        <v>819</v>
      </c>
      <c r="G206" s="1" t="s">
        <v>820</v>
      </c>
      <c r="H206" s="1" t="s">
        <v>39</v>
      </c>
      <c r="I206" s="1" t="s">
        <v>25</v>
      </c>
      <c r="J206" s="1" t="s">
        <v>611</v>
      </c>
      <c r="K206" s="1" t="s">
        <v>333</v>
      </c>
      <c r="L206" s="1">
        <v>37064</v>
      </c>
      <c r="M206" s="1" t="s">
        <v>28</v>
      </c>
      <c r="N206" s="1" t="s">
        <v>821</v>
      </c>
      <c r="O206" s="1" t="s">
        <v>30</v>
      </c>
      <c r="P206" s="1" t="s">
        <v>63</v>
      </c>
      <c r="Q206" s="1" t="s">
        <v>822</v>
      </c>
      <c r="R206" s="1">
        <v>35.167999999999999</v>
      </c>
      <c r="S206" s="1">
        <v>7</v>
      </c>
      <c r="T206" s="3">
        <v>0.2</v>
      </c>
      <c r="U206" s="4">
        <v>9.6712000000000007</v>
      </c>
      <c r="V206" s="1" t="str">
        <f t="shared" si="30"/>
        <v>Standard Class</v>
      </c>
      <c r="W206" s="1" t="str">
        <f t="shared" si="31"/>
        <v>Corporate</v>
      </c>
      <c r="X206" s="1" t="str">
        <f t="shared" si="32"/>
        <v>Franklin - Tennessee</v>
      </c>
      <c r="Y206" s="1" t="str">
        <f t="shared" si="33"/>
        <v>Furnishings</v>
      </c>
      <c r="Z206" s="1">
        <f t="shared" si="34"/>
        <v>35.167999999999999</v>
      </c>
      <c r="AA206" s="1">
        <f t="shared" si="35"/>
        <v>35.167999999999999</v>
      </c>
      <c r="AB206" s="1">
        <f t="shared" si="36"/>
        <v>246.17599999999999</v>
      </c>
      <c r="AC206" s="4">
        <f t="shared" si="37"/>
        <v>196.9408</v>
      </c>
      <c r="AD206" s="1" t="s">
        <v>2013</v>
      </c>
      <c r="AE206" s="1" t="str">
        <f t="shared" si="38"/>
        <v>2017</v>
      </c>
      <c r="AF206" s="1" t="str">
        <f t="shared" si="39"/>
        <v>126382</v>
      </c>
    </row>
    <row r="207" spans="1:32" x14ac:dyDescent="0.3">
      <c r="A207" s="1">
        <v>206</v>
      </c>
      <c r="B207" s="1" t="s">
        <v>823</v>
      </c>
      <c r="C207" s="2">
        <v>43078</v>
      </c>
      <c r="D207" s="2">
        <v>43083</v>
      </c>
      <c r="E207" s="1" t="s">
        <v>48</v>
      </c>
      <c r="F207" s="1" t="s">
        <v>824</v>
      </c>
      <c r="G207" s="1" t="s">
        <v>825</v>
      </c>
      <c r="H207" s="1" t="s">
        <v>24</v>
      </c>
      <c r="I207" s="1" t="s">
        <v>25</v>
      </c>
      <c r="J207" s="1" t="s">
        <v>826</v>
      </c>
      <c r="K207" s="1" t="s">
        <v>41</v>
      </c>
      <c r="L207" s="1">
        <v>90604</v>
      </c>
      <c r="M207" s="1" t="s">
        <v>42</v>
      </c>
      <c r="N207" s="1" t="s">
        <v>827</v>
      </c>
      <c r="O207" s="1" t="s">
        <v>69</v>
      </c>
      <c r="P207" s="1" t="s">
        <v>70</v>
      </c>
      <c r="Q207" s="1" t="s">
        <v>828</v>
      </c>
      <c r="R207" s="1">
        <v>444.76799999999997</v>
      </c>
      <c r="S207" s="1">
        <v>4</v>
      </c>
      <c r="T207" s="3">
        <v>0.2</v>
      </c>
      <c r="U207" s="4">
        <v>44.476799999999997</v>
      </c>
      <c r="V207" s="1" t="str">
        <f t="shared" si="30"/>
        <v>Standard Class</v>
      </c>
      <c r="W207" s="1" t="str">
        <f t="shared" si="31"/>
        <v>Consumer</v>
      </c>
      <c r="X207" s="1" t="str">
        <f t="shared" si="32"/>
        <v>Whittier - California</v>
      </c>
      <c r="Y207" s="1" t="str">
        <f t="shared" si="33"/>
        <v>Phones</v>
      </c>
      <c r="Z207" s="1">
        <f t="shared" si="34"/>
        <v>444.76799999999997</v>
      </c>
      <c r="AA207" s="1">
        <f t="shared" si="35"/>
        <v>444.76799999999997</v>
      </c>
      <c r="AB207" s="1">
        <f t="shared" si="36"/>
        <v>1779.0719999999999</v>
      </c>
      <c r="AC207" s="4">
        <f t="shared" si="37"/>
        <v>1423.2575999999999</v>
      </c>
      <c r="AD207" s="1" t="s">
        <v>2013</v>
      </c>
      <c r="AE207" s="1" t="str">
        <f t="shared" si="38"/>
        <v>2017</v>
      </c>
      <c r="AF207" s="1" t="str">
        <f t="shared" si="39"/>
        <v>108329</v>
      </c>
    </row>
    <row r="208" spans="1:32" x14ac:dyDescent="0.3">
      <c r="A208" s="1">
        <v>207</v>
      </c>
      <c r="B208" s="1" t="s">
        <v>829</v>
      </c>
      <c r="C208" s="2">
        <v>43070</v>
      </c>
      <c r="D208" s="2">
        <v>43076</v>
      </c>
      <c r="E208" s="1" t="s">
        <v>48</v>
      </c>
      <c r="F208" s="1" t="s">
        <v>830</v>
      </c>
      <c r="G208" s="1" t="s">
        <v>831</v>
      </c>
      <c r="H208" s="1" t="s">
        <v>24</v>
      </c>
      <c r="I208" s="1" t="s">
        <v>25</v>
      </c>
      <c r="J208" s="1" t="s">
        <v>832</v>
      </c>
      <c r="K208" s="1" t="s">
        <v>236</v>
      </c>
      <c r="L208" s="1">
        <v>48601</v>
      </c>
      <c r="M208" s="1" t="s">
        <v>103</v>
      </c>
      <c r="N208" s="1" t="s">
        <v>833</v>
      </c>
      <c r="O208" s="1" t="s">
        <v>44</v>
      </c>
      <c r="P208" s="1" t="s">
        <v>57</v>
      </c>
      <c r="Q208" s="1" t="s">
        <v>834</v>
      </c>
      <c r="R208" s="1">
        <v>83.92</v>
      </c>
      <c r="S208" s="1">
        <v>4</v>
      </c>
      <c r="T208" s="3">
        <v>0</v>
      </c>
      <c r="U208" s="4">
        <v>5.8743999999999996</v>
      </c>
      <c r="V208" s="1" t="str">
        <f t="shared" si="30"/>
        <v>Standard Class</v>
      </c>
      <c r="W208" s="1" t="str">
        <f t="shared" si="31"/>
        <v>Consumer</v>
      </c>
      <c r="X208" s="1" t="str">
        <f t="shared" si="32"/>
        <v>Saginaw - Michigan</v>
      </c>
      <c r="Y208" s="1" t="str">
        <f t="shared" si="33"/>
        <v>Storage</v>
      </c>
      <c r="Z208" s="1">
        <f t="shared" si="34"/>
        <v>83.92</v>
      </c>
      <c r="AA208" s="1">
        <f t="shared" si="35"/>
        <v>83.92</v>
      </c>
      <c r="AB208" s="1">
        <f t="shared" si="36"/>
        <v>335.68</v>
      </c>
      <c r="AC208" s="4">
        <f t="shared" si="37"/>
        <v>335.68</v>
      </c>
      <c r="AD208" s="1" t="s">
        <v>2013</v>
      </c>
      <c r="AE208" s="1" t="str">
        <f t="shared" si="38"/>
        <v>2017</v>
      </c>
      <c r="AF208" s="1" t="str">
        <f t="shared" si="39"/>
        <v>135860</v>
      </c>
    </row>
    <row r="209" spans="1:32" x14ac:dyDescent="0.3">
      <c r="A209" s="1">
        <v>208</v>
      </c>
      <c r="B209" s="1" t="s">
        <v>829</v>
      </c>
      <c r="C209" s="2">
        <v>43070</v>
      </c>
      <c r="D209" s="2">
        <v>43076</v>
      </c>
      <c r="E209" s="1" t="s">
        <v>48</v>
      </c>
      <c r="F209" s="1" t="s">
        <v>830</v>
      </c>
      <c r="G209" s="1" t="s">
        <v>831</v>
      </c>
      <c r="H209" s="1" t="s">
        <v>24</v>
      </c>
      <c r="I209" s="1" t="s">
        <v>25</v>
      </c>
      <c r="J209" s="1" t="s">
        <v>832</v>
      </c>
      <c r="K209" s="1" t="s">
        <v>236</v>
      </c>
      <c r="L209" s="1">
        <v>48601</v>
      </c>
      <c r="M209" s="1" t="s">
        <v>103</v>
      </c>
      <c r="N209" s="1" t="s">
        <v>835</v>
      </c>
      <c r="O209" s="1" t="s">
        <v>69</v>
      </c>
      <c r="P209" s="1" t="s">
        <v>70</v>
      </c>
      <c r="Q209" s="1" t="s">
        <v>836</v>
      </c>
      <c r="R209" s="1">
        <v>131.97999999999999</v>
      </c>
      <c r="S209" s="1">
        <v>2</v>
      </c>
      <c r="T209" s="3">
        <v>0</v>
      </c>
      <c r="U209" s="4">
        <v>35.634599999999999</v>
      </c>
      <c r="V209" s="1" t="str">
        <f t="shared" si="30"/>
        <v>Standard Class</v>
      </c>
      <c r="W209" s="1" t="str">
        <f t="shared" si="31"/>
        <v>Consumer</v>
      </c>
      <c r="X209" s="1" t="str">
        <f t="shared" si="32"/>
        <v>Saginaw - Michigan</v>
      </c>
      <c r="Y209" s="1" t="str">
        <f t="shared" si="33"/>
        <v>Phones</v>
      </c>
      <c r="Z209" s="1">
        <f t="shared" si="34"/>
        <v>131.97999999999999</v>
      </c>
      <c r="AA209" s="1">
        <f t="shared" si="35"/>
        <v>131.97999999999999</v>
      </c>
      <c r="AB209" s="1">
        <f t="shared" si="36"/>
        <v>263.95999999999998</v>
      </c>
      <c r="AC209" s="4">
        <f t="shared" si="37"/>
        <v>263.95999999999998</v>
      </c>
      <c r="AD209" s="1" t="s">
        <v>2013</v>
      </c>
      <c r="AE209" s="1" t="str">
        <f t="shared" si="38"/>
        <v>2017</v>
      </c>
      <c r="AF209" s="1" t="str">
        <f t="shared" si="39"/>
        <v>135860</v>
      </c>
    </row>
    <row r="210" spans="1:32" x14ac:dyDescent="0.3">
      <c r="A210" s="1">
        <v>209</v>
      </c>
      <c r="B210" s="1" t="s">
        <v>829</v>
      </c>
      <c r="C210" s="2">
        <v>43070</v>
      </c>
      <c r="D210" s="2">
        <v>43076</v>
      </c>
      <c r="E210" s="1" t="s">
        <v>48</v>
      </c>
      <c r="F210" s="1" t="s">
        <v>830</v>
      </c>
      <c r="G210" s="1" t="s">
        <v>831</v>
      </c>
      <c r="H210" s="1" t="s">
        <v>24</v>
      </c>
      <c r="I210" s="1" t="s">
        <v>25</v>
      </c>
      <c r="J210" s="1" t="s">
        <v>832</v>
      </c>
      <c r="K210" s="1" t="s">
        <v>236</v>
      </c>
      <c r="L210" s="1">
        <v>48601</v>
      </c>
      <c r="M210" s="1" t="s">
        <v>103</v>
      </c>
      <c r="N210" s="1" t="s">
        <v>543</v>
      </c>
      <c r="O210" s="1" t="s">
        <v>44</v>
      </c>
      <c r="P210" s="1" t="s">
        <v>73</v>
      </c>
      <c r="Q210" s="1" t="s">
        <v>544</v>
      </c>
      <c r="R210" s="1">
        <v>15.92</v>
      </c>
      <c r="S210" s="1">
        <v>4</v>
      </c>
      <c r="T210" s="3">
        <v>0</v>
      </c>
      <c r="U210" s="4">
        <v>7.4824000000000002</v>
      </c>
      <c r="V210" s="1" t="str">
        <f t="shared" si="30"/>
        <v>Standard Class</v>
      </c>
      <c r="W210" s="1" t="str">
        <f t="shared" si="31"/>
        <v>Consumer</v>
      </c>
      <c r="X210" s="1" t="str">
        <f t="shared" si="32"/>
        <v>Saginaw - Michigan</v>
      </c>
      <c r="Y210" s="1" t="str">
        <f t="shared" si="33"/>
        <v>Binders</v>
      </c>
      <c r="Z210" s="1">
        <f t="shared" si="34"/>
        <v>15.92</v>
      </c>
      <c r="AA210" s="1">
        <f t="shared" si="35"/>
        <v>15.92</v>
      </c>
      <c r="AB210" s="1">
        <f t="shared" si="36"/>
        <v>63.68</v>
      </c>
      <c r="AC210" s="4">
        <f t="shared" si="37"/>
        <v>63.68</v>
      </c>
      <c r="AD210" s="1" t="s">
        <v>2013</v>
      </c>
      <c r="AE210" s="1" t="str">
        <f t="shared" si="38"/>
        <v>2017</v>
      </c>
      <c r="AF210" s="1" t="str">
        <f t="shared" si="39"/>
        <v>135860</v>
      </c>
    </row>
    <row r="211" spans="1:32" x14ac:dyDescent="0.3">
      <c r="A211" s="1">
        <v>210</v>
      </c>
      <c r="B211" s="1" t="s">
        <v>829</v>
      </c>
      <c r="C211" s="2">
        <v>43070</v>
      </c>
      <c r="D211" s="2">
        <v>43076</v>
      </c>
      <c r="E211" s="1" t="s">
        <v>48</v>
      </c>
      <c r="F211" s="1" t="s">
        <v>830</v>
      </c>
      <c r="G211" s="1" t="s">
        <v>831</v>
      </c>
      <c r="H211" s="1" t="s">
        <v>24</v>
      </c>
      <c r="I211" s="1" t="s">
        <v>25</v>
      </c>
      <c r="J211" s="1" t="s">
        <v>832</v>
      </c>
      <c r="K211" s="1" t="s">
        <v>236</v>
      </c>
      <c r="L211" s="1">
        <v>48601</v>
      </c>
      <c r="M211" s="1" t="s">
        <v>103</v>
      </c>
      <c r="N211" s="1" t="s">
        <v>837</v>
      </c>
      <c r="O211" s="1" t="s">
        <v>44</v>
      </c>
      <c r="P211" s="1" t="s">
        <v>267</v>
      </c>
      <c r="Q211" s="1" t="s">
        <v>838</v>
      </c>
      <c r="R211" s="1">
        <v>52.29</v>
      </c>
      <c r="S211" s="1">
        <v>9</v>
      </c>
      <c r="T211" s="3">
        <v>0</v>
      </c>
      <c r="U211" s="4">
        <v>16.209900000000001</v>
      </c>
      <c r="V211" s="1" t="str">
        <f t="shared" si="30"/>
        <v>Standard Class</v>
      </c>
      <c r="W211" s="1" t="str">
        <f t="shared" si="31"/>
        <v>Consumer</v>
      </c>
      <c r="X211" s="1" t="str">
        <f t="shared" si="32"/>
        <v>Saginaw - Michigan</v>
      </c>
      <c r="Y211" s="1" t="str">
        <f t="shared" si="33"/>
        <v>Fasteners</v>
      </c>
      <c r="Z211" s="1">
        <f t="shared" si="34"/>
        <v>52.29</v>
      </c>
      <c r="AA211" s="1">
        <f t="shared" si="35"/>
        <v>52.29</v>
      </c>
      <c r="AB211" s="1">
        <f t="shared" si="36"/>
        <v>470.61</v>
      </c>
      <c r="AC211" s="4">
        <f t="shared" si="37"/>
        <v>470.61</v>
      </c>
      <c r="AD211" s="1" t="s">
        <v>2013</v>
      </c>
      <c r="AE211" s="1" t="str">
        <f t="shared" si="38"/>
        <v>2017</v>
      </c>
      <c r="AF211" s="1" t="str">
        <f t="shared" si="39"/>
        <v>135860</v>
      </c>
    </row>
    <row r="212" spans="1:32" x14ac:dyDescent="0.3">
      <c r="A212" s="1">
        <v>211</v>
      </c>
      <c r="B212" s="1" t="s">
        <v>829</v>
      </c>
      <c r="C212" s="2">
        <v>43070</v>
      </c>
      <c r="D212" s="2">
        <v>43076</v>
      </c>
      <c r="E212" s="1" t="s">
        <v>48</v>
      </c>
      <c r="F212" s="1" t="s">
        <v>830</v>
      </c>
      <c r="G212" s="1" t="s">
        <v>831</v>
      </c>
      <c r="H212" s="1" t="s">
        <v>24</v>
      </c>
      <c r="I212" s="1" t="s">
        <v>25</v>
      </c>
      <c r="J212" s="1" t="s">
        <v>832</v>
      </c>
      <c r="K212" s="1" t="s">
        <v>236</v>
      </c>
      <c r="L212" s="1">
        <v>48601</v>
      </c>
      <c r="M212" s="1" t="s">
        <v>103</v>
      </c>
      <c r="N212" s="1" t="s">
        <v>839</v>
      </c>
      <c r="O212" s="1" t="s">
        <v>44</v>
      </c>
      <c r="P212" s="1" t="s">
        <v>57</v>
      </c>
      <c r="Q212" s="1" t="s">
        <v>840</v>
      </c>
      <c r="R212" s="1">
        <v>91.99</v>
      </c>
      <c r="S212" s="1">
        <v>1</v>
      </c>
      <c r="T212" s="3">
        <v>0</v>
      </c>
      <c r="U212" s="4">
        <v>3.6796000000000002</v>
      </c>
      <c r="V212" s="1" t="str">
        <f t="shared" si="30"/>
        <v>Standard Class</v>
      </c>
      <c r="W212" s="1" t="str">
        <f t="shared" si="31"/>
        <v>Consumer</v>
      </c>
      <c r="X212" s="1" t="str">
        <f t="shared" si="32"/>
        <v>Saginaw - Michigan</v>
      </c>
      <c r="Y212" s="1" t="str">
        <f t="shared" si="33"/>
        <v>Storage</v>
      </c>
      <c r="Z212" s="1">
        <f t="shared" si="34"/>
        <v>91.99</v>
      </c>
      <c r="AA212" s="1">
        <f t="shared" si="35"/>
        <v>91.99</v>
      </c>
      <c r="AB212" s="1">
        <f t="shared" si="36"/>
        <v>91.99</v>
      </c>
      <c r="AC212" s="4">
        <f t="shared" si="37"/>
        <v>91.99</v>
      </c>
      <c r="AD212" s="1" t="s">
        <v>2013</v>
      </c>
      <c r="AE212" s="1" t="str">
        <f t="shared" si="38"/>
        <v>2017</v>
      </c>
      <c r="AF212" s="1" t="str">
        <f t="shared" si="39"/>
        <v>135860</v>
      </c>
    </row>
    <row r="213" spans="1:32" x14ac:dyDescent="0.3">
      <c r="A213" s="1">
        <v>212</v>
      </c>
      <c r="B213" s="1" t="s">
        <v>841</v>
      </c>
      <c r="C213" s="2">
        <v>42044</v>
      </c>
      <c r="D213" s="2">
        <v>42048</v>
      </c>
      <c r="E213" s="1" t="s">
        <v>21</v>
      </c>
      <c r="F213" s="1" t="s">
        <v>842</v>
      </c>
      <c r="G213" s="1" t="s">
        <v>843</v>
      </c>
      <c r="H213" s="1" t="s">
        <v>39</v>
      </c>
      <c r="I213" s="1" t="s">
        <v>25</v>
      </c>
      <c r="J213" s="1" t="s">
        <v>815</v>
      </c>
      <c r="K213" s="1" t="s">
        <v>102</v>
      </c>
      <c r="L213" s="1">
        <v>75220</v>
      </c>
      <c r="M213" s="1" t="s">
        <v>103</v>
      </c>
      <c r="N213" s="1" t="s">
        <v>844</v>
      </c>
      <c r="O213" s="1" t="s">
        <v>69</v>
      </c>
      <c r="P213" s="1" t="s">
        <v>159</v>
      </c>
      <c r="Q213" s="1" t="s">
        <v>845</v>
      </c>
      <c r="R213" s="1">
        <v>20.8</v>
      </c>
      <c r="S213" s="1">
        <v>2</v>
      </c>
      <c r="T213" s="3">
        <v>0.2</v>
      </c>
      <c r="U213" s="4">
        <v>6.5</v>
      </c>
      <c r="V213" s="1" t="str">
        <f t="shared" si="30"/>
        <v>Second Class</v>
      </c>
      <c r="W213" s="1" t="str">
        <f t="shared" si="31"/>
        <v>Corporate</v>
      </c>
      <c r="X213" s="1" t="str">
        <f t="shared" si="32"/>
        <v>Dallas - Texas</v>
      </c>
      <c r="Y213" s="1" t="str">
        <f t="shared" si="33"/>
        <v>Accessories</v>
      </c>
      <c r="Z213" s="1">
        <f t="shared" si="34"/>
        <v>20.8</v>
      </c>
      <c r="AA213" s="1">
        <f t="shared" si="35"/>
        <v>20.8</v>
      </c>
      <c r="AB213" s="1">
        <f t="shared" si="36"/>
        <v>41.6</v>
      </c>
      <c r="AC213" s="4">
        <f t="shared" si="37"/>
        <v>33.28</v>
      </c>
      <c r="AD213" s="1" t="s">
        <v>2013</v>
      </c>
      <c r="AE213" s="1" t="str">
        <f t="shared" si="38"/>
        <v>2015</v>
      </c>
      <c r="AF213" s="1" t="str">
        <f t="shared" si="39"/>
        <v>101007</v>
      </c>
    </row>
    <row r="214" spans="1:32" x14ac:dyDescent="0.3">
      <c r="A214" s="1">
        <v>213</v>
      </c>
      <c r="B214" s="1" t="s">
        <v>846</v>
      </c>
      <c r="C214" s="2">
        <v>42006</v>
      </c>
      <c r="D214" s="2">
        <v>42013</v>
      </c>
      <c r="E214" s="1" t="s">
        <v>48</v>
      </c>
      <c r="F214" s="1" t="s">
        <v>847</v>
      </c>
      <c r="G214" s="1" t="s">
        <v>848</v>
      </c>
      <c r="H214" s="1" t="s">
        <v>39</v>
      </c>
      <c r="I214" s="1" t="s">
        <v>25</v>
      </c>
      <c r="J214" s="1" t="s">
        <v>849</v>
      </c>
      <c r="K214" s="1" t="s">
        <v>496</v>
      </c>
      <c r="L214" s="1">
        <v>44256</v>
      </c>
      <c r="M214" s="1" t="s">
        <v>146</v>
      </c>
      <c r="N214" s="1" t="s">
        <v>850</v>
      </c>
      <c r="O214" s="1" t="s">
        <v>44</v>
      </c>
      <c r="P214" s="1" t="s">
        <v>45</v>
      </c>
      <c r="Q214" s="1" t="s">
        <v>851</v>
      </c>
      <c r="R214" s="1">
        <v>23.68</v>
      </c>
      <c r="S214" s="1">
        <v>2</v>
      </c>
      <c r="T214" s="3">
        <v>0.2</v>
      </c>
      <c r="U214" s="4">
        <v>8.8800000000000008</v>
      </c>
      <c r="V214" s="1" t="str">
        <f t="shared" si="30"/>
        <v>Standard Class</v>
      </c>
      <c r="W214" s="1" t="str">
        <f t="shared" si="31"/>
        <v>Corporate</v>
      </c>
      <c r="X214" s="1" t="str">
        <f t="shared" si="32"/>
        <v>Medina - Ohio</v>
      </c>
      <c r="Y214" s="1" t="str">
        <f t="shared" si="33"/>
        <v>Labels</v>
      </c>
      <c r="Z214" s="1">
        <f t="shared" si="34"/>
        <v>23.68</v>
      </c>
      <c r="AA214" s="1">
        <f t="shared" si="35"/>
        <v>23.68</v>
      </c>
      <c r="AB214" s="1">
        <f t="shared" si="36"/>
        <v>47.36</v>
      </c>
      <c r="AC214" s="4">
        <f t="shared" si="37"/>
        <v>37.887999999999998</v>
      </c>
      <c r="AD214" s="1" t="s">
        <v>2013</v>
      </c>
      <c r="AE214" s="1" t="str">
        <f t="shared" si="38"/>
        <v>2015</v>
      </c>
      <c r="AF214" s="1" t="str">
        <f t="shared" si="39"/>
        <v>146262</v>
      </c>
    </row>
    <row r="215" spans="1:32" x14ac:dyDescent="0.3">
      <c r="A215" s="1">
        <v>214</v>
      </c>
      <c r="B215" s="1" t="s">
        <v>846</v>
      </c>
      <c r="C215" s="2">
        <v>42006</v>
      </c>
      <c r="D215" s="2">
        <v>42013</v>
      </c>
      <c r="E215" s="1" t="s">
        <v>48</v>
      </c>
      <c r="F215" s="1" t="s">
        <v>847</v>
      </c>
      <c r="G215" s="1" t="s">
        <v>848</v>
      </c>
      <c r="H215" s="1" t="s">
        <v>39</v>
      </c>
      <c r="I215" s="1" t="s">
        <v>25</v>
      </c>
      <c r="J215" s="1" t="s">
        <v>849</v>
      </c>
      <c r="K215" s="1" t="s">
        <v>496</v>
      </c>
      <c r="L215" s="1">
        <v>44256</v>
      </c>
      <c r="M215" s="1" t="s">
        <v>146</v>
      </c>
      <c r="N215" s="1" t="s">
        <v>852</v>
      </c>
      <c r="O215" s="1" t="s">
        <v>30</v>
      </c>
      <c r="P215" s="1" t="s">
        <v>31</v>
      </c>
      <c r="Q215" s="1" t="s">
        <v>853</v>
      </c>
      <c r="R215" s="1">
        <v>452.45</v>
      </c>
      <c r="S215" s="1">
        <v>5</v>
      </c>
      <c r="T215" s="3">
        <v>0.5</v>
      </c>
      <c r="U215" s="4">
        <v>-244.32300000000001</v>
      </c>
      <c r="V215" s="1" t="str">
        <f t="shared" si="30"/>
        <v>Standard Class</v>
      </c>
      <c r="W215" s="1" t="str">
        <f t="shared" si="31"/>
        <v>Corporate</v>
      </c>
      <c r="X215" s="1" t="str">
        <f t="shared" si="32"/>
        <v>Medina - Ohio</v>
      </c>
      <c r="Y215" s="1" t="str">
        <f t="shared" si="33"/>
        <v>Bookcases</v>
      </c>
      <c r="Z215" s="1">
        <f t="shared" si="34"/>
        <v>452.45</v>
      </c>
      <c r="AA215" s="1">
        <f t="shared" si="35"/>
        <v>452.45</v>
      </c>
      <c r="AB215" s="1">
        <f t="shared" si="36"/>
        <v>2262.25</v>
      </c>
      <c r="AC215" s="4">
        <f t="shared" si="37"/>
        <v>1131.125</v>
      </c>
      <c r="AD215" s="1" t="s">
        <v>2013</v>
      </c>
      <c r="AE215" s="1" t="str">
        <f t="shared" si="38"/>
        <v>2015</v>
      </c>
      <c r="AF215" s="1" t="str">
        <f t="shared" si="39"/>
        <v>146262</v>
      </c>
    </row>
    <row r="216" spans="1:32" x14ac:dyDescent="0.3">
      <c r="A216" s="1">
        <v>215</v>
      </c>
      <c r="B216" s="1" t="s">
        <v>846</v>
      </c>
      <c r="C216" s="2">
        <v>42006</v>
      </c>
      <c r="D216" s="2">
        <v>42013</v>
      </c>
      <c r="E216" s="1" t="s">
        <v>48</v>
      </c>
      <c r="F216" s="1" t="s">
        <v>847</v>
      </c>
      <c r="G216" s="1" t="s">
        <v>848</v>
      </c>
      <c r="H216" s="1" t="s">
        <v>39</v>
      </c>
      <c r="I216" s="1" t="s">
        <v>25</v>
      </c>
      <c r="J216" s="1" t="s">
        <v>849</v>
      </c>
      <c r="K216" s="1" t="s">
        <v>496</v>
      </c>
      <c r="L216" s="1">
        <v>44256</v>
      </c>
      <c r="M216" s="1" t="s">
        <v>146</v>
      </c>
      <c r="N216" s="1" t="s">
        <v>468</v>
      </c>
      <c r="O216" s="1" t="s">
        <v>69</v>
      </c>
      <c r="P216" s="1" t="s">
        <v>70</v>
      </c>
      <c r="Q216" s="1" t="s">
        <v>469</v>
      </c>
      <c r="R216" s="1">
        <v>62.981999999999999</v>
      </c>
      <c r="S216" s="1">
        <v>3</v>
      </c>
      <c r="T216" s="3">
        <v>0.4</v>
      </c>
      <c r="U216" s="4">
        <v>-14.6958</v>
      </c>
      <c r="V216" s="1" t="str">
        <f t="shared" si="30"/>
        <v>Standard Class</v>
      </c>
      <c r="W216" s="1" t="str">
        <f t="shared" si="31"/>
        <v>Corporate</v>
      </c>
      <c r="X216" s="1" t="str">
        <f t="shared" si="32"/>
        <v>Medina - Ohio</v>
      </c>
      <c r="Y216" s="1" t="str">
        <f t="shared" si="33"/>
        <v>Phones</v>
      </c>
      <c r="Z216" s="1">
        <f t="shared" si="34"/>
        <v>62.981999999999999</v>
      </c>
      <c r="AA216" s="1">
        <f t="shared" si="35"/>
        <v>62.981999999999999</v>
      </c>
      <c r="AB216" s="1">
        <f t="shared" si="36"/>
        <v>188.946</v>
      </c>
      <c r="AC216" s="4">
        <f t="shared" si="37"/>
        <v>113.3676</v>
      </c>
      <c r="AD216" s="1" t="s">
        <v>2013</v>
      </c>
      <c r="AE216" s="1" t="str">
        <f t="shared" si="38"/>
        <v>2015</v>
      </c>
      <c r="AF216" s="1" t="str">
        <f t="shared" si="39"/>
        <v>146262</v>
      </c>
    </row>
    <row r="217" spans="1:32" x14ac:dyDescent="0.3">
      <c r="A217" s="1">
        <v>216</v>
      </c>
      <c r="B217" s="1" t="s">
        <v>846</v>
      </c>
      <c r="C217" s="2">
        <v>42006</v>
      </c>
      <c r="D217" s="2">
        <v>42013</v>
      </c>
      <c r="E217" s="1" t="s">
        <v>48</v>
      </c>
      <c r="F217" s="1" t="s">
        <v>847</v>
      </c>
      <c r="G217" s="1" t="s">
        <v>848</v>
      </c>
      <c r="H217" s="1" t="s">
        <v>39</v>
      </c>
      <c r="I217" s="1" t="s">
        <v>25</v>
      </c>
      <c r="J217" s="1" t="s">
        <v>849</v>
      </c>
      <c r="K217" s="1" t="s">
        <v>496</v>
      </c>
      <c r="L217" s="1">
        <v>44256</v>
      </c>
      <c r="M217" s="1" t="s">
        <v>146</v>
      </c>
      <c r="N217" s="1" t="s">
        <v>854</v>
      </c>
      <c r="O217" s="1" t="s">
        <v>69</v>
      </c>
      <c r="P217" s="1" t="s">
        <v>682</v>
      </c>
      <c r="Q217" s="1" t="s">
        <v>855</v>
      </c>
      <c r="R217" s="1">
        <v>1188</v>
      </c>
      <c r="S217" s="1">
        <v>9</v>
      </c>
      <c r="T217" s="3">
        <v>0.7</v>
      </c>
      <c r="U217" s="4">
        <v>-950.4</v>
      </c>
      <c r="V217" s="1" t="str">
        <f t="shared" si="30"/>
        <v>Standard Class</v>
      </c>
      <c r="W217" s="1" t="str">
        <f t="shared" si="31"/>
        <v>Corporate</v>
      </c>
      <c r="X217" s="1" t="str">
        <f t="shared" si="32"/>
        <v>Medina - Ohio</v>
      </c>
      <c r="Y217" s="1" t="str">
        <f t="shared" si="33"/>
        <v>Machines</v>
      </c>
      <c r="Z217" s="1">
        <f t="shared" si="34"/>
        <v>1188</v>
      </c>
      <c r="AA217" s="1">
        <f t="shared" si="35"/>
        <v>1188</v>
      </c>
      <c r="AB217" s="1">
        <f t="shared" si="36"/>
        <v>10692</v>
      </c>
      <c r="AC217" s="4">
        <f t="shared" si="37"/>
        <v>3207.6000000000004</v>
      </c>
      <c r="AD217" s="1" t="s">
        <v>2013</v>
      </c>
      <c r="AE217" s="1" t="str">
        <f t="shared" si="38"/>
        <v>2015</v>
      </c>
      <c r="AF217" s="1" t="str">
        <f t="shared" si="39"/>
        <v>146262</v>
      </c>
    </row>
    <row r="218" spans="1:32" x14ac:dyDescent="0.3">
      <c r="A218" s="1">
        <v>217</v>
      </c>
      <c r="B218" s="1" t="s">
        <v>846</v>
      </c>
      <c r="C218" s="2">
        <v>42006</v>
      </c>
      <c r="D218" s="2">
        <v>42013</v>
      </c>
      <c r="E218" s="1" t="s">
        <v>48</v>
      </c>
      <c r="F218" s="1" t="s">
        <v>847</v>
      </c>
      <c r="G218" s="1" t="s">
        <v>848</v>
      </c>
      <c r="H218" s="1" t="s">
        <v>39</v>
      </c>
      <c r="I218" s="1" t="s">
        <v>25</v>
      </c>
      <c r="J218" s="1" t="s">
        <v>849</v>
      </c>
      <c r="K218" s="1" t="s">
        <v>496</v>
      </c>
      <c r="L218" s="1">
        <v>44256</v>
      </c>
      <c r="M218" s="1" t="s">
        <v>146</v>
      </c>
      <c r="N218" s="1" t="s">
        <v>856</v>
      </c>
      <c r="O218" s="1" t="s">
        <v>69</v>
      </c>
      <c r="P218" s="1" t="s">
        <v>159</v>
      </c>
      <c r="Q218" s="1" t="s">
        <v>857</v>
      </c>
      <c r="R218" s="1">
        <v>89.584000000000003</v>
      </c>
      <c r="S218" s="1">
        <v>2</v>
      </c>
      <c r="T218" s="3">
        <v>0.2</v>
      </c>
      <c r="U218" s="4">
        <v>4.4791999999999996</v>
      </c>
      <c r="V218" s="1" t="str">
        <f t="shared" si="30"/>
        <v>Standard Class</v>
      </c>
      <c r="W218" s="1" t="str">
        <f t="shared" si="31"/>
        <v>Corporate</v>
      </c>
      <c r="X218" s="1" t="str">
        <f t="shared" si="32"/>
        <v>Medina - Ohio</v>
      </c>
      <c r="Y218" s="1" t="str">
        <f t="shared" si="33"/>
        <v>Accessories</v>
      </c>
      <c r="Z218" s="1">
        <f t="shared" si="34"/>
        <v>89.584000000000003</v>
      </c>
      <c r="AA218" s="1">
        <f t="shared" si="35"/>
        <v>89.584000000000003</v>
      </c>
      <c r="AB218" s="1">
        <f t="shared" si="36"/>
        <v>179.16800000000001</v>
      </c>
      <c r="AC218" s="4">
        <f t="shared" si="37"/>
        <v>143.33440000000002</v>
      </c>
      <c r="AD218" s="1" t="s">
        <v>2013</v>
      </c>
      <c r="AE218" s="1" t="str">
        <f t="shared" si="38"/>
        <v>2015</v>
      </c>
      <c r="AF218" s="1" t="str">
        <f t="shared" si="39"/>
        <v>146262</v>
      </c>
    </row>
    <row r="219" spans="1:32" x14ac:dyDescent="0.3">
      <c r="A219" s="1">
        <v>218</v>
      </c>
      <c r="B219" s="1" t="s">
        <v>858</v>
      </c>
      <c r="C219" s="2">
        <v>42671</v>
      </c>
      <c r="D219" s="2">
        <v>42675</v>
      </c>
      <c r="E219" s="1" t="s">
        <v>48</v>
      </c>
      <c r="F219" s="1" t="s">
        <v>859</v>
      </c>
      <c r="G219" s="1" t="s">
        <v>860</v>
      </c>
      <c r="H219" s="1" t="s">
        <v>24</v>
      </c>
      <c r="I219" s="1" t="s">
        <v>25</v>
      </c>
      <c r="J219" s="1" t="s">
        <v>40</v>
      </c>
      <c r="K219" s="1" t="s">
        <v>41</v>
      </c>
      <c r="L219" s="1">
        <v>90032</v>
      </c>
      <c r="M219" s="1" t="s">
        <v>42</v>
      </c>
      <c r="N219" s="1" t="s">
        <v>759</v>
      </c>
      <c r="O219" s="1" t="s">
        <v>44</v>
      </c>
      <c r="P219" s="1" t="s">
        <v>57</v>
      </c>
      <c r="Q219" s="1" t="s">
        <v>760</v>
      </c>
      <c r="R219" s="1">
        <v>93.06</v>
      </c>
      <c r="S219" s="1">
        <v>6</v>
      </c>
      <c r="T219" s="3">
        <v>0</v>
      </c>
      <c r="U219" s="4">
        <v>26.056799999999999</v>
      </c>
      <c r="V219" s="1" t="str">
        <f t="shared" si="30"/>
        <v>Standard Class</v>
      </c>
      <c r="W219" s="1" t="str">
        <f t="shared" si="31"/>
        <v>Consumer</v>
      </c>
      <c r="X219" s="1" t="str">
        <f t="shared" si="32"/>
        <v>Los Angeles - California</v>
      </c>
      <c r="Y219" s="1" t="str">
        <f t="shared" si="33"/>
        <v>Storage</v>
      </c>
      <c r="Z219" s="1">
        <f t="shared" si="34"/>
        <v>93.06</v>
      </c>
      <c r="AA219" s="1">
        <f t="shared" si="35"/>
        <v>93.06</v>
      </c>
      <c r="AB219" s="1">
        <f t="shared" si="36"/>
        <v>558.36</v>
      </c>
      <c r="AC219" s="4">
        <f t="shared" si="37"/>
        <v>558.36</v>
      </c>
      <c r="AD219" s="1" t="s">
        <v>2013</v>
      </c>
      <c r="AE219" s="1" t="str">
        <f t="shared" si="38"/>
        <v>2016</v>
      </c>
      <c r="AF219" s="1" t="str">
        <f t="shared" si="39"/>
        <v>130162</v>
      </c>
    </row>
    <row r="220" spans="1:32" x14ac:dyDescent="0.3">
      <c r="A220" s="1">
        <v>219</v>
      </c>
      <c r="B220" s="1" t="s">
        <v>858</v>
      </c>
      <c r="C220" s="2">
        <v>42671</v>
      </c>
      <c r="D220" s="2">
        <v>42675</v>
      </c>
      <c r="E220" s="1" t="s">
        <v>48</v>
      </c>
      <c r="F220" s="1" t="s">
        <v>859</v>
      </c>
      <c r="G220" s="1" t="s">
        <v>860</v>
      </c>
      <c r="H220" s="1" t="s">
        <v>24</v>
      </c>
      <c r="I220" s="1" t="s">
        <v>25</v>
      </c>
      <c r="J220" s="1" t="s">
        <v>40</v>
      </c>
      <c r="K220" s="1" t="s">
        <v>41</v>
      </c>
      <c r="L220" s="1">
        <v>90032</v>
      </c>
      <c r="M220" s="1" t="s">
        <v>42</v>
      </c>
      <c r="N220" s="1" t="s">
        <v>861</v>
      </c>
      <c r="O220" s="1" t="s">
        <v>69</v>
      </c>
      <c r="P220" s="1" t="s">
        <v>70</v>
      </c>
      <c r="Q220" s="1" t="s">
        <v>862</v>
      </c>
      <c r="R220" s="1">
        <v>302.37599999999998</v>
      </c>
      <c r="S220" s="1">
        <v>3</v>
      </c>
      <c r="T220" s="3">
        <v>0.2</v>
      </c>
      <c r="U220" s="4">
        <v>22.6782</v>
      </c>
      <c r="V220" s="1" t="str">
        <f t="shared" si="30"/>
        <v>Standard Class</v>
      </c>
      <c r="W220" s="1" t="str">
        <f t="shared" si="31"/>
        <v>Consumer</v>
      </c>
      <c r="X220" s="1" t="str">
        <f t="shared" si="32"/>
        <v>Los Angeles - California</v>
      </c>
      <c r="Y220" s="1" t="str">
        <f t="shared" si="33"/>
        <v>Phones</v>
      </c>
      <c r="Z220" s="1">
        <f t="shared" si="34"/>
        <v>302.37599999999998</v>
      </c>
      <c r="AA220" s="1">
        <f t="shared" si="35"/>
        <v>302.37599999999998</v>
      </c>
      <c r="AB220" s="1">
        <f t="shared" si="36"/>
        <v>907.12799999999993</v>
      </c>
      <c r="AC220" s="4">
        <f t="shared" si="37"/>
        <v>725.70240000000001</v>
      </c>
      <c r="AD220" s="1" t="s">
        <v>2013</v>
      </c>
      <c r="AE220" s="1" t="str">
        <f t="shared" si="38"/>
        <v>2016</v>
      </c>
      <c r="AF220" s="1" t="str">
        <f t="shared" si="39"/>
        <v>130162</v>
      </c>
    </row>
    <row r="221" spans="1:32" x14ac:dyDescent="0.3">
      <c r="A221" s="1">
        <v>220</v>
      </c>
      <c r="B221" s="1" t="s">
        <v>863</v>
      </c>
      <c r="C221" s="2">
        <v>42362</v>
      </c>
      <c r="D221" s="2">
        <v>42365</v>
      </c>
      <c r="E221" s="1" t="s">
        <v>186</v>
      </c>
      <c r="F221" s="1" t="s">
        <v>864</v>
      </c>
      <c r="G221" s="1" t="s">
        <v>865</v>
      </c>
      <c r="H221" s="1" t="s">
        <v>24</v>
      </c>
      <c r="I221" s="1" t="s">
        <v>25</v>
      </c>
      <c r="J221" s="1" t="s">
        <v>866</v>
      </c>
      <c r="K221" s="1" t="s">
        <v>496</v>
      </c>
      <c r="L221" s="1">
        <v>43017</v>
      </c>
      <c r="M221" s="1" t="s">
        <v>146</v>
      </c>
      <c r="N221" s="1" t="s">
        <v>867</v>
      </c>
      <c r="O221" s="1" t="s">
        <v>44</v>
      </c>
      <c r="P221" s="1" t="s">
        <v>267</v>
      </c>
      <c r="Q221" s="1" t="s">
        <v>868</v>
      </c>
      <c r="R221" s="1">
        <v>5.5839999999999996</v>
      </c>
      <c r="S221" s="1">
        <v>2</v>
      </c>
      <c r="T221" s="3">
        <v>0.2</v>
      </c>
      <c r="U221" s="4">
        <v>1.8148</v>
      </c>
      <c r="V221" s="1" t="str">
        <f t="shared" si="30"/>
        <v>First Class</v>
      </c>
      <c r="W221" s="1" t="str">
        <f t="shared" si="31"/>
        <v>Consumer</v>
      </c>
      <c r="X221" s="1" t="str">
        <f t="shared" si="32"/>
        <v>Dublin - Ohio</v>
      </c>
      <c r="Y221" s="1" t="str">
        <f t="shared" si="33"/>
        <v>Fasteners</v>
      </c>
      <c r="Z221" s="1">
        <f t="shared" si="34"/>
        <v>5.5839999999999996</v>
      </c>
      <c r="AA221" s="1">
        <f t="shared" si="35"/>
        <v>5.5839999999999996</v>
      </c>
      <c r="AB221" s="1">
        <f t="shared" si="36"/>
        <v>11.167999999999999</v>
      </c>
      <c r="AC221" s="4">
        <f t="shared" si="37"/>
        <v>8.9344000000000001</v>
      </c>
      <c r="AD221" s="1" t="s">
        <v>2013</v>
      </c>
      <c r="AE221" s="1" t="str">
        <f t="shared" si="38"/>
        <v>2015</v>
      </c>
      <c r="AF221" s="1" t="str">
        <f t="shared" si="39"/>
        <v>169397</v>
      </c>
    </row>
    <row r="222" spans="1:32" x14ac:dyDescent="0.3">
      <c r="A222" s="1">
        <v>221</v>
      </c>
      <c r="B222" s="1" t="s">
        <v>863</v>
      </c>
      <c r="C222" s="2">
        <v>42362</v>
      </c>
      <c r="D222" s="2">
        <v>42365</v>
      </c>
      <c r="E222" s="1" t="s">
        <v>186</v>
      </c>
      <c r="F222" s="1" t="s">
        <v>864</v>
      </c>
      <c r="G222" s="1" t="s">
        <v>865</v>
      </c>
      <c r="H222" s="1" t="s">
        <v>24</v>
      </c>
      <c r="I222" s="1" t="s">
        <v>25</v>
      </c>
      <c r="J222" s="1" t="s">
        <v>866</v>
      </c>
      <c r="K222" s="1" t="s">
        <v>496</v>
      </c>
      <c r="L222" s="1">
        <v>43017</v>
      </c>
      <c r="M222" s="1" t="s">
        <v>146</v>
      </c>
      <c r="N222" s="1" t="s">
        <v>869</v>
      </c>
      <c r="O222" s="1" t="s">
        <v>44</v>
      </c>
      <c r="P222" s="1" t="s">
        <v>88</v>
      </c>
      <c r="Q222" s="1" t="s">
        <v>870</v>
      </c>
      <c r="R222" s="1">
        <v>22.704000000000001</v>
      </c>
      <c r="S222" s="1">
        <v>6</v>
      </c>
      <c r="T222" s="3">
        <v>0.2</v>
      </c>
      <c r="U222" s="4">
        <v>8.2302</v>
      </c>
      <c r="V222" s="1" t="str">
        <f t="shared" si="30"/>
        <v>First Class</v>
      </c>
      <c r="W222" s="1" t="str">
        <f t="shared" si="31"/>
        <v>Consumer</v>
      </c>
      <c r="X222" s="1" t="str">
        <f t="shared" si="32"/>
        <v>Dublin - Ohio</v>
      </c>
      <c r="Y222" s="1" t="str">
        <f t="shared" si="33"/>
        <v>Paper</v>
      </c>
      <c r="Z222" s="1">
        <f t="shared" si="34"/>
        <v>22.704000000000001</v>
      </c>
      <c r="AA222" s="1">
        <f t="shared" si="35"/>
        <v>22.704000000000001</v>
      </c>
      <c r="AB222" s="1">
        <f t="shared" si="36"/>
        <v>136.22399999999999</v>
      </c>
      <c r="AC222" s="4">
        <f t="shared" si="37"/>
        <v>108.97919999999999</v>
      </c>
      <c r="AD222" s="1" t="s">
        <v>2013</v>
      </c>
      <c r="AE222" s="1" t="str">
        <f t="shared" si="38"/>
        <v>2015</v>
      </c>
      <c r="AF222" s="1" t="str">
        <f t="shared" si="39"/>
        <v>169397</v>
      </c>
    </row>
    <row r="223" spans="1:32" x14ac:dyDescent="0.3">
      <c r="A223" s="1">
        <v>222</v>
      </c>
      <c r="B223" s="1" t="s">
        <v>863</v>
      </c>
      <c r="C223" s="2">
        <v>42362</v>
      </c>
      <c r="D223" s="2">
        <v>42365</v>
      </c>
      <c r="E223" s="1" t="s">
        <v>186</v>
      </c>
      <c r="F223" s="1" t="s">
        <v>864</v>
      </c>
      <c r="G223" s="1" t="s">
        <v>865</v>
      </c>
      <c r="H223" s="1" t="s">
        <v>24</v>
      </c>
      <c r="I223" s="1" t="s">
        <v>25</v>
      </c>
      <c r="J223" s="1" t="s">
        <v>866</v>
      </c>
      <c r="K223" s="1" t="s">
        <v>496</v>
      </c>
      <c r="L223" s="1">
        <v>43017</v>
      </c>
      <c r="M223" s="1" t="s">
        <v>146</v>
      </c>
      <c r="N223" s="1" t="s">
        <v>412</v>
      </c>
      <c r="O223" s="1" t="s">
        <v>44</v>
      </c>
      <c r="P223" s="1" t="s">
        <v>73</v>
      </c>
      <c r="Q223" s="1" t="s">
        <v>413</v>
      </c>
      <c r="R223" s="1">
        <v>19.776</v>
      </c>
      <c r="S223" s="1">
        <v>4</v>
      </c>
      <c r="T223" s="3">
        <v>0.7</v>
      </c>
      <c r="U223" s="4">
        <v>-13.8432</v>
      </c>
      <c r="V223" s="1" t="str">
        <f t="shared" si="30"/>
        <v>First Class</v>
      </c>
      <c r="W223" s="1" t="str">
        <f t="shared" si="31"/>
        <v>Consumer</v>
      </c>
      <c r="X223" s="1" t="str">
        <f t="shared" si="32"/>
        <v>Dublin - Ohio</v>
      </c>
      <c r="Y223" s="1" t="str">
        <f t="shared" si="33"/>
        <v>Binders</v>
      </c>
      <c r="Z223" s="1">
        <f t="shared" si="34"/>
        <v>19.776</v>
      </c>
      <c r="AA223" s="1">
        <f t="shared" si="35"/>
        <v>19.776</v>
      </c>
      <c r="AB223" s="1">
        <f t="shared" si="36"/>
        <v>79.103999999999999</v>
      </c>
      <c r="AC223" s="4">
        <f t="shared" si="37"/>
        <v>23.731200000000005</v>
      </c>
      <c r="AD223" s="1" t="s">
        <v>2013</v>
      </c>
      <c r="AE223" s="1" t="str">
        <f t="shared" si="38"/>
        <v>2015</v>
      </c>
      <c r="AF223" s="1" t="str">
        <f t="shared" si="39"/>
        <v>169397</v>
      </c>
    </row>
    <row r="224" spans="1:32" x14ac:dyDescent="0.3">
      <c r="A224" s="1">
        <v>223</v>
      </c>
      <c r="B224" s="1" t="s">
        <v>863</v>
      </c>
      <c r="C224" s="2">
        <v>42362</v>
      </c>
      <c r="D224" s="2">
        <v>42365</v>
      </c>
      <c r="E224" s="1" t="s">
        <v>186</v>
      </c>
      <c r="F224" s="1" t="s">
        <v>864</v>
      </c>
      <c r="G224" s="1" t="s">
        <v>865</v>
      </c>
      <c r="H224" s="1" t="s">
        <v>24</v>
      </c>
      <c r="I224" s="1" t="s">
        <v>25</v>
      </c>
      <c r="J224" s="1" t="s">
        <v>866</v>
      </c>
      <c r="K224" s="1" t="s">
        <v>496</v>
      </c>
      <c r="L224" s="1">
        <v>43017</v>
      </c>
      <c r="M224" s="1" t="s">
        <v>146</v>
      </c>
      <c r="N224" s="1" t="s">
        <v>871</v>
      </c>
      <c r="O224" s="1" t="s">
        <v>30</v>
      </c>
      <c r="P224" s="1" t="s">
        <v>63</v>
      </c>
      <c r="Q224" s="1" t="s">
        <v>872</v>
      </c>
      <c r="R224" s="1">
        <v>72.703999999999994</v>
      </c>
      <c r="S224" s="1">
        <v>4</v>
      </c>
      <c r="T224" s="3">
        <v>0.2</v>
      </c>
      <c r="U224" s="4">
        <v>19.084800000000001</v>
      </c>
      <c r="V224" s="1" t="str">
        <f t="shared" si="30"/>
        <v>First Class</v>
      </c>
      <c r="W224" s="1" t="str">
        <f t="shared" si="31"/>
        <v>Consumer</v>
      </c>
      <c r="X224" s="1" t="str">
        <f t="shared" si="32"/>
        <v>Dublin - Ohio</v>
      </c>
      <c r="Y224" s="1" t="str">
        <f t="shared" si="33"/>
        <v>Furnishings</v>
      </c>
      <c r="Z224" s="1">
        <f t="shared" si="34"/>
        <v>72.703999999999994</v>
      </c>
      <c r="AA224" s="1">
        <f t="shared" si="35"/>
        <v>72.703999999999994</v>
      </c>
      <c r="AB224" s="1">
        <f t="shared" si="36"/>
        <v>290.81599999999997</v>
      </c>
      <c r="AC224" s="4">
        <f t="shared" si="37"/>
        <v>232.65279999999998</v>
      </c>
      <c r="AD224" s="1" t="s">
        <v>2013</v>
      </c>
      <c r="AE224" s="1" t="str">
        <f t="shared" si="38"/>
        <v>2015</v>
      </c>
      <c r="AF224" s="1" t="str">
        <f t="shared" si="39"/>
        <v>169397</v>
      </c>
    </row>
    <row r="225" spans="1:32" x14ac:dyDescent="0.3">
      <c r="A225" s="1">
        <v>224</v>
      </c>
      <c r="B225" s="1" t="s">
        <v>863</v>
      </c>
      <c r="C225" s="2">
        <v>42362</v>
      </c>
      <c r="D225" s="2">
        <v>42365</v>
      </c>
      <c r="E225" s="1" t="s">
        <v>186</v>
      </c>
      <c r="F225" s="1" t="s">
        <v>864</v>
      </c>
      <c r="G225" s="1" t="s">
        <v>865</v>
      </c>
      <c r="H225" s="1" t="s">
        <v>24</v>
      </c>
      <c r="I225" s="1" t="s">
        <v>25</v>
      </c>
      <c r="J225" s="1" t="s">
        <v>866</v>
      </c>
      <c r="K225" s="1" t="s">
        <v>496</v>
      </c>
      <c r="L225" s="1">
        <v>43017</v>
      </c>
      <c r="M225" s="1" t="s">
        <v>146</v>
      </c>
      <c r="N225" s="1" t="s">
        <v>873</v>
      </c>
      <c r="O225" s="1" t="s">
        <v>69</v>
      </c>
      <c r="P225" s="1" t="s">
        <v>682</v>
      </c>
      <c r="Q225" s="1" t="s">
        <v>874</v>
      </c>
      <c r="R225" s="1">
        <v>479.988</v>
      </c>
      <c r="S225" s="1">
        <v>4</v>
      </c>
      <c r="T225" s="3">
        <v>0.7</v>
      </c>
      <c r="U225" s="4">
        <v>-383.99040000000002</v>
      </c>
      <c r="V225" s="1" t="str">
        <f t="shared" si="30"/>
        <v>First Class</v>
      </c>
      <c r="W225" s="1" t="str">
        <f t="shared" si="31"/>
        <v>Consumer</v>
      </c>
      <c r="X225" s="1" t="str">
        <f t="shared" si="32"/>
        <v>Dublin - Ohio</v>
      </c>
      <c r="Y225" s="1" t="str">
        <f t="shared" si="33"/>
        <v>Machines</v>
      </c>
      <c r="Z225" s="1">
        <f t="shared" si="34"/>
        <v>479.988</v>
      </c>
      <c r="AA225" s="1">
        <f t="shared" si="35"/>
        <v>479.988</v>
      </c>
      <c r="AB225" s="1">
        <f t="shared" si="36"/>
        <v>1919.952</v>
      </c>
      <c r="AC225" s="4">
        <f t="shared" si="37"/>
        <v>575.98560000000009</v>
      </c>
      <c r="AD225" s="1" t="s">
        <v>2013</v>
      </c>
      <c r="AE225" s="1" t="str">
        <f t="shared" si="38"/>
        <v>2015</v>
      </c>
      <c r="AF225" s="1" t="str">
        <f t="shared" si="39"/>
        <v>169397</v>
      </c>
    </row>
    <row r="226" spans="1:32" x14ac:dyDescent="0.3">
      <c r="A226" s="1">
        <v>225</v>
      </c>
      <c r="B226" s="1" t="s">
        <v>863</v>
      </c>
      <c r="C226" s="2">
        <v>42362</v>
      </c>
      <c r="D226" s="2">
        <v>42365</v>
      </c>
      <c r="E226" s="1" t="s">
        <v>186</v>
      </c>
      <c r="F226" s="1" t="s">
        <v>864</v>
      </c>
      <c r="G226" s="1" t="s">
        <v>865</v>
      </c>
      <c r="H226" s="1" t="s">
        <v>24</v>
      </c>
      <c r="I226" s="1" t="s">
        <v>25</v>
      </c>
      <c r="J226" s="1" t="s">
        <v>866</v>
      </c>
      <c r="K226" s="1" t="s">
        <v>496</v>
      </c>
      <c r="L226" s="1">
        <v>43017</v>
      </c>
      <c r="M226" s="1" t="s">
        <v>146</v>
      </c>
      <c r="N226" s="1" t="s">
        <v>875</v>
      </c>
      <c r="O226" s="1" t="s">
        <v>44</v>
      </c>
      <c r="P226" s="1" t="s">
        <v>66</v>
      </c>
      <c r="Q226" s="1" t="s">
        <v>876</v>
      </c>
      <c r="R226" s="1">
        <v>27.167999999999999</v>
      </c>
      <c r="S226" s="1">
        <v>2</v>
      </c>
      <c r="T226" s="3">
        <v>0.2</v>
      </c>
      <c r="U226" s="4">
        <v>2.7168000000000001</v>
      </c>
      <c r="V226" s="1" t="str">
        <f t="shared" si="30"/>
        <v>First Class</v>
      </c>
      <c r="W226" s="1" t="str">
        <f t="shared" si="31"/>
        <v>Consumer</v>
      </c>
      <c r="X226" s="1" t="str">
        <f t="shared" si="32"/>
        <v>Dublin - Ohio</v>
      </c>
      <c r="Y226" s="1" t="str">
        <f t="shared" si="33"/>
        <v>Art</v>
      </c>
      <c r="Z226" s="1">
        <f t="shared" si="34"/>
        <v>27.167999999999999</v>
      </c>
      <c r="AA226" s="1">
        <f t="shared" si="35"/>
        <v>27.167999999999999</v>
      </c>
      <c r="AB226" s="1">
        <f t="shared" si="36"/>
        <v>54.335999999999999</v>
      </c>
      <c r="AC226" s="4">
        <f t="shared" si="37"/>
        <v>43.468800000000002</v>
      </c>
      <c r="AD226" s="1" t="s">
        <v>2013</v>
      </c>
      <c r="AE226" s="1" t="str">
        <f t="shared" si="38"/>
        <v>2015</v>
      </c>
      <c r="AF226" s="1" t="str">
        <f t="shared" si="39"/>
        <v>169397</v>
      </c>
    </row>
    <row r="227" spans="1:32" x14ac:dyDescent="0.3">
      <c r="A227" s="1">
        <v>226</v>
      </c>
      <c r="B227" s="1" t="s">
        <v>877</v>
      </c>
      <c r="C227" s="2">
        <v>42225</v>
      </c>
      <c r="D227" s="2">
        <v>42232</v>
      </c>
      <c r="E227" s="1" t="s">
        <v>48</v>
      </c>
      <c r="F227" s="1" t="s">
        <v>878</v>
      </c>
      <c r="G227" s="1" t="s">
        <v>879</v>
      </c>
      <c r="H227" s="1" t="s">
        <v>39</v>
      </c>
      <c r="I227" s="1" t="s">
        <v>25</v>
      </c>
      <c r="J227" s="1" t="s">
        <v>880</v>
      </c>
      <c r="K227" s="1" t="s">
        <v>236</v>
      </c>
      <c r="L227" s="1">
        <v>48227</v>
      </c>
      <c r="M227" s="1" t="s">
        <v>103</v>
      </c>
      <c r="N227" s="1" t="s">
        <v>881</v>
      </c>
      <c r="O227" s="1" t="s">
        <v>44</v>
      </c>
      <c r="P227" s="1" t="s">
        <v>66</v>
      </c>
      <c r="Q227" s="1" t="s">
        <v>882</v>
      </c>
      <c r="R227" s="1">
        <v>2.2000000000000002</v>
      </c>
      <c r="S227" s="1">
        <v>1</v>
      </c>
      <c r="T227" s="3">
        <v>0</v>
      </c>
      <c r="U227" s="4">
        <v>0.96799999999999997</v>
      </c>
      <c r="V227" s="1" t="str">
        <f t="shared" si="30"/>
        <v>Standard Class</v>
      </c>
      <c r="W227" s="1" t="str">
        <f t="shared" si="31"/>
        <v>Corporate</v>
      </c>
      <c r="X227" s="1" t="str">
        <f t="shared" si="32"/>
        <v>Detroit - Michigan</v>
      </c>
      <c r="Y227" s="1" t="str">
        <f t="shared" si="33"/>
        <v>Art</v>
      </c>
      <c r="Z227" s="1">
        <f t="shared" si="34"/>
        <v>2.2000000000000002</v>
      </c>
      <c r="AA227" s="1">
        <f t="shared" si="35"/>
        <v>2.2000000000000002</v>
      </c>
      <c r="AB227" s="1">
        <f t="shared" si="36"/>
        <v>2.2000000000000002</v>
      </c>
      <c r="AC227" s="4">
        <f t="shared" si="37"/>
        <v>2.2000000000000002</v>
      </c>
      <c r="AD227" s="1" t="s">
        <v>2013</v>
      </c>
      <c r="AE227" s="1" t="str">
        <f t="shared" si="38"/>
        <v>2015</v>
      </c>
      <c r="AF227" s="1" t="str">
        <f t="shared" si="39"/>
        <v>163055</v>
      </c>
    </row>
    <row r="228" spans="1:32" x14ac:dyDescent="0.3">
      <c r="A228" s="1">
        <v>227</v>
      </c>
      <c r="B228" s="1" t="s">
        <v>877</v>
      </c>
      <c r="C228" s="2">
        <v>42225</v>
      </c>
      <c r="D228" s="2">
        <v>42232</v>
      </c>
      <c r="E228" s="1" t="s">
        <v>48</v>
      </c>
      <c r="F228" s="1" t="s">
        <v>878</v>
      </c>
      <c r="G228" s="1" t="s">
        <v>879</v>
      </c>
      <c r="H228" s="1" t="s">
        <v>39</v>
      </c>
      <c r="I228" s="1" t="s">
        <v>25</v>
      </c>
      <c r="J228" s="1" t="s">
        <v>880</v>
      </c>
      <c r="K228" s="1" t="s">
        <v>236</v>
      </c>
      <c r="L228" s="1">
        <v>48227</v>
      </c>
      <c r="M228" s="1" t="s">
        <v>103</v>
      </c>
      <c r="N228" s="1" t="s">
        <v>883</v>
      </c>
      <c r="O228" s="1" t="s">
        <v>30</v>
      </c>
      <c r="P228" s="1" t="s">
        <v>54</v>
      </c>
      <c r="Q228" s="1" t="s">
        <v>884</v>
      </c>
      <c r="R228" s="1">
        <v>622.45000000000005</v>
      </c>
      <c r="S228" s="1">
        <v>5</v>
      </c>
      <c r="T228" s="3">
        <v>0</v>
      </c>
      <c r="U228" s="4">
        <v>136.93899999999999</v>
      </c>
      <c r="V228" s="1" t="str">
        <f t="shared" si="30"/>
        <v>Standard Class</v>
      </c>
      <c r="W228" s="1" t="str">
        <f t="shared" si="31"/>
        <v>Corporate</v>
      </c>
      <c r="X228" s="1" t="str">
        <f t="shared" si="32"/>
        <v>Detroit - Michigan</v>
      </c>
      <c r="Y228" s="1" t="str">
        <f t="shared" si="33"/>
        <v>Tables</v>
      </c>
      <c r="Z228" s="1">
        <f t="shared" si="34"/>
        <v>622.45000000000005</v>
      </c>
      <c r="AA228" s="1">
        <f t="shared" si="35"/>
        <v>622.45000000000005</v>
      </c>
      <c r="AB228" s="1">
        <f t="shared" si="36"/>
        <v>3112.25</v>
      </c>
      <c r="AC228" s="4">
        <f t="shared" si="37"/>
        <v>3112.25</v>
      </c>
      <c r="AD228" s="1" t="s">
        <v>2013</v>
      </c>
      <c r="AE228" s="1" t="str">
        <f t="shared" si="38"/>
        <v>2015</v>
      </c>
      <c r="AF228" s="1" t="str">
        <f t="shared" si="39"/>
        <v>163055</v>
      </c>
    </row>
    <row r="229" spans="1:32" x14ac:dyDescent="0.3">
      <c r="A229" s="1">
        <v>228</v>
      </c>
      <c r="B229" s="1" t="s">
        <v>877</v>
      </c>
      <c r="C229" s="2">
        <v>42225</v>
      </c>
      <c r="D229" s="2">
        <v>42232</v>
      </c>
      <c r="E229" s="1" t="s">
        <v>48</v>
      </c>
      <c r="F229" s="1" t="s">
        <v>878</v>
      </c>
      <c r="G229" s="1" t="s">
        <v>879</v>
      </c>
      <c r="H229" s="1" t="s">
        <v>39</v>
      </c>
      <c r="I229" s="1" t="s">
        <v>25</v>
      </c>
      <c r="J229" s="1" t="s">
        <v>880</v>
      </c>
      <c r="K229" s="1" t="s">
        <v>236</v>
      </c>
      <c r="L229" s="1">
        <v>48227</v>
      </c>
      <c r="M229" s="1" t="s">
        <v>103</v>
      </c>
      <c r="N229" s="1" t="s">
        <v>885</v>
      </c>
      <c r="O229" s="1" t="s">
        <v>44</v>
      </c>
      <c r="P229" s="1" t="s">
        <v>57</v>
      </c>
      <c r="Q229" s="1" t="s">
        <v>886</v>
      </c>
      <c r="R229" s="1">
        <v>21.98</v>
      </c>
      <c r="S229" s="1">
        <v>1</v>
      </c>
      <c r="T229" s="3">
        <v>0</v>
      </c>
      <c r="U229" s="4">
        <v>0.2198</v>
      </c>
      <c r="V229" s="1" t="str">
        <f t="shared" si="30"/>
        <v>Standard Class</v>
      </c>
      <c r="W229" s="1" t="str">
        <f t="shared" si="31"/>
        <v>Corporate</v>
      </c>
      <c r="X229" s="1" t="str">
        <f t="shared" si="32"/>
        <v>Detroit - Michigan</v>
      </c>
      <c r="Y229" s="1" t="str">
        <f t="shared" si="33"/>
        <v>Storage</v>
      </c>
      <c r="Z229" s="1">
        <f t="shared" si="34"/>
        <v>21.98</v>
      </c>
      <c r="AA229" s="1">
        <f t="shared" si="35"/>
        <v>21.98</v>
      </c>
      <c r="AB229" s="1">
        <f t="shared" si="36"/>
        <v>21.98</v>
      </c>
      <c r="AC229" s="4">
        <f t="shared" si="37"/>
        <v>21.98</v>
      </c>
      <c r="AD229" s="1" t="s">
        <v>2013</v>
      </c>
      <c r="AE229" s="1" t="str">
        <f t="shared" si="38"/>
        <v>2015</v>
      </c>
      <c r="AF229" s="1" t="str">
        <f t="shared" si="39"/>
        <v>163055</v>
      </c>
    </row>
    <row r="230" spans="1:32" x14ac:dyDescent="0.3">
      <c r="A230" s="1">
        <v>229</v>
      </c>
      <c r="B230" s="1" t="s">
        <v>887</v>
      </c>
      <c r="C230" s="2">
        <v>42063</v>
      </c>
      <c r="D230" s="2">
        <v>42067</v>
      </c>
      <c r="E230" s="1" t="s">
        <v>48</v>
      </c>
      <c r="F230" s="1" t="s">
        <v>888</v>
      </c>
      <c r="G230" s="1" t="s">
        <v>889</v>
      </c>
      <c r="H230" s="1" t="s">
        <v>24</v>
      </c>
      <c r="I230" s="1" t="s">
        <v>25</v>
      </c>
      <c r="J230" s="1" t="s">
        <v>380</v>
      </c>
      <c r="K230" s="1" t="s">
        <v>333</v>
      </c>
      <c r="L230" s="1">
        <v>38401</v>
      </c>
      <c r="M230" s="1" t="s">
        <v>28</v>
      </c>
      <c r="N230" s="1" t="s">
        <v>890</v>
      </c>
      <c r="O230" s="1" t="s">
        <v>30</v>
      </c>
      <c r="P230" s="1" t="s">
        <v>34</v>
      </c>
      <c r="Q230" s="1" t="s">
        <v>891</v>
      </c>
      <c r="R230" s="1">
        <v>161.56800000000001</v>
      </c>
      <c r="S230" s="1">
        <v>2</v>
      </c>
      <c r="T230" s="3">
        <v>0.2</v>
      </c>
      <c r="U230" s="4">
        <v>-28.2744</v>
      </c>
      <c r="V230" s="1" t="str">
        <f t="shared" si="30"/>
        <v>Standard Class</v>
      </c>
      <c r="W230" s="1" t="str">
        <f t="shared" si="31"/>
        <v>Consumer</v>
      </c>
      <c r="X230" s="1" t="str">
        <f t="shared" si="32"/>
        <v>Columbia - Tennessee</v>
      </c>
      <c r="Y230" s="1" t="str">
        <f t="shared" si="33"/>
        <v>Chairs</v>
      </c>
      <c r="Z230" s="1">
        <f t="shared" si="34"/>
        <v>161.56800000000001</v>
      </c>
      <c r="AA230" s="1">
        <f t="shared" si="35"/>
        <v>161.56800000000001</v>
      </c>
      <c r="AB230" s="1">
        <f t="shared" si="36"/>
        <v>323.13600000000002</v>
      </c>
      <c r="AC230" s="4">
        <f t="shared" si="37"/>
        <v>258.50880000000001</v>
      </c>
      <c r="AD230" s="1" t="s">
        <v>2014</v>
      </c>
      <c r="AE230" s="1" t="str">
        <f t="shared" si="38"/>
        <v>2015</v>
      </c>
      <c r="AF230" s="1" t="str">
        <f t="shared" si="39"/>
        <v>145436</v>
      </c>
    </row>
    <row r="231" spans="1:32" x14ac:dyDescent="0.3">
      <c r="A231" s="1">
        <v>230</v>
      </c>
      <c r="B231" s="1" t="s">
        <v>887</v>
      </c>
      <c r="C231" s="2">
        <v>42063</v>
      </c>
      <c r="D231" s="2">
        <v>42067</v>
      </c>
      <c r="E231" s="1" t="s">
        <v>48</v>
      </c>
      <c r="F231" s="1" t="s">
        <v>888</v>
      </c>
      <c r="G231" s="1" t="s">
        <v>889</v>
      </c>
      <c r="H231" s="1" t="s">
        <v>24</v>
      </c>
      <c r="I231" s="1" t="s">
        <v>25</v>
      </c>
      <c r="J231" s="1" t="s">
        <v>380</v>
      </c>
      <c r="K231" s="1" t="s">
        <v>333</v>
      </c>
      <c r="L231" s="1">
        <v>38401</v>
      </c>
      <c r="M231" s="1" t="s">
        <v>28</v>
      </c>
      <c r="N231" s="1" t="s">
        <v>892</v>
      </c>
      <c r="O231" s="1" t="s">
        <v>30</v>
      </c>
      <c r="P231" s="1" t="s">
        <v>34</v>
      </c>
      <c r="Q231" s="1" t="s">
        <v>893</v>
      </c>
      <c r="R231" s="1">
        <v>389.69600000000003</v>
      </c>
      <c r="S231" s="1">
        <v>8</v>
      </c>
      <c r="T231" s="3">
        <v>0.2</v>
      </c>
      <c r="U231" s="4">
        <v>43.840800000000002</v>
      </c>
      <c r="V231" s="1" t="str">
        <f t="shared" si="30"/>
        <v>Standard Class</v>
      </c>
      <c r="W231" s="1" t="str">
        <f t="shared" si="31"/>
        <v>Consumer</v>
      </c>
      <c r="X231" s="1" t="str">
        <f t="shared" si="32"/>
        <v>Columbia - Tennessee</v>
      </c>
      <c r="Y231" s="1" t="str">
        <f t="shared" si="33"/>
        <v>Chairs</v>
      </c>
      <c r="Z231" s="1">
        <f t="shared" si="34"/>
        <v>389.69600000000003</v>
      </c>
      <c r="AA231" s="1">
        <f t="shared" si="35"/>
        <v>389.69600000000003</v>
      </c>
      <c r="AB231" s="1">
        <f t="shared" si="36"/>
        <v>3117.5680000000002</v>
      </c>
      <c r="AC231" s="4">
        <f t="shared" si="37"/>
        <v>2494.0544000000004</v>
      </c>
      <c r="AD231" s="1" t="s">
        <v>2014</v>
      </c>
      <c r="AE231" s="1" t="str">
        <f t="shared" si="38"/>
        <v>2015</v>
      </c>
      <c r="AF231" s="1" t="str">
        <f t="shared" si="39"/>
        <v>145436</v>
      </c>
    </row>
    <row r="232" spans="1:32" x14ac:dyDescent="0.3">
      <c r="A232" s="1">
        <v>231</v>
      </c>
      <c r="B232" s="1" t="s">
        <v>894</v>
      </c>
      <c r="C232" s="2">
        <v>41895</v>
      </c>
      <c r="D232" s="2">
        <v>41899</v>
      </c>
      <c r="E232" s="1" t="s">
        <v>48</v>
      </c>
      <c r="F232" s="1" t="s">
        <v>895</v>
      </c>
      <c r="G232" s="1" t="s">
        <v>896</v>
      </c>
      <c r="H232" s="1" t="s">
        <v>39</v>
      </c>
      <c r="I232" s="1" t="s">
        <v>25</v>
      </c>
      <c r="J232" s="1" t="s">
        <v>465</v>
      </c>
      <c r="K232" s="1" t="s">
        <v>86</v>
      </c>
      <c r="L232" s="1">
        <v>28205</v>
      </c>
      <c r="M232" s="1" t="s">
        <v>28</v>
      </c>
      <c r="N232" s="1" t="s">
        <v>897</v>
      </c>
      <c r="O232" s="1" t="s">
        <v>44</v>
      </c>
      <c r="P232" s="1" t="s">
        <v>73</v>
      </c>
      <c r="Q232" s="1" t="s">
        <v>898</v>
      </c>
      <c r="R232" s="1">
        <v>18.648</v>
      </c>
      <c r="S232" s="1">
        <v>7</v>
      </c>
      <c r="T232" s="3">
        <v>0.7</v>
      </c>
      <c r="U232" s="4">
        <v>-12.432</v>
      </c>
      <c r="V232" s="1" t="str">
        <f t="shared" si="30"/>
        <v>Standard Class</v>
      </c>
      <c r="W232" s="1" t="str">
        <f t="shared" si="31"/>
        <v>Corporate</v>
      </c>
      <c r="X232" s="1" t="str">
        <f t="shared" si="32"/>
        <v>Charlotte - North Carolina</v>
      </c>
      <c r="Y232" s="1" t="str">
        <f t="shared" si="33"/>
        <v>Binders</v>
      </c>
      <c r="Z232" s="1">
        <f t="shared" si="34"/>
        <v>18.648</v>
      </c>
      <c r="AA232" s="1">
        <f t="shared" si="35"/>
        <v>18.648</v>
      </c>
      <c r="AB232" s="1">
        <f t="shared" si="36"/>
        <v>130.536</v>
      </c>
      <c r="AC232" s="4">
        <f t="shared" si="37"/>
        <v>39.160800000000009</v>
      </c>
      <c r="AD232" s="1" t="s">
        <v>2014</v>
      </c>
      <c r="AE232" s="1" t="str">
        <f t="shared" si="38"/>
        <v>2014</v>
      </c>
      <c r="AF232" s="1" t="str">
        <f t="shared" si="39"/>
        <v>156216</v>
      </c>
    </row>
    <row r="233" spans="1:32" x14ac:dyDescent="0.3">
      <c r="A233" s="1">
        <v>232</v>
      </c>
      <c r="B233" s="1" t="s">
        <v>899</v>
      </c>
      <c r="C233" s="2">
        <v>42832</v>
      </c>
      <c r="D233" s="2">
        <v>42837</v>
      </c>
      <c r="E233" s="1"/>
      <c r="F233" s="1" t="s">
        <v>375</v>
      </c>
      <c r="G233" s="1" t="s">
        <v>376</v>
      </c>
      <c r="H233" s="1" t="s">
        <v>100</v>
      </c>
      <c r="I233" s="1" t="s">
        <v>25</v>
      </c>
      <c r="J233" s="1" t="s">
        <v>900</v>
      </c>
      <c r="K233" s="1" t="s">
        <v>52</v>
      </c>
      <c r="L233" s="1">
        <v>33614</v>
      </c>
      <c r="M233" s="1" t="s">
        <v>28</v>
      </c>
      <c r="N233" s="1" t="s">
        <v>901</v>
      </c>
      <c r="O233" s="1" t="s">
        <v>30</v>
      </c>
      <c r="P233" s="1" t="s">
        <v>54</v>
      </c>
      <c r="Q233" s="1" t="s">
        <v>902</v>
      </c>
      <c r="R233" s="1">
        <v>233.86</v>
      </c>
      <c r="S233" s="1">
        <v>2</v>
      </c>
      <c r="T233" s="3">
        <v>0.45</v>
      </c>
      <c r="U233" s="4">
        <v>-102.048</v>
      </c>
      <c r="V233" s="1" t="str">
        <f t="shared" si="30"/>
        <v>UNKNOWN</v>
      </c>
      <c r="W233" s="1" t="str">
        <f t="shared" si="31"/>
        <v>Home Office</v>
      </c>
      <c r="X233" s="1" t="str">
        <f t="shared" si="32"/>
        <v>Tampa - Florida</v>
      </c>
      <c r="Y233" s="1" t="str">
        <f t="shared" si="33"/>
        <v>Tables</v>
      </c>
      <c r="Z233" s="1">
        <f t="shared" si="34"/>
        <v>233.86</v>
      </c>
      <c r="AA233" s="1">
        <f t="shared" si="35"/>
        <v>233.86</v>
      </c>
      <c r="AB233" s="1">
        <f t="shared" si="36"/>
        <v>467.72</v>
      </c>
      <c r="AC233" s="4">
        <f t="shared" si="37"/>
        <v>257.24600000000004</v>
      </c>
      <c r="AD233" s="1" t="s">
        <v>2014</v>
      </c>
      <c r="AE233" s="1" t="str">
        <f t="shared" si="38"/>
        <v>2017</v>
      </c>
      <c r="AF233" s="1" t="str">
        <f t="shared" si="39"/>
        <v>100930</v>
      </c>
    </row>
    <row r="234" spans="1:32" x14ac:dyDescent="0.3">
      <c r="A234" s="1">
        <v>233</v>
      </c>
      <c r="B234" s="1" t="s">
        <v>899</v>
      </c>
      <c r="C234" s="2">
        <v>42832</v>
      </c>
      <c r="D234" s="2">
        <v>42837</v>
      </c>
      <c r="E234" s="1" t="s">
        <v>48</v>
      </c>
      <c r="F234" s="1" t="s">
        <v>375</v>
      </c>
      <c r="G234" s="1" t="s">
        <v>376</v>
      </c>
      <c r="H234" s="1" t="s">
        <v>100</v>
      </c>
      <c r="I234" s="1" t="s">
        <v>25</v>
      </c>
      <c r="J234" s="1" t="s">
        <v>900</v>
      </c>
      <c r="K234" s="1" t="s">
        <v>52</v>
      </c>
      <c r="L234" s="1">
        <v>33614</v>
      </c>
      <c r="M234" s="1" t="s">
        <v>28</v>
      </c>
      <c r="N234" s="1" t="s">
        <v>903</v>
      </c>
      <c r="O234" s="1" t="s">
        <v>30</v>
      </c>
      <c r="P234" s="1" t="s">
        <v>54</v>
      </c>
      <c r="Q234" s="1" t="s">
        <v>904</v>
      </c>
      <c r="R234" s="1">
        <v>620.61450000000002</v>
      </c>
      <c r="S234" s="1">
        <v>3</v>
      </c>
      <c r="T234" s="3">
        <v>0.45</v>
      </c>
      <c r="U234" s="4">
        <v>-248.2458</v>
      </c>
      <c r="V234" s="1" t="str">
        <f t="shared" si="30"/>
        <v>Standard Class</v>
      </c>
      <c r="W234" s="1" t="str">
        <f t="shared" si="31"/>
        <v>Home Office</v>
      </c>
      <c r="X234" s="1" t="str">
        <f t="shared" si="32"/>
        <v>Tampa - Florida</v>
      </c>
      <c r="Y234" s="1" t="str">
        <f t="shared" si="33"/>
        <v>Tables</v>
      </c>
      <c r="Z234" s="1">
        <f t="shared" si="34"/>
        <v>620.61450000000002</v>
      </c>
      <c r="AA234" s="1">
        <f t="shared" si="35"/>
        <v>620.61450000000002</v>
      </c>
      <c r="AB234" s="1">
        <f t="shared" si="36"/>
        <v>1861.8434999999999</v>
      </c>
      <c r="AC234" s="4">
        <f t="shared" si="37"/>
        <v>1024.013925</v>
      </c>
      <c r="AD234" s="1" t="s">
        <v>2014</v>
      </c>
      <c r="AE234" s="1" t="str">
        <f t="shared" si="38"/>
        <v>2017</v>
      </c>
      <c r="AF234" s="1" t="str">
        <f t="shared" si="39"/>
        <v>100930</v>
      </c>
    </row>
    <row r="235" spans="1:32" x14ac:dyDescent="0.3">
      <c r="A235" s="1">
        <v>234</v>
      </c>
      <c r="B235" s="1" t="s">
        <v>899</v>
      </c>
      <c r="C235" s="2">
        <v>42832</v>
      </c>
      <c r="D235" s="2">
        <v>42837</v>
      </c>
      <c r="E235" s="1" t="s">
        <v>48</v>
      </c>
      <c r="F235" s="1" t="s">
        <v>375</v>
      </c>
      <c r="G235" s="1" t="s">
        <v>376</v>
      </c>
      <c r="H235" s="1" t="s">
        <v>100</v>
      </c>
      <c r="I235" s="1" t="s">
        <v>25</v>
      </c>
      <c r="J235" s="1" t="s">
        <v>900</v>
      </c>
      <c r="K235" s="1" t="s">
        <v>52</v>
      </c>
      <c r="L235" s="1">
        <v>33614</v>
      </c>
      <c r="M235" s="1" t="s">
        <v>28</v>
      </c>
      <c r="N235" s="1" t="s">
        <v>897</v>
      </c>
      <c r="O235" s="1" t="s">
        <v>44</v>
      </c>
      <c r="P235" s="1" t="s">
        <v>73</v>
      </c>
      <c r="Q235" s="1" t="s">
        <v>898</v>
      </c>
      <c r="R235" s="1">
        <v>5.3280000000000003</v>
      </c>
      <c r="S235" s="1">
        <v>2</v>
      </c>
      <c r="T235" s="3">
        <v>0.7</v>
      </c>
      <c r="U235" s="4">
        <v>-3.552</v>
      </c>
      <c r="V235" s="1" t="str">
        <f t="shared" si="30"/>
        <v>Standard Class</v>
      </c>
      <c r="W235" s="1" t="str">
        <f t="shared" si="31"/>
        <v>Home Office</v>
      </c>
      <c r="X235" s="1" t="str">
        <f t="shared" si="32"/>
        <v>Tampa - Florida</v>
      </c>
      <c r="Y235" s="1" t="str">
        <f t="shared" si="33"/>
        <v>Binders</v>
      </c>
      <c r="Z235" s="1">
        <f t="shared" si="34"/>
        <v>5.3280000000000003</v>
      </c>
      <c r="AA235" s="1">
        <f t="shared" si="35"/>
        <v>5.3280000000000003</v>
      </c>
      <c r="AB235" s="1">
        <f t="shared" si="36"/>
        <v>10.656000000000001</v>
      </c>
      <c r="AC235" s="4">
        <f t="shared" si="37"/>
        <v>3.1968000000000005</v>
      </c>
      <c r="AD235" s="1" t="s">
        <v>2014</v>
      </c>
      <c r="AE235" s="1" t="str">
        <f t="shared" si="38"/>
        <v>2017</v>
      </c>
      <c r="AF235" s="1" t="str">
        <f t="shared" si="39"/>
        <v>100930</v>
      </c>
    </row>
    <row r="236" spans="1:32" x14ac:dyDescent="0.3">
      <c r="A236" s="1">
        <v>235</v>
      </c>
      <c r="B236" s="1" t="s">
        <v>899</v>
      </c>
      <c r="C236" s="2">
        <v>42832</v>
      </c>
      <c r="D236" s="2">
        <v>42837</v>
      </c>
      <c r="E236" s="1" t="s">
        <v>48</v>
      </c>
      <c r="F236" s="1" t="s">
        <v>375</v>
      </c>
      <c r="G236" s="1" t="s">
        <v>376</v>
      </c>
      <c r="H236" s="1" t="s">
        <v>100</v>
      </c>
      <c r="I236" s="1" t="s">
        <v>25</v>
      </c>
      <c r="J236" s="1" t="s">
        <v>900</v>
      </c>
      <c r="K236" s="1" t="s">
        <v>52</v>
      </c>
      <c r="L236" s="1">
        <v>33614</v>
      </c>
      <c r="M236" s="1" t="s">
        <v>28</v>
      </c>
      <c r="N236" s="1" t="s">
        <v>905</v>
      </c>
      <c r="O236" s="1" t="s">
        <v>30</v>
      </c>
      <c r="P236" s="1" t="s">
        <v>63</v>
      </c>
      <c r="Q236" s="1" t="s">
        <v>906</v>
      </c>
      <c r="R236" s="1">
        <v>258.072</v>
      </c>
      <c r="S236" s="1">
        <v>3</v>
      </c>
      <c r="T236" s="3">
        <v>0.2</v>
      </c>
      <c r="U236" s="4">
        <v>0</v>
      </c>
      <c r="V236" s="1" t="str">
        <f t="shared" si="30"/>
        <v>Standard Class</v>
      </c>
      <c r="W236" s="1" t="str">
        <f t="shared" si="31"/>
        <v>Home Office</v>
      </c>
      <c r="X236" s="1" t="str">
        <f t="shared" si="32"/>
        <v>Tampa - Florida</v>
      </c>
      <c r="Y236" s="1" t="str">
        <f t="shared" si="33"/>
        <v>Furnishings</v>
      </c>
      <c r="Z236" s="1">
        <f t="shared" si="34"/>
        <v>258.072</v>
      </c>
      <c r="AA236" s="1">
        <f t="shared" si="35"/>
        <v>258.072</v>
      </c>
      <c r="AB236" s="1">
        <f t="shared" si="36"/>
        <v>774.21600000000001</v>
      </c>
      <c r="AC236" s="4">
        <f t="shared" si="37"/>
        <v>619.3728000000001</v>
      </c>
      <c r="AD236" s="1" t="s">
        <v>2014</v>
      </c>
      <c r="AE236" s="1" t="str">
        <f t="shared" si="38"/>
        <v>2017</v>
      </c>
      <c r="AF236" s="1" t="str">
        <f t="shared" si="39"/>
        <v>100930</v>
      </c>
    </row>
    <row r="237" spans="1:32" x14ac:dyDescent="0.3">
      <c r="A237" s="1">
        <v>236</v>
      </c>
      <c r="B237" s="1" t="s">
        <v>899</v>
      </c>
      <c r="C237" s="2">
        <v>42832</v>
      </c>
      <c r="D237" s="2">
        <v>42837</v>
      </c>
      <c r="E237" s="1" t="s">
        <v>48</v>
      </c>
      <c r="F237" s="1" t="s">
        <v>375</v>
      </c>
      <c r="G237" s="1" t="s">
        <v>376</v>
      </c>
      <c r="H237" s="1" t="s">
        <v>100</v>
      </c>
      <c r="I237" s="1" t="s">
        <v>25</v>
      </c>
      <c r="J237" s="1" t="s">
        <v>900</v>
      </c>
      <c r="K237" s="1" t="s">
        <v>52</v>
      </c>
      <c r="L237" s="1">
        <v>33614</v>
      </c>
      <c r="M237" s="1" t="s">
        <v>28</v>
      </c>
      <c r="N237" s="1" t="s">
        <v>907</v>
      </c>
      <c r="O237" s="1" t="s">
        <v>69</v>
      </c>
      <c r="P237" s="1" t="s">
        <v>159</v>
      </c>
      <c r="Q237" s="1" t="s">
        <v>908</v>
      </c>
      <c r="R237" s="1">
        <v>617.976</v>
      </c>
      <c r="S237" s="1">
        <v>3</v>
      </c>
      <c r="T237" s="3">
        <v>0.2</v>
      </c>
      <c r="U237" s="4">
        <v>-7.7247000000000003</v>
      </c>
      <c r="V237" s="1" t="str">
        <f t="shared" si="30"/>
        <v>Standard Class</v>
      </c>
      <c r="W237" s="1" t="str">
        <f t="shared" si="31"/>
        <v>Home Office</v>
      </c>
      <c r="X237" s="1" t="str">
        <f t="shared" si="32"/>
        <v>Tampa - Florida</v>
      </c>
      <c r="Y237" s="1" t="str">
        <f t="shared" si="33"/>
        <v>Accessories</v>
      </c>
      <c r="Z237" s="1">
        <f t="shared" si="34"/>
        <v>617.976</v>
      </c>
      <c r="AA237" s="1">
        <f t="shared" si="35"/>
        <v>617.976</v>
      </c>
      <c r="AB237" s="1">
        <f t="shared" si="36"/>
        <v>1853.9279999999999</v>
      </c>
      <c r="AC237" s="4">
        <f t="shared" si="37"/>
        <v>1483.1424</v>
      </c>
      <c r="AD237" s="1" t="s">
        <v>2014</v>
      </c>
      <c r="AE237" s="1" t="str">
        <f t="shared" si="38"/>
        <v>2017</v>
      </c>
      <c r="AF237" s="1" t="str">
        <f t="shared" si="39"/>
        <v>100930</v>
      </c>
    </row>
    <row r="238" spans="1:32" x14ac:dyDescent="0.3">
      <c r="A238" s="1">
        <v>237</v>
      </c>
      <c r="B238" s="1" t="s">
        <v>909</v>
      </c>
      <c r="C238" s="2">
        <v>43051</v>
      </c>
      <c r="D238" s="2">
        <v>43055</v>
      </c>
      <c r="E238" s="1" t="s">
        <v>48</v>
      </c>
      <c r="F238" s="1" t="s">
        <v>910</v>
      </c>
      <c r="G238" s="1" t="s">
        <v>911</v>
      </c>
      <c r="H238" s="1" t="s">
        <v>39</v>
      </c>
      <c r="I238" s="1" t="s">
        <v>25</v>
      </c>
      <c r="J238" s="1" t="s">
        <v>912</v>
      </c>
      <c r="K238" s="1" t="s">
        <v>41</v>
      </c>
      <c r="L238" s="1">
        <v>95051</v>
      </c>
      <c r="M238" s="1" t="s">
        <v>42</v>
      </c>
      <c r="N238" s="1" t="s">
        <v>913</v>
      </c>
      <c r="O238" s="1" t="s">
        <v>44</v>
      </c>
      <c r="P238" s="1" t="s">
        <v>88</v>
      </c>
      <c r="Q238" s="1" t="s">
        <v>914</v>
      </c>
      <c r="R238" s="1">
        <v>10.56</v>
      </c>
      <c r="S238" s="1">
        <v>2</v>
      </c>
      <c r="T238" s="3">
        <v>0</v>
      </c>
      <c r="U238" s="4">
        <v>4.7519999999999998</v>
      </c>
      <c r="V238" s="1" t="str">
        <f t="shared" si="30"/>
        <v>Standard Class</v>
      </c>
      <c r="W238" s="1" t="str">
        <f t="shared" si="31"/>
        <v>Corporate</v>
      </c>
      <c r="X238" s="1" t="str">
        <f t="shared" si="32"/>
        <v>Santa Clara - California</v>
      </c>
      <c r="Y238" s="1" t="str">
        <f t="shared" si="33"/>
        <v>Paper</v>
      </c>
      <c r="Z238" s="1">
        <f t="shared" si="34"/>
        <v>10.56</v>
      </c>
      <c r="AA238" s="1">
        <f t="shared" si="35"/>
        <v>10.56</v>
      </c>
      <c r="AB238" s="1">
        <f t="shared" si="36"/>
        <v>21.12</v>
      </c>
      <c r="AC238" s="4">
        <f t="shared" si="37"/>
        <v>21.12</v>
      </c>
      <c r="AD238" s="1" t="s">
        <v>2013</v>
      </c>
      <c r="AE238" s="1" t="str">
        <f t="shared" si="38"/>
        <v>2017</v>
      </c>
      <c r="AF238" s="1" t="str">
        <f t="shared" si="39"/>
        <v>160514</v>
      </c>
    </row>
    <row r="239" spans="1:32" x14ac:dyDescent="0.3">
      <c r="A239" s="1">
        <v>238</v>
      </c>
      <c r="B239" s="1" t="s">
        <v>915</v>
      </c>
      <c r="C239" s="2">
        <v>42525</v>
      </c>
      <c r="D239" s="2">
        <v>42530</v>
      </c>
      <c r="E239" s="1" t="s">
        <v>21</v>
      </c>
      <c r="F239" s="1" t="s">
        <v>916</v>
      </c>
      <c r="G239" s="1" t="s">
        <v>917</v>
      </c>
      <c r="H239" s="1" t="s">
        <v>24</v>
      </c>
      <c r="I239" s="1" t="s">
        <v>25</v>
      </c>
      <c r="J239" s="1" t="s">
        <v>301</v>
      </c>
      <c r="K239" s="1" t="s">
        <v>209</v>
      </c>
      <c r="L239" s="1">
        <v>60610</v>
      </c>
      <c r="M239" s="1" t="s">
        <v>103</v>
      </c>
      <c r="N239" s="1" t="s">
        <v>918</v>
      </c>
      <c r="O239" s="1" t="s">
        <v>44</v>
      </c>
      <c r="P239" s="1" t="s">
        <v>88</v>
      </c>
      <c r="Q239" s="1" t="s">
        <v>919</v>
      </c>
      <c r="R239" s="1">
        <v>25.92</v>
      </c>
      <c r="S239" s="1">
        <v>5</v>
      </c>
      <c r="T239" s="3">
        <v>0.2</v>
      </c>
      <c r="U239" s="4">
        <v>9.3960000000000008</v>
      </c>
      <c r="V239" s="1" t="str">
        <f t="shared" si="30"/>
        <v>Second Class</v>
      </c>
      <c r="W239" s="1" t="str">
        <f t="shared" si="31"/>
        <v>Consumer</v>
      </c>
      <c r="X239" s="1" t="str">
        <f t="shared" si="32"/>
        <v>Chicago - Illinois</v>
      </c>
      <c r="Y239" s="1" t="str">
        <f t="shared" si="33"/>
        <v>Paper</v>
      </c>
      <c r="Z239" s="1">
        <f t="shared" si="34"/>
        <v>25.92</v>
      </c>
      <c r="AA239" s="1">
        <f t="shared" si="35"/>
        <v>25.92</v>
      </c>
      <c r="AB239" s="1">
        <f t="shared" si="36"/>
        <v>129.60000000000002</v>
      </c>
      <c r="AC239" s="4">
        <f t="shared" si="37"/>
        <v>103.68000000000002</v>
      </c>
      <c r="AD239" s="1" t="s">
        <v>2013</v>
      </c>
      <c r="AE239" s="1" t="str">
        <f t="shared" si="38"/>
        <v>2016</v>
      </c>
      <c r="AF239" s="1" t="str">
        <f t="shared" si="39"/>
        <v>157749</v>
      </c>
    </row>
    <row r="240" spans="1:32" x14ac:dyDescent="0.3">
      <c r="A240" s="1">
        <v>239</v>
      </c>
      <c r="B240" s="1" t="s">
        <v>915</v>
      </c>
      <c r="C240" s="2">
        <v>42525</v>
      </c>
      <c r="D240" s="2">
        <v>42530</v>
      </c>
      <c r="E240" s="1" t="s">
        <v>21</v>
      </c>
      <c r="F240" s="1" t="s">
        <v>916</v>
      </c>
      <c r="G240" s="1" t="s">
        <v>917</v>
      </c>
      <c r="H240" s="1" t="s">
        <v>24</v>
      </c>
      <c r="I240" s="1" t="s">
        <v>25</v>
      </c>
      <c r="J240" s="1" t="s">
        <v>301</v>
      </c>
      <c r="K240" s="1" t="s">
        <v>209</v>
      </c>
      <c r="L240" s="1">
        <v>60610</v>
      </c>
      <c r="M240" s="1" t="s">
        <v>103</v>
      </c>
      <c r="N240" s="1" t="s">
        <v>920</v>
      </c>
      <c r="O240" s="1" t="s">
        <v>30</v>
      </c>
      <c r="P240" s="1" t="s">
        <v>63</v>
      </c>
      <c r="Q240" s="1" t="s">
        <v>921</v>
      </c>
      <c r="R240" s="1">
        <v>419.68</v>
      </c>
      <c r="S240" s="1">
        <v>5</v>
      </c>
      <c r="T240" s="3">
        <v>0.6</v>
      </c>
      <c r="U240" s="4">
        <v>-356.72800000000001</v>
      </c>
      <c r="V240" s="1" t="str">
        <f t="shared" si="30"/>
        <v>Second Class</v>
      </c>
      <c r="W240" s="1" t="str">
        <f t="shared" si="31"/>
        <v>Consumer</v>
      </c>
      <c r="X240" s="1" t="str">
        <f t="shared" si="32"/>
        <v>Chicago - Illinois</v>
      </c>
      <c r="Y240" s="1" t="str">
        <f t="shared" si="33"/>
        <v>Furnishings</v>
      </c>
      <c r="Z240" s="1">
        <f t="shared" si="34"/>
        <v>419.68</v>
      </c>
      <c r="AA240" s="1">
        <f t="shared" si="35"/>
        <v>419.68</v>
      </c>
      <c r="AB240" s="1">
        <f t="shared" si="36"/>
        <v>2098.4</v>
      </c>
      <c r="AC240" s="4">
        <f t="shared" si="37"/>
        <v>839.36000000000013</v>
      </c>
      <c r="AD240" s="1" t="s">
        <v>2013</v>
      </c>
      <c r="AE240" s="1" t="str">
        <f t="shared" si="38"/>
        <v>2016</v>
      </c>
      <c r="AF240" s="1" t="str">
        <f t="shared" si="39"/>
        <v>157749</v>
      </c>
    </row>
    <row r="241" spans="1:32" x14ac:dyDescent="0.3">
      <c r="A241" s="1">
        <v>240</v>
      </c>
      <c r="B241" s="1" t="s">
        <v>915</v>
      </c>
      <c r="C241" s="2">
        <v>42525</v>
      </c>
      <c r="D241" s="2">
        <v>42530</v>
      </c>
      <c r="E241" s="1" t="s">
        <v>21</v>
      </c>
      <c r="F241" s="1" t="s">
        <v>916</v>
      </c>
      <c r="G241" s="1" t="s">
        <v>917</v>
      </c>
      <c r="H241" s="1" t="s">
        <v>24</v>
      </c>
      <c r="I241" s="1" t="s">
        <v>25</v>
      </c>
      <c r="J241" s="1" t="s">
        <v>301</v>
      </c>
      <c r="K241" s="1" t="s">
        <v>209</v>
      </c>
      <c r="L241" s="1">
        <v>60610</v>
      </c>
      <c r="M241" s="1" t="s">
        <v>103</v>
      </c>
      <c r="N241" s="1" t="s">
        <v>922</v>
      </c>
      <c r="O241" s="1" t="s">
        <v>30</v>
      </c>
      <c r="P241" s="1" t="s">
        <v>63</v>
      </c>
      <c r="Q241" s="1" t="s">
        <v>923</v>
      </c>
      <c r="R241" s="1">
        <v>11.688000000000001</v>
      </c>
      <c r="S241" s="1">
        <v>3</v>
      </c>
      <c r="T241" s="3">
        <v>0.6</v>
      </c>
      <c r="U241" s="4">
        <v>-4.6752000000000002</v>
      </c>
      <c r="V241" s="1" t="str">
        <f t="shared" si="30"/>
        <v>Second Class</v>
      </c>
      <c r="W241" s="1" t="str">
        <f t="shared" si="31"/>
        <v>Consumer</v>
      </c>
      <c r="X241" s="1" t="str">
        <f t="shared" si="32"/>
        <v>Chicago - Illinois</v>
      </c>
      <c r="Y241" s="1" t="str">
        <f t="shared" si="33"/>
        <v>Furnishings</v>
      </c>
      <c r="Z241" s="1">
        <f t="shared" si="34"/>
        <v>11.688000000000001</v>
      </c>
      <c r="AA241" s="1">
        <f t="shared" si="35"/>
        <v>11.688000000000001</v>
      </c>
      <c r="AB241" s="1">
        <f t="shared" si="36"/>
        <v>35.064</v>
      </c>
      <c r="AC241" s="4">
        <f t="shared" si="37"/>
        <v>14.025600000000001</v>
      </c>
      <c r="AD241" s="1" t="s">
        <v>2013</v>
      </c>
      <c r="AE241" s="1" t="str">
        <f t="shared" si="38"/>
        <v>2016</v>
      </c>
      <c r="AF241" s="1" t="str">
        <f t="shared" si="39"/>
        <v>157749</v>
      </c>
    </row>
    <row r="242" spans="1:32" x14ac:dyDescent="0.3">
      <c r="A242" s="1">
        <v>241</v>
      </c>
      <c r="B242" s="1" t="s">
        <v>915</v>
      </c>
      <c r="C242" s="2">
        <v>42525</v>
      </c>
      <c r="D242" s="2">
        <v>42530</v>
      </c>
      <c r="E242" s="1" t="s">
        <v>21</v>
      </c>
      <c r="F242" s="1" t="s">
        <v>916</v>
      </c>
      <c r="G242" s="1" t="s">
        <v>917</v>
      </c>
      <c r="H242" s="1" t="s">
        <v>24</v>
      </c>
      <c r="I242" s="1" t="s">
        <v>25</v>
      </c>
      <c r="J242" s="1" t="s">
        <v>301</v>
      </c>
      <c r="K242" s="1" t="s">
        <v>209</v>
      </c>
      <c r="L242" s="1">
        <v>60610</v>
      </c>
      <c r="M242" s="1" t="s">
        <v>103</v>
      </c>
      <c r="N242" s="1" t="s">
        <v>924</v>
      </c>
      <c r="O242" s="1" t="s">
        <v>69</v>
      </c>
      <c r="P242" s="1" t="s">
        <v>70</v>
      </c>
      <c r="Q242" s="1" t="s">
        <v>925</v>
      </c>
      <c r="R242" s="1">
        <v>31.984000000000002</v>
      </c>
      <c r="S242" s="1">
        <v>2</v>
      </c>
      <c r="T242" s="3">
        <v>0.2</v>
      </c>
      <c r="U242" s="4">
        <v>11.1944</v>
      </c>
      <c r="V242" s="1" t="str">
        <f t="shared" si="30"/>
        <v>Second Class</v>
      </c>
      <c r="W242" s="1" t="str">
        <f t="shared" si="31"/>
        <v>Consumer</v>
      </c>
      <c r="X242" s="1" t="str">
        <f t="shared" si="32"/>
        <v>Chicago - Illinois</v>
      </c>
      <c r="Y242" s="1" t="str">
        <f t="shared" si="33"/>
        <v>Phones</v>
      </c>
      <c r="Z242" s="1">
        <f t="shared" si="34"/>
        <v>31.984000000000002</v>
      </c>
      <c r="AA242" s="1">
        <f t="shared" si="35"/>
        <v>31.984000000000002</v>
      </c>
      <c r="AB242" s="1">
        <f t="shared" si="36"/>
        <v>63.968000000000004</v>
      </c>
      <c r="AC242" s="4">
        <f t="shared" si="37"/>
        <v>51.174400000000006</v>
      </c>
      <c r="AD242" s="1" t="s">
        <v>2013</v>
      </c>
      <c r="AE242" s="1" t="str">
        <f t="shared" si="38"/>
        <v>2016</v>
      </c>
      <c r="AF242" s="1" t="str">
        <f t="shared" si="39"/>
        <v>157749</v>
      </c>
    </row>
    <row r="243" spans="1:32" x14ac:dyDescent="0.3">
      <c r="A243" s="1">
        <v>242</v>
      </c>
      <c r="B243" s="1" t="s">
        <v>915</v>
      </c>
      <c r="C243" s="2">
        <v>42525</v>
      </c>
      <c r="D243" s="2">
        <v>42530</v>
      </c>
      <c r="E243" s="1" t="s">
        <v>21</v>
      </c>
      <c r="F243" s="1" t="s">
        <v>916</v>
      </c>
      <c r="G243" s="1" t="s">
        <v>917</v>
      </c>
      <c r="H243" s="1" t="s">
        <v>24</v>
      </c>
      <c r="I243" s="1" t="s">
        <v>25</v>
      </c>
      <c r="J243" s="1" t="s">
        <v>301</v>
      </c>
      <c r="K243" s="1" t="s">
        <v>209</v>
      </c>
      <c r="L243" s="1">
        <v>60610</v>
      </c>
      <c r="M243" s="1" t="s">
        <v>103</v>
      </c>
      <c r="N243" s="1" t="s">
        <v>926</v>
      </c>
      <c r="O243" s="1" t="s">
        <v>30</v>
      </c>
      <c r="P243" s="1" t="s">
        <v>54</v>
      </c>
      <c r="Q243" s="1" t="s">
        <v>927</v>
      </c>
      <c r="R243" s="1">
        <v>177.22499999999999</v>
      </c>
      <c r="S243" s="1">
        <v>5</v>
      </c>
      <c r="T243" s="3">
        <v>0.5</v>
      </c>
      <c r="U243" s="4">
        <v>-120.51300000000001</v>
      </c>
      <c r="V243" s="1" t="str">
        <f t="shared" si="30"/>
        <v>Second Class</v>
      </c>
      <c r="W243" s="1" t="str">
        <f t="shared" si="31"/>
        <v>Consumer</v>
      </c>
      <c r="X243" s="1" t="str">
        <f t="shared" si="32"/>
        <v>Chicago - Illinois</v>
      </c>
      <c r="Y243" s="1" t="str">
        <f t="shared" si="33"/>
        <v>Tables</v>
      </c>
      <c r="Z243" s="1">
        <f t="shared" si="34"/>
        <v>177.22499999999999</v>
      </c>
      <c r="AA243" s="1">
        <f t="shared" si="35"/>
        <v>177.22499999999999</v>
      </c>
      <c r="AB243" s="1">
        <f t="shared" si="36"/>
        <v>886.125</v>
      </c>
      <c r="AC243" s="4">
        <f t="shared" si="37"/>
        <v>443.0625</v>
      </c>
      <c r="AD243" s="1" t="s">
        <v>2013</v>
      </c>
      <c r="AE243" s="1" t="str">
        <f t="shared" si="38"/>
        <v>2016</v>
      </c>
      <c r="AF243" s="1" t="str">
        <f t="shared" si="39"/>
        <v>157749</v>
      </c>
    </row>
    <row r="244" spans="1:32" x14ac:dyDescent="0.3">
      <c r="A244" s="1">
        <v>243</v>
      </c>
      <c r="B244" s="1" t="s">
        <v>915</v>
      </c>
      <c r="C244" s="2">
        <v>42525</v>
      </c>
      <c r="D244" s="2">
        <v>42530</v>
      </c>
      <c r="E244" s="1" t="s">
        <v>21</v>
      </c>
      <c r="F244" s="1" t="s">
        <v>916</v>
      </c>
      <c r="G244" s="1" t="s">
        <v>917</v>
      </c>
      <c r="H244" s="1" t="s">
        <v>24</v>
      </c>
      <c r="I244" s="1" t="s">
        <v>25</v>
      </c>
      <c r="J244" s="1" t="s">
        <v>301</v>
      </c>
      <c r="K244" s="1" t="s">
        <v>209</v>
      </c>
      <c r="L244" s="1">
        <v>60610</v>
      </c>
      <c r="M244" s="1" t="s">
        <v>103</v>
      </c>
      <c r="N244" s="1" t="s">
        <v>928</v>
      </c>
      <c r="O244" s="1" t="s">
        <v>30</v>
      </c>
      <c r="P244" s="1" t="s">
        <v>63</v>
      </c>
      <c r="Q244" s="1" t="s">
        <v>929</v>
      </c>
      <c r="R244" s="1">
        <v>4.0439999999999996</v>
      </c>
      <c r="S244" s="1">
        <v>3</v>
      </c>
      <c r="T244" s="3">
        <v>0.6</v>
      </c>
      <c r="U244" s="4">
        <v>-2.8308</v>
      </c>
      <c r="V244" s="1" t="str">
        <f t="shared" si="30"/>
        <v>Second Class</v>
      </c>
      <c r="W244" s="1" t="str">
        <f t="shared" si="31"/>
        <v>Consumer</v>
      </c>
      <c r="X244" s="1" t="str">
        <f t="shared" si="32"/>
        <v>Chicago - Illinois</v>
      </c>
      <c r="Y244" s="1" t="str">
        <f t="shared" si="33"/>
        <v>Furnishings</v>
      </c>
      <c r="Z244" s="1">
        <f t="shared" si="34"/>
        <v>4.0439999999999996</v>
      </c>
      <c r="AA244" s="1">
        <f t="shared" si="35"/>
        <v>4.0439999999999996</v>
      </c>
      <c r="AB244" s="1">
        <f t="shared" si="36"/>
        <v>12.131999999999998</v>
      </c>
      <c r="AC244" s="4">
        <f t="shared" si="37"/>
        <v>4.8527999999999993</v>
      </c>
      <c r="AD244" s="1" t="s">
        <v>2013</v>
      </c>
      <c r="AE244" s="1" t="str">
        <f t="shared" si="38"/>
        <v>2016</v>
      </c>
      <c r="AF244" s="1" t="str">
        <f t="shared" si="39"/>
        <v>157749</v>
      </c>
    </row>
    <row r="245" spans="1:32" x14ac:dyDescent="0.3">
      <c r="A245" s="1">
        <v>244</v>
      </c>
      <c r="B245" s="1" t="s">
        <v>915</v>
      </c>
      <c r="C245" s="2">
        <v>42525</v>
      </c>
      <c r="D245" s="2">
        <v>42530</v>
      </c>
      <c r="E245" s="1" t="s">
        <v>21</v>
      </c>
      <c r="F245" s="1" t="s">
        <v>916</v>
      </c>
      <c r="G245" s="1" t="s">
        <v>917</v>
      </c>
      <c r="H245" s="1" t="s">
        <v>24</v>
      </c>
      <c r="I245" s="1" t="s">
        <v>25</v>
      </c>
      <c r="J245" s="1" t="s">
        <v>301</v>
      </c>
      <c r="K245" s="1" t="s">
        <v>209</v>
      </c>
      <c r="L245" s="1">
        <v>60610</v>
      </c>
      <c r="M245" s="1" t="s">
        <v>103</v>
      </c>
      <c r="N245" s="1" t="s">
        <v>780</v>
      </c>
      <c r="O245" s="1" t="s">
        <v>44</v>
      </c>
      <c r="P245" s="1" t="s">
        <v>66</v>
      </c>
      <c r="Q245" s="1" t="s">
        <v>781</v>
      </c>
      <c r="R245" s="1">
        <v>7.4080000000000004</v>
      </c>
      <c r="S245" s="1">
        <v>2</v>
      </c>
      <c r="T245" s="3">
        <v>0.2</v>
      </c>
      <c r="U245" s="4">
        <v>1.2038</v>
      </c>
      <c r="V245" s="1" t="str">
        <f t="shared" si="30"/>
        <v>Second Class</v>
      </c>
      <c r="W245" s="1" t="str">
        <f t="shared" si="31"/>
        <v>Consumer</v>
      </c>
      <c r="X245" s="1" t="str">
        <f t="shared" si="32"/>
        <v>Chicago - Illinois</v>
      </c>
      <c r="Y245" s="1" t="str">
        <f t="shared" si="33"/>
        <v>Art</v>
      </c>
      <c r="Z245" s="1">
        <f t="shared" si="34"/>
        <v>7.4080000000000004</v>
      </c>
      <c r="AA245" s="1">
        <f t="shared" si="35"/>
        <v>7.4080000000000004</v>
      </c>
      <c r="AB245" s="1">
        <f t="shared" si="36"/>
        <v>14.816000000000001</v>
      </c>
      <c r="AC245" s="4">
        <f t="shared" si="37"/>
        <v>11.852800000000002</v>
      </c>
      <c r="AD245" s="1" t="s">
        <v>2013</v>
      </c>
      <c r="AE245" s="1" t="str">
        <f t="shared" si="38"/>
        <v>2016</v>
      </c>
      <c r="AF245" s="1" t="str">
        <f t="shared" si="39"/>
        <v>157749</v>
      </c>
    </row>
    <row r="246" spans="1:32" x14ac:dyDescent="0.3">
      <c r="A246" s="1">
        <v>245</v>
      </c>
      <c r="B246" s="1" t="s">
        <v>930</v>
      </c>
      <c r="C246" s="2">
        <v>41791</v>
      </c>
      <c r="D246" s="2">
        <v>41796</v>
      </c>
      <c r="E246" s="1" t="s">
        <v>21</v>
      </c>
      <c r="F246" s="1" t="s">
        <v>931</v>
      </c>
      <c r="G246" s="1" t="s">
        <v>932</v>
      </c>
      <c r="H246" s="1" t="s">
        <v>100</v>
      </c>
      <c r="I246" s="1" t="s">
        <v>25</v>
      </c>
      <c r="J246" s="1" t="s">
        <v>933</v>
      </c>
      <c r="K246" s="1" t="s">
        <v>227</v>
      </c>
      <c r="L246" s="1">
        <v>55044</v>
      </c>
      <c r="M246" s="1" t="s">
        <v>103</v>
      </c>
      <c r="N246" s="1" t="s">
        <v>531</v>
      </c>
      <c r="O246" s="1" t="s">
        <v>30</v>
      </c>
      <c r="P246" s="1" t="s">
        <v>34</v>
      </c>
      <c r="Q246" s="1" t="s">
        <v>532</v>
      </c>
      <c r="R246" s="1">
        <v>2001.86</v>
      </c>
      <c r="S246" s="1">
        <v>7</v>
      </c>
      <c r="T246" s="3">
        <v>0</v>
      </c>
      <c r="U246" s="4">
        <v>580.5394</v>
      </c>
      <c r="V246" s="1" t="str">
        <f t="shared" si="30"/>
        <v>Second Class</v>
      </c>
      <c r="W246" s="1" t="str">
        <f t="shared" si="31"/>
        <v>Home Office</v>
      </c>
      <c r="X246" s="1" t="str">
        <f t="shared" si="32"/>
        <v>Lakeville - Minnesota</v>
      </c>
      <c r="Y246" s="1" t="str">
        <f t="shared" si="33"/>
        <v>Chairs</v>
      </c>
      <c r="Z246" s="1">
        <f t="shared" si="34"/>
        <v>2001.86</v>
      </c>
      <c r="AA246" s="1">
        <f t="shared" si="35"/>
        <v>2001.86</v>
      </c>
      <c r="AB246" s="1">
        <f t="shared" si="36"/>
        <v>14013.019999999999</v>
      </c>
      <c r="AC246" s="4">
        <f t="shared" si="37"/>
        <v>14013.019999999999</v>
      </c>
      <c r="AD246" s="1" t="s">
        <v>2013</v>
      </c>
      <c r="AE246" s="1" t="str">
        <f t="shared" si="38"/>
        <v>2014</v>
      </c>
      <c r="AF246" s="1" t="str">
        <f t="shared" si="39"/>
        <v>131926</v>
      </c>
    </row>
    <row r="247" spans="1:32" x14ac:dyDescent="0.3">
      <c r="A247" s="1">
        <v>246</v>
      </c>
      <c r="B247" s="1" t="s">
        <v>930</v>
      </c>
      <c r="C247" s="2">
        <v>41791</v>
      </c>
      <c r="D247" s="2">
        <v>41796</v>
      </c>
      <c r="E247" s="1" t="s">
        <v>21</v>
      </c>
      <c r="F247" s="1" t="s">
        <v>931</v>
      </c>
      <c r="G247" s="1" t="s">
        <v>932</v>
      </c>
      <c r="H247" s="1" t="s">
        <v>100</v>
      </c>
      <c r="I247" s="1" t="s">
        <v>25</v>
      </c>
      <c r="J247" s="1" t="s">
        <v>933</v>
      </c>
      <c r="K247" s="1" t="s">
        <v>227</v>
      </c>
      <c r="L247" s="1">
        <v>55044</v>
      </c>
      <c r="M247" s="1" t="s">
        <v>103</v>
      </c>
      <c r="N247" s="1" t="s">
        <v>934</v>
      </c>
      <c r="O247" s="1" t="s">
        <v>44</v>
      </c>
      <c r="P247" s="1" t="s">
        <v>57</v>
      </c>
      <c r="Q247" s="1" t="s">
        <v>935</v>
      </c>
      <c r="R247" s="1">
        <v>166.72</v>
      </c>
      <c r="S247" s="1">
        <v>2</v>
      </c>
      <c r="T247" s="3">
        <v>0</v>
      </c>
      <c r="U247" s="4">
        <v>41.68</v>
      </c>
      <c r="V247" s="1" t="str">
        <f t="shared" si="30"/>
        <v>Second Class</v>
      </c>
      <c r="W247" s="1" t="str">
        <f t="shared" si="31"/>
        <v>Home Office</v>
      </c>
      <c r="X247" s="1" t="str">
        <f t="shared" si="32"/>
        <v>Lakeville - Minnesota</v>
      </c>
      <c r="Y247" s="1" t="str">
        <f t="shared" si="33"/>
        <v>Storage</v>
      </c>
      <c r="Z247" s="1">
        <f t="shared" si="34"/>
        <v>166.72</v>
      </c>
      <c r="AA247" s="1">
        <f t="shared" si="35"/>
        <v>166.72</v>
      </c>
      <c r="AB247" s="1">
        <f t="shared" si="36"/>
        <v>333.44</v>
      </c>
      <c r="AC247" s="4">
        <f t="shared" si="37"/>
        <v>333.44</v>
      </c>
      <c r="AD247" s="1" t="s">
        <v>2013</v>
      </c>
      <c r="AE247" s="1" t="str">
        <f t="shared" si="38"/>
        <v>2014</v>
      </c>
      <c r="AF247" s="1" t="str">
        <f t="shared" si="39"/>
        <v>131926</v>
      </c>
    </row>
    <row r="248" spans="1:32" x14ac:dyDescent="0.3">
      <c r="A248" s="1">
        <v>247</v>
      </c>
      <c r="B248" s="1" t="s">
        <v>930</v>
      </c>
      <c r="C248" s="2">
        <v>41791</v>
      </c>
      <c r="D248" s="2">
        <v>41796</v>
      </c>
      <c r="E248" s="1" t="s">
        <v>21</v>
      </c>
      <c r="F248" s="1" t="s">
        <v>931</v>
      </c>
      <c r="G248" s="1" t="s">
        <v>932</v>
      </c>
      <c r="H248" s="1"/>
      <c r="I248" s="1" t="s">
        <v>25</v>
      </c>
      <c r="J248" s="1" t="s">
        <v>933</v>
      </c>
      <c r="K248" s="1" t="s">
        <v>227</v>
      </c>
      <c r="L248" s="1">
        <v>55044</v>
      </c>
      <c r="M248" s="1" t="s">
        <v>103</v>
      </c>
      <c r="N248" s="1" t="s">
        <v>936</v>
      </c>
      <c r="O248" s="1" t="s">
        <v>44</v>
      </c>
      <c r="P248" s="1" t="s">
        <v>88</v>
      </c>
      <c r="Q248" s="1" t="s">
        <v>937</v>
      </c>
      <c r="R248" s="1">
        <v>47.88</v>
      </c>
      <c r="S248" s="1">
        <v>6</v>
      </c>
      <c r="T248" s="3">
        <v>0</v>
      </c>
      <c r="U248" s="4">
        <v>23.94</v>
      </c>
      <c r="V248" s="1" t="str">
        <f t="shared" si="30"/>
        <v>Second Class</v>
      </c>
      <c r="W248" s="1" t="str">
        <f t="shared" si="31"/>
        <v>UNKNOWN</v>
      </c>
      <c r="X248" s="1" t="str">
        <f t="shared" si="32"/>
        <v>Lakeville - Minnesota</v>
      </c>
      <c r="Y248" s="1" t="str">
        <f t="shared" si="33"/>
        <v>Paper</v>
      </c>
      <c r="Z248" s="1">
        <f t="shared" si="34"/>
        <v>47.88</v>
      </c>
      <c r="AA248" s="1">
        <f t="shared" si="35"/>
        <v>47.88</v>
      </c>
      <c r="AB248" s="1">
        <f t="shared" si="36"/>
        <v>287.28000000000003</v>
      </c>
      <c r="AC248" s="4">
        <f t="shared" si="37"/>
        <v>287.28000000000003</v>
      </c>
      <c r="AD248" s="1" t="s">
        <v>2013</v>
      </c>
      <c r="AE248" s="1" t="str">
        <f t="shared" si="38"/>
        <v>2014</v>
      </c>
      <c r="AF248" s="1" t="str">
        <f t="shared" si="39"/>
        <v>131926</v>
      </c>
    </row>
    <row r="249" spans="1:32" x14ac:dyDescent="0.3">
      <c r="A249" s="1">
        <v>248</v>
      </c>
      <c r="B249" s="1" t="s">
        <v>930</v>
      </c>
      <c r="C249" s="2">
        <v>41791</v>
      </c>
      <c r="D249" s="2">
        <v>41796</v>
      </c>
      <c r="E249" s="1" t="s">
        <v>21</v>
      </c>
      <c r="F249" s="1" t="s">
        <v>931</v>
      </c>
      <c r="G249" s="1" t="s">
        <v>932</v>
      </c>
      <c r="H249" s="1" t="s">
        <v>100</v>
      </c>
      <c r="I249" s="1" t="s">
        <v>25</v>
      </c>
      <c r="J249" s="1" t="s">
        <v>933</v>
      </c>
      <c r="K249" s="1" t="s">
        <v>227</v>
      </c>
      <c r="L249" s="1">
        <v>55044</v>
      </c>
      <c r="M249" s="1" t="s">
        <v>103</v>
      </c>
      <c r="N249" s="1" t="s">
        <v>938</v>
      </c>
      <c r="O249" s="1" t="s">
        <v>44</v>
      </c>
      <c r="P249" s="1" t="s">
        <v>76</v>
      </c>
      <c r="Q249" s="1" t="s">
        <v>939</v>
      </c>
      <c r="R249" s="1">
        <v>1503.25</v>
      </c>
      <c r="S249" s="1">
        <v>5</v>
      </c>
      <c r="T249" s="3">
        <v>0</v>
      </c>
      <c r="U249" s="4">
        <v>496.07249999999999</v>
      </c>
      <c r="V249" s="1" t="str">
        <f t="shared" si="30"/>
        <v>Second Class</v>
      </c>
      <c r="W249" s="1" t="str">
        <f t="shared" si="31"/>
        <v>Home Office</v>
      </c>
      <c r="X249" s="1" t="str">
        <f t="shared" si="32"/>
        <v>Lakeville - Minnesota</v>
      </c>
      <c r="Y249" s="1" t="str">
        <f t="shared" si="33"/>
        <v>Appliances</v>
      </c>
      <c r="Z249" s="1">
        <f t="shared" si="34"/>
        <v>1503.25</v>
      </c>
      <c r="AA249" s="1">
        <f t="shared" si="35"/>
        <v>1503.25</v>
      </c>
      <c r="AB249" s="1">
        <f t="shared" si="36"/>
        <v>7516.25</v>
      </c>
      <c r="AC249" s="4">
        <f t="shared" si="37"/>
        <v>7516.25</v>
      </c>
      <c r="AD249" s="1" t="s">
        <v>2013</v>
      </c>
      <c r="AE249" s="1" t="str">
        <f t="shared" si="38"/>
        <v>2014</v>
      </c>
      <c r="AF249" s="1" t="str">
        <f t="shared" si="39"/>
        <v>131926</v>
      </c>
    </row>
    <row r="250" spans="1:32" x14ac:dyDescent="0.3">
      <c r="A250" s="1">
        <v>249</v>
      </c>
      <c r="B250" s="1" t="s">
        <v>930</v>
      </c>
      <c r="C250" s="2">
        <v>41791</v>
      </c>
      <c r="D250" s="2">
        <v>41796</v>
      </c>
      <c r="E250" s="1" t="s">
        <v>21</v>
      </c>
      <c r="F250" s="1" t="s">
        <v>931</v>
      </c>
      <c r="G250" s="1" t="s">
        <v>932</v>
      </c>
      <c r="H250" s="1" t="s">
        <v>100</v>
      </c>
      <c r="I250" s="1" t="s">
        <v>25</v>
      </c>
      <c r="J250" s="1" t="s">
        <v>933</v>
      </c>
      <c r="K250" s="1" t="s">
        <v>227</v>
      </c>
      <c r="L250" s="1">
        <v>55044</v>
      </c>
      <c r="M250" s="1" t="s">
        <v>103</v>
      </c>
      <c r="N250" s="1" t="s">
        <v>768</v>
      </c>
      <c r="O250" s="1" t="s">
        <v>44</v>
      </c>
      <c r="P250" s="1" t="s">
        <v>88</v>
      </c>
      <c r="Q250" s="1" t="s">
        <v>769</v>
      </c>
      <c r="R250" s="1">
        <v>25.92</v>
      </c>
      <c r="S250" s="1">
        <v>4</v>
      </c>
      <c r="T250" s="3">
        <v>0</v>
      </c>
      <c r="U250" s="4">
        <v>12.441599999999999</v>
      </c>
      <c r="V250" s="1" t="str">
        <f t="shared" si="30"/>
        <v>Second Class</v>
      </c>
      <c r="W250" s="1" t="str">
        <f t="shared" si="31"/>
        <v>Home Office</v>
      </c>
      <c r="X250" s="1" t="str">
        <f t="shared" si="32"/>
        <v>Lakeville - Minnesota</v>
      </c>
      <c r="Y250" s="1" t="str">
        <f t="shared" si="33"/>
        <v>Paper</v>
      </c>
      <c r="Z250" s="1">
        <f t="shared" si="34"/>
        <v>25.92</v>
      </c>
      <c r="AA250" s="1">
        <f t="shared" si="35"/>
        <v>25.92</v>
      </c>
      <c r="AB250" s="1">
        <f t="shared" si="36"/>
        <v>103.68</v>
      </c>
      <c r="AC250" s="4">
        <f t="shared" si="37"/>
        <v>103.68</v>
      </c>
      <c r="AD250" s="1" t="s">
        <v>2013</v>
      </c>
      <c r="AE250" s="1" t="str">
        <f t="shared" si="38"/>
        <v>2014</v>
      </c>
      <c r="AF250" s="1" t="str">
        <f t="shared" si="39"/>
        <v>131926</v>
      </c>
    </row>
    <row r="251" spans="1:32" x14ac:dyDescent="0.3">
      <c r="A251" s="1">
        <v>250</v>
      </c>
      <c r="B251" s="1" t="s">
        <v>940</v>
      </c>
      <c r="C251" s="2">
        <v>42714</v>
      </c>
      <c r="D251" s="2">
        <v>42719</v>
      </c>
      <c r="E251" s="1" t="s">
        <v>21</v>
      </c>
      <c r="F251" s="1" t="s">
        <v>941</v>
      </c>
      <c r="G251" s="1" t="s">
        <v>942</v>
      </c>
      <c r="H251" s="1" t="s">
        <v>24</v>
      </c>
      <c r="I251" s="1" t="s">
        <v>25</v>
      </c>
      <c r="J251" s="1" t="s">
        <v>125</v>
      </c>
      <c r="K251" s="1" t="s">
        <v>41</v>
      </c>
      <c r="L251" s="1">
        <v>94109</v>
      </c>
      <c r="M251" s="1" t="s">
        <v>42</v>
      </c>
      <c r="N251" s="1" t="s">
        <v>943</v>
      </c>
      <c r="O251" s="1" t="s">
        <v>30</v>
      </c>
      <c r="P251" s="1" t="s">
        <v>34</v>
      </c>
      <c r="Q251" s="1" t="s">
        <v>944</v>
      </c>
      <c r="R251" s="1">
        <v>321.56799999999998</v>
      </c>
      <c r="S251" s="1">
        <v>2</v>
      </c>
      <c r="T251" s="3">
        <v>0.2</v>
      </c>
      <c r="U251" s="4">
        <v>28.1372</v>
      </c>
      <c r="V251" s="1" t="str">
        <f t="shared" si="30"/>
        <v>Second Class</v>
      </c>
      <c r="W251" s="1" t="str">
        <f t="shared" si="31"/>
        <v>Consumer</v>
      </c>
      <c r="X251" s="1" t="str">
        <f t="shared" si="32"/>
        <v>San Francisco - California</v>
      </c>
      <c r="Y251" s="1" t="str">
        <f t="shared" si="33"/>
        <v>Chairs</v>
      </c>
      <c r="Z251" s="1">
        <f t="shared" si="34"/>
        <v>321.56799999999998</v>
      </c>
      <c r="AA251" s="1">
        <f t="shared" si="35"/>
        <v>321.56799999999998</v>
      </c>
      <c r="AB251" s="1">
        <f t="shared" si="36"/>
        <v>643.13599999999997</v>
      </c>
      <c r="AC251" s="4">
        <f t="shared" si="37"/>
        <v>514.50879999999995</v>
      </c>
      <c r="AD251" s="1" t="s">
        <v>2013</v>
      </c>
      <c r="AE251" s="1" t="str">
        <f t="shared" si="38"/>
        <v>2016</v>
      </c>
      <c r="AF251" s="1" t="str">
        <f t="shared" si="39"/>
        <v>154739</v>
      </c>
    </row>
    <row r="252" spans="1:32" x14ac:dyDescent="0.3">
      <c r="A252" s="1">
        <v>251</v>
      </c>
      <c r="B252" s="1" t="s">
        <v>945</v>
      </c>
      <c r="C252" s="2">
        <v>42624</v>
      </c>
      <c r="D252" s="2">
        <v>42630</v>
      </c>
      <c r="E252" s="1" t="s">
        <v>48</v>
      </c>
      <c r="F252" s="1" t="s">
        <v>946</v>
      </c>
      <c r="G252" s="1" t="s">
        <v>947</v>
      </c>
      <c r="H252" s="1" t="s">
        <v>24</v>
      </c>
      <c r="I252" s="1" t="s">
        <v>25</v>
      </c>
      <c r="J252" s="1" t="s">
        <v>948</v>
      </c>
      <c r="K252" s="1" t="s">
        <v>41</v>
      </c>
      <c r="L252" s="1">
        <v>92037</v>
      </c>
      <c r="M252" s="1" t="s">
        <v>42</v>
      </c>
      <c r="N252" s="1" t="s">
        <v>949</v>
      </c>
      <c r="O252" s="1" t="s">
        <v>44</v>
      </c>
      <c r="P252" s="1" t="s">
        <v>88</v>
      </c>
      <c r="Q252" s="1" t="s">
        <v>950</v>
      </c>
      <c r="R252" s="1">
        <v>7.61</v>
      </c>
      <c r="S252" s="1">
        <v>1</v>
      </c>
      <c r="T252" s="3">
        <v>0</v>
      </c>
      <c r="U252" s="4">
        <v>3.5767000000000002</v>
      </c>
      <c r="V252" s="1" t="str">
        <f t="shared" si="30"/>
        <v>Standard Class</v>
      </c>
      <c r="W252" s="1" t="str">
        <f t="shared" si="31"/>
        <v>Consumer</v>
      </c>
      <c r="X252" s="1" t="str">
        <f t="shared" si="32"/>
        <v>San Diego - California</v>
      </c>
      <c r="Y252" s="1" t="str">
        <f t="shared" si="33"/>
        <v>Paper</v>
      </c>
      <c r="Z252" s="1">
        <f t="shared" si="34"/>
        <v>7.61</v>
      </c>
      <c r="AA252" s="1">
        <f t="shared" si="35"/>
        <v>7.61</v>
      </c>
      <c r="AB252" s="1">
        <f t="shared" si="36"/>
        <v>7.61</v>
      </c>
      <c r="AC252" s="4">
        <f t="shared" si="37"/>
        <v>7.61</v>
      </c>
      <c r="AD252" s="1" t="s">
        <v>2013</v>
      </c>
      <c r="AE252" s="1" t="str">
        <f t="shared" si="38"/>
        <v>2016</v>
      </c>
      <c r="AF252" s="1" t="str">
        <f t="shared" si="39"/>
        <v>145625</v>
      </c>
    </row>
    <row r="253" spans="1:32" x14ac:dyDescent="0.3">
      <c r="A253" s="1">
        <v>252</v>
      </c>
      <c r="B253" s="1" t="s">
        <v>945</v>
      </c>
      <c r="C253" s="2">
        <v>42624</v>
      </c>
      <c r="D253" s="2">
        <v>42630</v>
      </c>
      <c r="E253" s="1" t="s">
        <v>48</v>
      </c>
      <c r="F253" s="1" t="s">
        <v>946</v>
      </c>
      <c r="G253" s="1" t="s">
        <v>947</v>
      </c>
      <c r="H253" s="1" t="s">
        <v>24</v>
      </c>
      <c r="I253" s="1" t="s">
        <v>25</v>
      </c>
      <c r="J253" s="1" t="s">
        <v>948</v>
      </c>
      <c r="K253" s="1" t="s">
        <v>41</v>
      </c>
      <c r="L253" s="1">
        <v>92037</v>
      </c>
      <c r="M253" s="1" t="s">
        <v>42</v>
      </c>
      <c r="N253" s="1" t="s">
        <v>907</v>
      </c>
      <c r="O253" s="1" t="s">
        <v>69</v>
      </c>
      <c r="P253" s="1" t="s">
        <v>159</v>
      </c>
      <c r="Q253" s="1" t="s">
        <v>908</v>
      </c>
      <c r="R253" s="1">
        <v>3347.37</v>
      </c>
      <c r="S253" s="1">
        <v>13</v>
      </c>
      <c r="T253" s="3">
        <v>0</v>
      </c>
      <c r="U253" s="4">
        <v>636.00030000000004</v>
      </c>
      <c r="V253" s="1" t="str">
        <f t="shared" si="30"/>
        <v>Standard Class</v>
      </c>
      <c r="W253" s="1" t="str">
        <f t="shared" si="31"/>
        <v>Consumer</v>
      </c>
      <c r="X253" s="1" t="str">
        <f t="shared" si="32"/>
        <v>San Diego - California</v>
      </c>
      <c r="Y253" s="1" t="str">
        <f t="shared" si="33"/>
        <v>Accessories</v>
      </c>
      <c r="Z253" s="1">
        <f t="shared" si="34"/>
        <v>3347.37</v>
      </c>
      <c r="AA253" s="1">
        <f t="shared" si="35"/>
        <v>3347.37</v>
      </c>
      <c r="AB253" s="1">
        <f t="shared" si="36"/>
        <v>43515.81</v>
      </c>
      <c r="AC253" s="4">
        <f t="shared" si="37"/>
        <v>43515.81</v>
      </c>
      <c r="AD253" s="1" t="s">
        <v>2013</v>
      </c>
      <c r="AE253" s="1" t="str">
        <f t="shared" si="38"/>
        <v>2016</v>
      </c>
      <c r="AF253" s="1" t="str">
        <f t="shared" si="39"/>
        <v>145625</v>
      </c>
    </row>
    <row r="254" spans="1:32" x14ac:dyDescent="0.3">
      <c r="A254" s="1">
        <v>253</v>
      </c>
      <c r="B254" s="1" t="s">
        <v>951</v>
      </c>
      <c r="C254" s="2">
        <v>42714</v>
      </c>
      <c r="D254" s="2">
        <v>42717</v>
      </c>
      <c r="E254" s="1" t="s">
        <v>186</v>
      </c>
      <c r="F254" s="1" t="s">
        <v>952</v>
      </c>
      <c r="G254" s="1" t="s">
        <v>953</v>
      </c>
      <c r="H254" s="1" t="s">
        <v>24</v>
      </c>
      <c r="I254" s="1" t="s">
        <v>25</v>
      </c>
      <c r="J254" s="1" t="s">
        <v>264</v>
      </c>
      <c r="K254" s="1" t="s">
        <v>265</v>
      </c>
      <c r="L254" s="1">
        <v>10024</v>
      </c>
      <c r="M254" s="1" t="s">
        <v>146</v>
      </c>
      <c r="N254" s="1" t="s">
        <v>954</v>
      </c>
      <c r="O254" s="1" t="s">
        <v>44</v>
      </c>
      <c r="P254" s="1" t="s">
        <v>57</v>
      </c>
      <c r="Q254" s="1" t="s">
        <v>955</v>
      </c>
      <c r="R254" s="1">
        <v>80.58</v>
      </c>
      <c r="S254" s="1">
        <v>6</v>
      </c>
      <c r="T254" s="3">
        <v>0</v>
      </c>
      <c r="U254" s="4">
        <v>22.5624</v>
      </c>
      <c r="V254" s="1" t="str">
        <f t="shared" si="30"/>
        <v>First Class</v>
      </c>
      <c r="W254" s="1" t="str">
        <f t="shared" si="31"/>
        <v>Consumer</v>
      </c>
      <c r="X254" s="1" t="str">
        <f t="shared" si="32"/>
        <v>New York City - New York</v>
      </c>
      <c r="Y254" s="1" t="str">
        <f t="shared" si="33"/>
        <v>Storage</v>
      </c>
      <c r="Z254" s="1">
        <f t="shared" si="34"/>
        <v>80.58</v>
      </c>
      <c r="AA254" s="1">
        <f t="shared" si="35"/>
        <v>80.58</v>
      </c>
      <c r="AB254" s="1">
        <f t="shared" si="36"/>
        <v>483.48</v>
      </c>
      <c r="AC254" s="4">
        <f t="shared" si="37"/>
        <v>483.48</v>
      </c>
      <c r="AD254" s="1" t="s">
        <v>2013</v>
      </c>
      <c r="AE254" s="1" t="str">
        <f t="shared" si="38"/>
        <v>2016</v>
      </c>
      <c r="AF254" s="1" t="str">
        <f t="shared" si="39"/>
        <v>146941</v>
      </c>
    </row>
    <row r="255" spans="1:32" x14ac:dyDescent="0.3">
      <c r="A255" s="1">
        <v>254</v>
      </c>
      <c r="B255" s="1" t="s">
        <v>951</v>
      </c>
      <c r="C255" s="2">
        <v>42714</v>
      </c>
      <c r="D255" s="2">
        <v>42717</v>
      </c>
      <c r="E255" s="1" t="s">
        <v>186</v>
      </c>
      <c r="F255" s="1" t="s">
        <v>952</v>
      </c>
      <c r="G255" s="1" t="s">
        <v>953</v>
      </c>
      <c r="H255" s="1" t="s">
        <v>24</v>
      </c>
      <c r="I255" s="1" t="s">
        <v>25</v>
      </c>
      <c r="J255" s="1" t="s">
        <v>264</v>
      </c>
      <c r="K255" s="1" t="s">
        <v>265</v>
      </c>
      <c r="L255" s="1">
        <v>10024</v>
      </c>
      <c r="M255" s="1" t="s">
        <v>146</v>
      </c>
      <c r="N255" s="1" t="s">
        <v>956</v>
      </c>
      <c r="O255" s="1" t="s">
        <v>44</v>
      </c>
      <c r="P255" s="1" t="s">
        <v>171</v>
      </c>
      <c r="Q255" s="1" t="s">
        <v>957</v>
      </c>
      <c r="R255" s="1">
        <v>361.92</v>
      </c>
      <c r="S255" s="1">
        <v>4</v>
      </c>
      <c r="T255" s="3">
        <v>0</v>
      </c>
      <c r="U255" s="4">
        <v>162.864</v>
      </c>
      <c r="V255" s="1" t="str">
        <f t="shared" si="30"/>
        <v>First Class</v>
      </c>
      <c r="W255" s="1" t="str">
        <f t="shared" si="31"/>
        <v>Consumer</v>
      </c>
      <c r="X255" s="1" t="str">
        <f t="shared" si="32"/>
        <v>New York City - New York</v>
      </c>
      <c r="Y255" s="1" t="str">
        <f t="shared" si="33"/>
        <v>Envelopes</v>
      </c>
      <c r="Z255" s="1">
        <f t="shared" si="34"/>
        <v>361.92</v>
      </c>
      <c r="AA255" s="1">
        <f t="shared" si="35"/>
        <v>361.92</v>
      </c>
      <c r="AB255" s="1">
        <f t="shared" si="36"/>
        <v>1447.68</v>
      </c>
      <c r="AC255" s="4">
        <f t="shared" si="37"/>
        <v>1447.68</v>
      </c>
      <c r="AD255" s="1" t="s">
        <v>2013</v>
      </c>
      <c r="AE255" s="1" t="str">
        <f t="shared" si="38"/>
        <v>2016</v>
      </c>
      <c r="AF255" s="1" t="str">
        <f t="shared" si="39"/>
        <v>146941</v>
      </c>
    </row>
    <row r="256" spans="1:32" x14ac:dyDescent="0.3">
      <c r="A256" s="1">
        <v>255</v>
      </c>
      <c r="B256" s="1" t="s">
        <v>958</v>
      </c>
      <c r="C256" s="2">
        <v>42336</v>
      </c>
      <c r="D256" s="2">
        <v>42342</v>
      </c>
      <c r="E256" s="1" t="s">
        <v>48</v>
      </c>
      <c r="F256" s="1" t="s">
        <v>959</v>
      </c>
      <c r="G256" s="1" t="s">
        <v>960</v>
      </c>
      <c r="H256" s="1" t="s">
        <v>39</v>
      </c>
      <c r="I256" s="1" t="s">
        <v>25</v>
      </c>
      <c r="J256" s="1" t="s">
        <v>301</v>
      </c>
      <c r="K256" s="1" t="s">
        <v>209</v>
      </c>
      <c r="L256" s="1">
        <v>60623</v>
      </c>
      <c r="M256" s="1" t="s">
        <v>103</v>
      </c>
      <c r="N256" s="1" t="s">
        <v>928</v>
      </c>
      <c r="O256" s="1" t="s">
        <v>30</v>
      </c>
      <c r="P256" s="1" t="s">
        <v>63</v>
      </c>
      <c r="Q256" s="1" t="s">
        <v>929</v>
      </c>
      <c r="R256" s="1">
        <v>12.132</v>
      </c>
      <c r="S256" s="1">
        <v>9</v>
      </c>
      <c r="T256" s="3">
        <v>0.6</v>
      </c>
      <c r="U256" s="4">
        <v>-8.4923999999999999</v>
      </c>
      <c r="V256" s="1" t="str">
        <f t="shared" si="30"/>
        <v>Standard Class</v>
      </c>
      <c r="W256" s="1" t="str">
        <f t="shared" si="31"/>
        <v>Corporate</v>
      </c>
      <c r="X256" s="1" t="str">
        <f t="shared" si="32"/>
        <v>Chicago - Illinois</v>
      </c>
      <c r="Y256" s="1" t="str">
        <f t="shared" si="33"/>
        <v>Furnishings</v>
      </c>
      <c r="Z256" s="1">
        <f t="shared" si="34"/>
        <v>12.132</v>
      </c>
      <c r="AA256" s="1">
        <f t="shared" si="35"/>
        <v>12.132</v>
      </c>
      <c r="AB256" s="1">
        <f t="shared" si="36"/>
        <v>109.188</v>
      </c>
      <c r="AC256" s="4">
        <f t="shared" si="37"/>
        <v>43.675200000000004</v>
      </c>
      <c r="AD256" s="1" t="s">
        <v>2014</v>
      </c>
      <c r="AE256" s="1" t="str">
        <f t="shared" si="38"/>
        <v>2015</v>
      </c>
      <c r="AF256" s="1" t="str">
        <f t="shared" si="39"/>
        <v>159982</v>
      </c>
    </row>
    <row r="257" spans="1:32" x14ac:dyDescent="0.3">
      <c r="A257" s="1">
        <v>256</v>
      </c>
      <c r="B257" s="1" t="s">
        <v>958</v>
      </c>
      <c r="C257" s="2">
        <v>42336</v>
      </c>
      <c r="D257" s="2">
        <v>42342</v>
      </c>
      <c r="E257" s="1" t="s">
        <v>48</v>
      </c>
      <c r="F257" s="1" t="s">
        <v>959</v>
      </c>
      <c r="G257" s="1" t="s">
        <v>960</v>
      </c>
      <c r="H257" s="1" t="s">
        <v>39</v>
      </c>
      <c r="I257" s="1" t="s">
        <v>25</v>
      </c>
      <c r="J257" s="1" t="s">
        <v>301</v>
      </c>
      <c r="K257" s="1" t="s">
        <v>209</v>
      </c>
      <c r="L257" s="1">
        <v>60623</v>
      </c>
      <c r="M257" s="1" t="s">
        <v>103</v>
      </c>
      <c r="N257" s="1" t="s">
        <v>961</v>
      </c>
      <c r="O257" s="1" t="s">
        <v>44</v>
      </c>
      <c r="P257" s="1" t="s">
        <v>57</v>
      </c>
      <c r="Q257" s="1" t="s">
        <v>962</v>
      </c>
      <c r="R257" s="1">
        <v>82.367999999999995</v>
      </c>
      <c r="S257" s="1">
        <v>2</v>
      </c>
      <c r="T257" s="3">
        <v>0.2</v>
      </c>
      <c r="U257" s="4">
        <v>-19.5624</v>
      </c>
      <c r="V257" s="1" t="str">
        <f t="shared" si="30"/>
        <v>Standard Class</v>
      </c>
      <c r="W257" s="1" t="str">
        <f t="shared" si="31"/>
        <v>Corporate</v>
      </c>
      <c r="X257" s="1" t="str">
        <f t="shared" si="32"/>
        <v>Chicago - Illinois</v>
      </c>
      <c r="Y257" s="1" t="str">
        <f t="shared" si="33"/>
        <v>Storage</v>
      </c>
      <c r="Z257" s="1">
        <f t="shared" si="34"/>
        <v>82.367999999999995</v>
      </c>
      <c r="AA257" s="1">
        <f t="shared" si="35"/>
        <v>82.367999999999995</v>
      </c>
      <c r="AB257" s="1">
        <f t="shared" si="36"/>
        <v>164.73599999999999</v>
      </c>
      <c r="AC257" s="4">
        <f t="shared" si="37"/>
        <v>131.78880000000001</v>
      </c>
      <c r="AD257" s="1" t="s">
        <v>2014</v>
      </c>
      <c r="AE257" s="1" t="str">
        <f t="shared" si="38"/>
        <v>2015</v>
      </c>
      <c r="AF257" s="1" t="str">
        <f t="shared" si="39"/>
        <v>159982</v>
      </c>
    </row>
    <row r="258" spans="1:32" x14ac:dyDescent="0.3">
      <c r="A258" s="1">
        <v>257</v>
      </c>
      <c r="B258" s="1" t="s">
        <v>958</v>
      </c>
      <c r="C258" s="2">
        <v>42336</v>
      </c>
      <c r="D258" s="2">
        <v>42342</v>
      </c>
      <c r="E258" s="1" t="s">
        <v>48</v>
      </c>
      <c r="F258" s="1" t="s">
        <v>959</v>
      </c>
      <c r="G258" s="1" t="s">
        <v>960</v>
      </c>
      <c r="H258" s="1" t="s">
        <v>39</v>
      </c>
      <c r="I258" s="1" t="s">
        <v>25</v>
      </c>
      <c r="J258" s="1" t="s">
        <v>301</v>
      </c>
      <c r="K258" s="1" t="s">
        <v>209</v>
      </c>
      <c r="L258" s="1">
        <v>60623</v>
      </c>
      <c r="M258" s="1" t="s">
        <v>103</v>
      </c>
      <c r="N258" s="1" t="s">
        <v>634</v>
      </c>
      <c r="O258" s="1" t="s">
        <v>44</v>
      </c>
      <c r="P258" s="1" t="s">
        <v>57</v>
      </c>
      <c r="Q258" s="1" t="s">
        <v>635</v>
      </c>
      <c r="R258" s="1">
        <v>53.92</v>
      </c>
      <c r="S258" s="1">
        <v>5</v>
      </c>
      <c r="T258" s="3">
        <v>0.2</v>
      </c>
      <c r="U258" s="4">
        <v>4.0439999999999996</v>
      </c>
      <c r="V258" s="1" t="str">
        <f t="shared" ref="V258:V321" si="40">IF(ISBLANK(E258),"UNKNOWN",E258)</f>
        <v>Standard Class</v>
      </c>
      <c r="W258" s="1" t="str">
        <f t="shared" ref="W258:W321" si="41">IF(ISBLANK(H258),"UNKNOWN",H258)</f>
        <v>Corporate</v>
      </c>
      <c r="X258" s="1" t="str">
        <f t="shared" ref="X258:X321" si="42">CONCATENATE(J258," - ",K258)</f>
        <v>Chicago - Illinois</v>
      </c>
      <c r="Y258" s="1" t="str">
        <f t="shared" ref="Y258:Y321" si="43">IF(ISBLANK(P258),"UNKNOWN",P258)</f>
        <v>Storage</v>
      </c>
      <c r="Z258" s="1">
        <f t="shared" ref="Z258:Z321" si="44">IF(ISBLANK(R258),ROUND(AVERAGEIF($O$2:$O$600,O258,$R$2:$R$29),0),R258)</f>
        <v>53.92</v>
      </c>
      <c r="AA258" s="1">
        <f t="shared" ref="AA258:AA321" si="45">IF(ISBLANK(R258),ROUND(AVERAGEIF($Y$2:$Y$600,Y258,$R$2:$R$29),0),R258)</f>
        <v>53.92</v>
      </c>
      <c r="AB258" s="1">
        <f t="shared" ref="AB258:AB321" si="46">AA258*S258</f>
        <v>269.60000000000002</v>
      </c>
      <c r="AC258" s="4">
        <f t="shared" si="37"/>
        <v>215.68000000000004</v>
      </c>
      <c r="AD258" s="1" t="s">
        <v>2014</v>
      </c>
      <c r="AE258" s="1" t="str">
        <f t="shared" si="38"/>
        <v>2015</v>
      </c>
      <c r="AF258" s="1" t="str">
        <f t="shared" si="39"/>
        <v>159982</v>
      </c>
    </row>
    <row r="259" spans="1:32" x14ac:dyDescent="0.3">
      <c r="A259" s="1">
        <v>258</v>
      </c>
      <c r="B259" s="1" t="s">
        <v>958</v>
      </c>
      <c r="C259" s="2">
        <v>42336</v>
      </c>
      <c r="D259" s="2">
        <v>42342</v>
      </c>
      <c r="E259" s="1" t="s">
        <v>48</v>
      </c>
      <c r="F259" s="1" t="s">
        <v>959</v>
      </c>
      <c r="G259" s="1" t="s">
        <v>960</v>
      </c>
      <c r="H259" s="1" t="s">
        <v>39</v>
      </c>
      <c r="I259" s="1" t="s">
        <v>25</v>
      </c>
      <c r="J259" s="1" t="s">
        <v>301</v>
      </c>
      <c r="K259" s="1" t="s">
        <v>209</v>
      </c>
      <c r="L259" s="1">
        <v>60623</v>
      </c>
      <c r="M259" s="1" t="s">
        <v>103</v>
      </c>
      <c r="N259" s="1" t="s">
        <v>963</v>
      </c>
      <c r="O259" s="1" t="s">
        <v>69</v>
      </c>
      <c r="P259" s="1" t="s">
        <v>70</v>
      </c>
      <c r="Q259" s="1" t="s">
        <v>964</v>
      </c>
      <c r="R259" s="1">
        <v>647.904</v>
      </c>
      <c r="S259" s="1">
        <v>6</v>
      </c>
      <c r="T259" s="3">
        <v>0.2</v>
      </c>
      <c r="U259" s="4">
        <v>56.691600000000001</v>
      </c>
      <c r="V259" s="1" t="str">
        <f t="shared" si="40"/>
        <v>Standard Class</v>
      </c>
      <c r="W259" s="1" t="str">
        <f t="shared" si="41"/>
        <v>Corporate</v>
      </c>
      <c r="X259" s="1" t="str">
        <f t="shared" si="42"/>
        <v>Chicago - Illinois</v>
      </c>
      <c r="Y259" s="1" t="str">
        <f t="shared" si="43"/>
        <v>Phones</v>
      </c>
      <c r="Z259" s="1">
        <f t="shared" si="44"/>
        <v>647.904</v>
      </c>
      <c r="AA259" s="1">
        <f t="shared" si="45"/>
        <v>647.904</v>
      </c>
      <c r="AB259" s="1">
        <f t="shared" si="46"/>
        <v>3887.424</v>
      </c>
      <c r="AC259" s="4">
        <f t="shared" ref="AC259:AC322" si="47">AB259*(1-T259)</f>
        <v>3109.9392000000003</v>
      </c>
      <c r="AD259" s="1" t="s">
        <v>2014</v>
      </c>
      <c r="AE259" s="1" t="str">
        <f t="shared" ref="AE259:AE322" si="48">MID(B259,4,4)</f>
        <v>2015</v>
      </c>
      <c r="AF259" s="1" t="str">
        <f t="shared" ref="AF259:AF322" si="49">RIGHT(B259,6)</f>
        <v>159982</v>
      </c>
    </row>
    <row r="260" spans="1:32" x14ac:dyDescent="0.3">
      <c r="A260" s="1">
        <v>259</v>
      </c>
      <c r="B260" s="1" t="s">
        <v>965</v>
      </c>
      <c r="C260" s="2">
        <v>43070</v>
      </c>
      <c r="D260" s="2">
        <v>43072</v>
      </c>
      <c r="E260" s="1" t="s">
        <v>21</v>
      </c>
      <c r="F260" s="1" t="s">
        <v>966</v>
      </c>
      <c r="G260" s="1" t="s">
        <v>967</v>
      </c>
      <c r="H260" s="1" t="s">
        <v>24</v>
      </c>
      <c r="I260" s="1" t="s">
        <v>25</v>
      </c>
      <c r="J260" s="1" t="s">
        <v>264</v>
      </c>
      <c r="K260" s="1" t="s">
        <v>265</v>
      </c>
      <c r="L260" s="1">
        <v>10009</v>
      </c>
      <c r="M260" s="1" t="s">
        <v>146</v>
      </c>
      <c r="N260" s="1" t="s">
        <v>968</v>
      </c>
      <c r="O260" s="1" t="s">
        <v>69</v>
      </c>
      <c r="P260" s="1" t="s">
        <v>159</v>
      </c>
      <c r="Q260" s="1" t="s">
        <v>969</v>
      </c>
      <c r="R260" s="1">
        <v>20.37</v>
      </c>
      <c r="S260" s="1">
        <v>3</v>
      </c>
      <c r="T260" s="3">
        <v>0</v>
      </c>
      <c r="U260" s="4">
        <v>6.9257999999999997</v>
      </c>
      <c r="V260" s="1" t="str">
        <f t="shared" si="40"/>
        <v>Second Class</v>
      </c>
      <c r="W260" s="1" t="str">
        <f t="shared" si="41"/>
        <v>Consumer</v>
      </c>
      <c r="X260" s="1" t="str">
        <f t="shared" si="42"/>
        <v>New York City - New York</v>
      </c>
      <c r="Y260" s="1" t="str">
        <f t="shared" si="43"/>
        <v>Accessories</v>
      </c>
      <c r="Z260" s="1">
        <f t="shared" si="44"/>
        <v>20.37</v>
      </c>
      <c r="AA260" s="1">
        <f t="shared" si="45"/>
        <v>20.37</v>
      </c>
      <c r="AB260" s="1">
        <f t="shared" si="46"/>
        <v>61.11</v>
      </c>
      <c r="AC260" s="4">
        <f t="shared" si="47"/>
        <v>61.11</v>
      </c>
      <c r="AD260" s="1" t="s">
        <v>2013</v>
      </c>
      <c r="AE260" s="1" t="str">
        <f t="shared" si="48"/>
        <v>2017</v>
      </c>
      <c r="AF260" s="1" t="str">
        <f t="shared" si="49"/>
        <v>163139</v>
      </c>
    </row>
    <row r="261" spans="1:32" x14ac:dyDescent="0.3">
      <c r="A261" s="1">
        <v>260</v>
      </c>
      <c r="B261" s="1" t="s">
        <v>965</v>
      </c>
      <c r="C261" s="2">
        <v>43070</v>
      </c>
      <c r="D261" s="2">
        <v>43072</v>
      </c>
      <c r="E261" s="1" t="s">
        <v>21</v>
      </c>
      <c r="F261" s="1" t="s">
        <v>966</v>
      </c>
      <c r="G261" s="1" t="s">
        <v>967</v>
      </c>
      <c r="H261" s="1" t="s">
        <v>24</v>
      </c>
      <c r="I261" s="1" t="s">
        <v>25</v>
      </c>
      <c r="J261" s="1" t="s">
        <v>264</v>
      </c>
      <c r="K261" s="1" t="s">
        <v>265</v>
      </c>
      <c r="L261" s="1">
        <v>10009</v>
      </c>
      <c r="M261" s="1" t="s">
        <v>146</v>
      </c>
      <c r="N261" s="1" t="s">
        <v>970</v>
      </c>
      <c r="O261" s="1" t="s">
        <v>44</v>
      </c>
      <c r="P261" s="1" t="s">
        <v>57</v>
      </c>
      <c r="Q261" s="1" t="s">
        <v>971</v>
      </c>
      <c r="R261" s="1">
        <v>221.55</v>
      </c>
      <c r="S261" s="1">
        <v>3</v>
      </c>
      <c r="T261" s="3">
        <v>0</v>
      </c>
      <c r="U261" s="4">
        <v>6.6464999999999996</v>
      </c>
      <c r="V261" s="1" t="str">
        <f t="shared" si="40"/>
        <v>Second Class</v>
      </c>
      <c r="W261" s="1" t="str">
        <f t="shared" si="41"/>
        <v>Consumer</v>
      </c>
      <c r="X261" s="1" t="str">
        <f t="shared" si="42"/>
        <v>New York City - New York</v>
      </c>
      <c r="Y261" s="1" t="str">
        <f t="shared" si="43"/>
        <v>Storage</v>
      </c>
      <c r="Z261" s="1">
        <f t="shared" si="44"/>
        <v>221.55</v>
      </c>
      <c r="AA261" s="1">
        <f t="shared" si="45"/>
        <v>221.55</v>
      </c>
      <c r="AB261" s="1">
        <f t="shared" si="46"/>
        <v>664.65000000000009</v>
      </c>
      <c r="AC261" s="4">
        <f t="shared" si="47"/>
        <v>664.65000000000009</v>
      </c>
      <c r="AD261" s="1" t="s">
        <v>2013</v>
      </c>
      <c r="AE261" s="1" t="str">
        <f t="shared" si="48"/>
        <v>2017</v>
      </c>
      <c r="AF261" s="1" t="str">
        <f t="shared" si="49"/>
        <v>163139</v>
      </c>
    </row>
    <row r="262" spans="1:32" x14ac:dyDescent="0.3">
      <c r="A262" s="1">
        <v>261</v>
      </c>
      <c r="B262" s="1" t="s">
        <v>965</v>
      </c>
      <c r="C262" s="2">
        <v>43070</v>
      </c>
      <c r="D262" s="2">
        <v>43072</v>
      </c>
      <c r="E262" s="1" t="s">
        <v>21</v>
      </c>
      <c r="F262" s="1" t="s">
        <v>966</v>
      </c>
      <c r="G262" s="1" t="s">
        <v>967</v>
      </c>
      <c r="H262" s="1" t="s">
        <v>24</v>
      </c>
      <c r="I262" s="1" t="s">
        <v>25</v>
      </c>
      <c r="J262" s="1" t="s">
        <v>264</v>
      </c>
      <c r="K262" s="1" t="s">
        <v>265</v>
      </c>
      <c r="L262" s="1">
        <v>10009</v>
      </c>
      <c r="M262" s="1" t="s">
        <v>146</v>
      </c>
      <c r="N262" s="1" t="s">
        <v>972</v>
      </c>
      <c r="O262" s="1" t="s">
        <v>44</v>
      </c>
      <c r="P262" s="1" t="s">
        <v>73</v>
      </c>
      <c r="Q262" s="1" t="s">
        <v>973</v>
      </c>
      <c r="R262" s="1">
        <v>17.52</v>
      </c>
      <c r="S262" s="1">
        <v>5</v>
      </c>
      <c r="T262" s="3">
        <v>0.2</v>
      </c>
      <c r="U262" s="4">
        <v>6.1319999999999997</v>
      </c>
      <c r="V262" s="1" t="str">
        <f t="shared" si="40"/>
        <v>Second Class</v>
      </c>
      <c r="W262" s="1" t="str">
        <f t="shared" si="41"/>
        <v>Consumer</v>
      </c>
      <c r="X262" s="1" t="str">
        <f t="shared" si="42"/>
        <v>New York City - New York</v>
      </c>
      <c r="Y262" s="1" t="str">
        <f t="shared" si="43"/>
        <v>Binders</v>
      </c>
      <c r="Z262" s="1">
        <f t="shared" si="44"/>
        <v>17.52</v>
      </c>
      <c r="AA262" s="1">
        <f t="shared" si="45"/>
        <v>17.52</v>
      </c>
      <c r="AB262" s="1">
        <f t="shared" si="46"/>
        <v>87.6</v>
      </c>
      <c r="AC262" s="4">
        <f t="shared" si="47"/>
        <v>70.08</v>
      </c>
      <c r="AD262" s="1" t="s">
        <v>2013</v>
      </c>
      <c r="AE262" s="1" t="str">
        <f t="shared" si="48"/>
        <v>2017</v>
      </c>
      <c r="AF262" s="1" t="str">
        <f t="shared" si="49"/>
        <v>163139</v>
      </c>
    </row>
    <row r="263" spans="1:32" x14ac:dyDescent="0.3">
      <c r="A263" s="1">
        <v>262</v>
      </c>
      <c r="B263" s="1" t="s">
        <v>974</v>
      </c>
      <c r="C263" s="2">
        <v>42894</v>
      </c>
      <c r="D263" s="2">
        <v>42898</v>
      </c>
      <c r="E263" s="1" t="s">
        <v>48</v>
      </c>
      <c r="F263" s="1" t="s">
        <v>975</v>
      </c>
      <c r="G263" s="1" t="s">
        <v>976</v>
      </c>
      <c r="H263" s="1" t="s">
        <v>39</v>
      </c>
      <c r="I263" s="1" t="s">
        <v>25</v>
      </c>
      <c r="J263" s="1" t="s">
        <v>601</v>
      </c>
      <c r="K263" s="1" t="s">
        <v>102</v>
      </c>
      <c r="L263" s="1">
        <v>77506</v>
      </c>
      <c r="M263" s="1" t="s">
        <v>103</v>
      </c>
      <c r="N263" s="1" t="s">
        <v>977</v>
      </c>
      <c r="O263" s="1" t="s">
        <v>44</v>
      </c>
      <c r="P263" s="1" t="s">
        <v>76</v>
      </c>
      <c r="Q263" s="1" t="s">
        <v>978</v>
      </c>
      <c r="R263" s="1">
        <v>1.6240000000000001</v>
      </c>
      <c r="S263" s="1">
        <v>2</v>
      </c>
      <c r="T263" s="3">
        <v>0.8</v>
      </c>
      <c r="U263" s="4">
        <v>-4.4660000000000002</v>
      </c>
      <c r="V263" s="1" t="str">
        <f t="shared" si="40"/>
        <v>Standard Class</v>
      </c>
      <c r="W263" s="1" t="str">
        <f t="shared" si="41"/>
        <v>Corporate</v>
      </c>
      <c r="X263" s="1" t="str">
        <f t="shared" si="42"/>
        <v>Pasadena - Texas</v>
      </c>
      <c r="Y263" s="1" t="str">
        <f t="shared" si="43"/>
        <v>Appliances</v>
      </c>
      <c r="Z263" s="1">
        <f t="shared" si="44"/>
        <v>1.6240000000000001</v>
      </c>
      <c r="AA263" s="1">
        <f t="shared" si="45"/>
        <v>1.6240000000000001</v>
      </c>
      <c r="AB263" s="1">
        <f t="shared" si="46"/>
        <v>3.2480000000000002</v>
      </c>
      <c r="AC263" s="4">
        <f t="shared" si="47"/>
        <v>0.64959999999999996</v>
      </c>
      <c r="AD263" s="1" t="s">
        <v>2014</v>
      </c>
      <c r="AE263" s="1" t="str">
        <f t="shared" si="48"/>
        <v>2017</v>
      </c>
      <c r="AF263" s="1" t="str">
        <f t="shared" si="49"/>
        <v>155299</v>
      </c>
    </row>
    <row r="264" spans="1:32" x14ac:dyDescent="0.3">
      <c r="A264" s="1">
        <v>263</v>
      </c>
      <c r="B264" s="1" t="s">
        <v>979</v>
      </c>
      <c r="C264" s="2">
        <v>41901</v>
      </c>
      <c r="D264" s="2">
        <v>41903</v>
      </c>
      <c r="E264" s="1" t="s">
        <v>21</v>
      </c>
      <c r="F264" s="1" t="s">
        <v>980</v>
      </c>
      <c r="G264" s="1" t="s">
        <v>981</v>
      </c>
      <c r="H264" s="1" t="s">
        <v>39</v>
      </c>
      <c r="I264" s="1" t="s">
        <v>25</v>
      </c>
      <c r="J264" s="1" t="s">
        <v>182</v>
      </c>
      <c r="K264" s="1" t="s">
        <v>102</v>
      </c>
      <c r="L264" s="1">
        <v>77036</v>
      </c>
      <c r="M264" s="1" t="s">
        <v>103</v>
      </c>
      <c r="N264" s="1" t="s">
        <v>681</v>
      </c>
      <c r="O264" s="1" t="s">
        <v>69</v>
      </c>
      <c r="P264" s="1" t="s">
        <v>682</v>
      </c>
      <c r="Q264" s="1" t="s">
        <v>683</v>
      </c>
      <c r="R264" s="1">
        <v>3059.982</v>
      </c>
      <c r="S264" s="1">
        <v>3</v>
      </c>
      <c r="T264" s="3">
        <v>0.4</v>
      </c>
      <c r="U264" s="4">
        <v>-509.99700000000001</v>
      </c>
      <c r="V264" s="1" t="str">
        <f t="shared" si="40"/>
        <v>Second Class</v>
      </c>
      <c r="W264" s="1" t="str">
        <f t="shared" si="41"/>
        <v>Corporate</v>
      </c>
      <c r="X264" s="1" t="str">
        <f t="shared" si="42"/>
        <v>Houston - Texas</v>
      </c>
      <c r="Y264" s="1" t="str">
        <f t="shared" si="43"/>
        <v>Machines</v>
      </c>
      <c r="Z264" s="1">
        <f t="shared" si="44"/>
        <v>3059.982</v>
      </c>
      <c r="AA264" s="1">
        <f t="shared" si="45"/>
        <v>3059.982</v>
      </c>
      <c r="AB264" s="1">
        <f t="shared" si="46"/>
        <v>9179.9459999999999</v>
      </c>
      <c r="AC264" s="4">
        <f t="shared" si="47"/>
        <v>5507.9675999999999</v>
      </c>
      <c r="AD264" s="1" t="s">
        <v>2014</v>
      </c>
      <c r="AE264" s="1" t="str">
        <f t="shared" si="48"/>
        <v>2014</v>
      </c>
      <c r="AF264" s="1" t="str">
        <f t="shared" si="49"/>
        <v>106992</v>
      </c>
    </row>
    <row r="265" spans="1:32" x14ac:dyDescent="0.3">
      <c r="A265" s="1">
        <v>264</v>
      </c>
      <c r="B265" s="1" t="s">
        <v>979</v>
      </c>
      <c r="C265" s="2">
        <v>41901</v>
      </c>
      <c r="D265" s="2">
        <v>41903</v>
      </c>
      <c r="E265" s="1" t="s">
        <v>21</v>
      </c>
      <c r="F265" s="1" t="s">
        <v>980</v>
      </c>
      <c r="G265" s="1" t="s">
        <v>981</v>
      </c>
      <c r="H265" s="1" t="s">
        <v>39</v>
      </c>
      <c r="I265" s="1" t="s">
        <v>25</v>
      </c>
      <c r="J265" s="1" t="s">
        <v>182</v>
      </c>
      <c r="K265" s="1" t="s">
        <v>102</v>
      </c>
      <c r="L265" s="1">
        <v>77036</v>
      </c>
      <c r="M265" s="1" t="s">
        <v>103</v>
      </c>
      <c r="N265" s="1" t="s">
        <v>982</v>
      </c>
      <c r="O265" s="1" t="s">
        <v>69</v>
      </c>
      <c r="P265" s="1" t="s">
        <v>682</v>
      </c>
      <c r="Q265" s="1" t="s">
        <v>983</v>
      </c>
      <c r="R265" s="1"/>
      <c r="S265" s="1">
        <v>7</v>
      </c>
      <c r="T265" s="3">
        <v>0.4</v>
      </c>
      <c r="U265" s="4">
        <v>-251.9958</v>
      </c>
      <c r="V265" s="1" t="str">
        <f t="shared" si="40"/>
        <v>Second Class</v>
      </c>
      <c r="W265" s="1" t="str">
        <f t="shared" si="41"/>
        <v>Corporate</v>
      </c>
      <c r="X265" s="1" t="str">
        <f t="shared" si="42"/>
        <v>Houston - Texas</v>
      </c>
      <c r="Y265" s="1" t="str">
        <f t="shared" si="43"/>
        <v>Machines</v>
      </c>
      <c r="Z265" s="1">
        <f t="shared" ca="1" si="44"/>
        <v>507</v>
      </c>
      <c r="AA265" s="1">
        <f t="shared" ca="1" si="45"/>
        <v>2305</v>
      </c>
      <c r="AB265" s="1">
        <f t="shared" ca="1" si="46"/>
        <v>16135</v>
      </c>
      <c r="AC265" s="4">
        <f t="shared" ca="1" si="47"/>
        <v>9681</v>
      </c>
      <c r="AD265" s="1" t="s">
        <v>2014</v>
      </c>
      <c r="AE265" s="1" t="str">
        <f t="shared" si="48"/>
        <v>2014</v>
      </c>
      <c r="AF265" s="1" t="str">
        <f t="shared" si="49"/>
        <v>106992</v>
      </c>
    </row>
    <row r="266" spans="1:32" x14ac:dyDescent="0.3">
      <c r="A266" s="1">
        <v>265</v>
      </c>
      <c r="B266" s="1" t="s">
        <v>984</v>
      </c>
      <c r="C266" s="2">
        <v>42527</v>
      </c>
      <c r="D266" s="2">
        <v>42534</v>
      </c>
      <c r="E266" s="1" t="s">
        <v>48</v>
      </c>
      <c r="F266" s="1" t="s">
        <v>985</v>
      </c>
      <c r="G266" s="1" t="s">
        <v>986</v>
      </c>
      <c r="H266" s="1" t="s">
        <v>24</v>
      </c>
      <c r="I266" s="1" t="s">
        <v>25</v>
      </c>
      <c r="J266" s="1" t="s">
        <v>301</v>
      </c>
      <c r="K266" s="1" t="s">
        <v>209</v>
      </c>
      <c r="L266" s="1">
        <v>60610</v>
      </c>
      <c r="M266" s="1" t="s">
        <v>103</v>
      </c>
      <c r="N266" s="1" t="s">
        <v>987</v>
      </c>
      <c r="O266" s="1" t="s">
        <v>69</v>
      </c>
      <c r="P266" s="1" t="s">
        <v>70</v>
      </c>
      <c r="Q266" s="1" t="s">
        <v>988</v>
      </c>
      <c r="R266" s="1">
        <v>328.22399999999999</v>
      </c>
      <c r="S266" s="1">
        <v>4</v>
      </c>
      <c r="T266" s="3">
        <v>0.2</v>
      </c>
      <c r="U266" s="4">
        <v>28.7196</v>
      </c>
      <c r="V266" s="1" t="str">
        <f t="shared" si="40"/>
        <v>Standard Class</v>
      </c>
      <c r="W266" s="1" t="str">
        <f t="shared" si="41"/>
        <v>Consumer</v>
      </c>
      <c r="X266" s="1" t="str">
        <f t="shared" si="42"/>
        <v>Chicago - Illinois</v>
      </c>
      <c r="Y266" s="1" t="str">
        <f t="shared" si="43"/>
        <v>Phones</v>
      </c>
      <c r="Z266" s="1">
        <f t="shared" si="44"/>
        <v>328.22399999999999</v>
      </c>
      <c r="AA266" s="1">
        <f t="shared" si="45"/>
        <v>328.22399999999999</v>
      </c>
      <c r="AB266" s="1">
        <f t="shared" si="46"/>
        <v>1312.896</v>
      </c>
      <c r="AC266" s="4">
        <f t="shared" si="47"/>
        <v>1050.3168000000001</v>
      </c>
      <c r="AD266" s="1" t="s">
        <v>2013</v>
      </c>
      <c r="AE266" s="1" t="str">
        <f t="shared" si="48"/>
        <v>2016</v>
      </c>
      <c r="AF266" s="1" t="str">
        <f t="shared" si="49"/>
        <v>125318</v>
      </c>
    </row>
    <row r="267" spans="1:32" x14ac:dyDescent="0.3">
      <c r="A267" s="1">
        <v>266</v>
      </c>
      <c r="B267" s="1" t="s">
        <v>989</v>
      </c>
      <c r="C267" s="2">
        <v>42318</v>
      </c>
      <c r="D267" s="2">
        <v>42323</v>
      </c>
      <c r="E267" s="1" t="s">
        <v>48</v>
      </c>
      <c r="F267" s="1" t="s">
        <v>990</v>
      </c>
      <c r="G267" s="1" t="s">
        <v>991</v>
      </c>
      <c r="H267" s="1" t="s">
        <v>24</v>
      </c>
      <c r="I267" s="1" t="s">
        <v>25</v>
      </c>
      <c r="J267" s="1" t="s">
        <v>992</v>
      </c>
      <c r="K267" s="1" t="s">
        <v>41</v>
      </c>
      <c r="L267" s="1">
        <v>94513</v>
      </c>
      <c r="M267" s="1" t="s">
        <v>42</v>
      </c>
      <c r="N267" s="1" t="s">
        <v>993</v>
      </c>
      <c r="O267" s="1" t="s">
        <v>69</v>
      </c>
      <c r="P267" s="1" t="s">
        <v>159</v>
      </c>
      <c r="Q267" s="1" t="s">
        <v>994</v>
      </c>
      <c r="R267" s="1">
        <v>79.900000000000006</v>
      </c>
      <c r="S267" s="1">
        <v>2</v>
      </c>
      <c r="T267" s="3">
        <v>0</v>
      </c>
      <c r="U267" s="4">
        <v>35.155999999999999</v>
      </c>
      <c r="V267" s="1" t="str">
        <f t="shared" si="40"/>
        <v>Standard Class</v>
      </c>
      <c r="W267" s="1" t="str">
        <f t="shared" si="41"/>
        <v>Consumer</v>
      </c>
      <c r="X267" s="1" t="str">
        <f t="shared" si="42"/>
        <v>Brentwood - California</v>
      </c>
      <c r="Y267" s="1" t="str">
        <f t="shared" si="43"/>
        <v>Accessories</v>
      </c>
      <c r="Z267" s="1">
        <f t="shared" si="44"/>
        <v>79.900000000000006</v>
      </c>
      <c r="AA267" s="1">
        <f t="shared" si="45"/>
        <v>79.900000000000006</v>
      </c>
      <c r="AB267" s="1">
        <f t="shared" si="46"/>
        <v>159.80000000000001</v>
      </c>
      <c r="AC267" s="4">
        <f t="shared" si="47"/>
        <v>159.80000000000001</v>
      </c>
      <c r="AD267" s="1" t="s">
        <v>2013</v>
      </c>
      <c r="AE267" s="1" t="str">
        <f t="shared" si="48"/>
        <v>2015</v>
      </c>
      <c r="AF267" s="1" t="str">
        <f t="shared" si="49"/>
        <v>155040</v>
      </c>
    </row>
    <row r="268" spans="1:32" x14ac:dyDescent="0.3">
      <c r="A268" s="1">
        <v>267</v>
      </c>
      <c r="B268" s="1" t="s">
        <v>995</v>
      </c>
      <c r="C268" s="2">
        <v>42902</v>
      </c>
      <c r="D268" s="2">
        <v>42906</v>
      </c>
      <c r="E268" s="1" t="s">
        <v>48</v>
      </c>
      <c r="F268" s="1" t="s">
        <v>996</v>
      </c>
      <c r="G268" s="1" t="s">
        <v>997</v>
      </c>
      <c r="H268" s="1" t="s">
        <v>39</v>
      </c>
      <c r="I268" s="1" t="s">
        <v>25</v>
      </c>
      <c r="J268" s="1" t="s">
        <v>998</v>
      </c>
      <c r="K268" s="1" t="s">
        <v>86</v>
      </c>
      <c r="L268" s="1">
        <v>27514</v>
      </c>
      <c r="M268" s="1" t="s">
        <v>28</v>
      </c>
      <c r="N268" s="1" t="s">
        <v>999</v>
      </c>
      <c r="O268" s="1" t="s">
        <v>44</v>
      </c>
      <c r="P268" s="1" t="s">
        <v>66</v>
      </c>
      <c r="Q268" s="1" t="s">
        <v>1000</v>
      </c>
      <c r="R268" s="1">
        <v>14.016</v>
      </c>
      <c r="S268" s="1">
        <v>3</v>
      </c>
      <c r="T268" s="3">
        <v>0.2</v>
      </c>
      <c r="U268" s="4">
        <v>4.7304000000000004</v>
      </c>
      <c r="V268" s="1" t="str">
        <f t="shared" si="40"/>
        <v>Standard Class</v>
      </c>
      <c r="W268" s="1" t="str">
        <f t="shared" si="41"/>
        <v>Corporate</v>
      </c>
      <c r="X268" s="1" t="str">
        <f t="shared" si="42"/>
        <v>Chapel Hill - North Carolina</v>
      </c>
      <c r="Y268" s="1" t="str">
        <f t="shared" si="43"/>
        <v>Art</v>
      </c>
      <c r="Z268" s="1">
        <f t="shared" si="44"/>
        <v>14.016</v>
      </c>
      <c r="AA268" s="1">
        <f t="shared" si="45"/>
        <v>14.016</v>
      </c>
      <c r="AB268" s="1">
        <f t="shared" si="46"/>
        <v>42.048000000000002</v>
      </c>
      <c r="AC268" s="4">
        <f t="shared" si="47"/>
        <v>33.638400000000004</v>
      </c>
      <c r="AD268" s="1" t="s">
        <v>2013</v>
      </c>
      <c r="AE268" s="1" t="str">
        <f t="shared" si="48"/>
        <v>2017</v>
      </c>
      <c r="AF268" s="1" t="str">
        <f t="shared" si="49"/>
        <v>136826</v>
      </c>
    </row>
    <row r="269" spans="1:32" x14ac:dyDescent="0.3">
      <c r="A269" s="1">
        <v>268</v>
      </c>
      <c r="B269" s="1" t="s">
        <v>1001</v>
      </c>
      <c r="C269" s="2">
        <v>42391</v>
      </c>
      <c r="D269" s="2">
        <v>42397</v>
      </c>
      <c r="E269" s="1" t="s">
        <v>48</v>
      </c>
      <c r="F269" s="1" t="s">
        <v>385</v>
      </c>
      <c r="G269" s="1" t="s">
        <v>386</v>
      </c>
      <c r="H269" s="1" t="s">
        <v>24</v>
      </c>
      <c r="I269" s="1" t="s">
        <v>25</v>
      </c>
      <c r="J269" s="1" t="s">
        <v>1002</v>
      </c>
      <c r="K269" s="1" t="s">
        <v>788</v>
      </c>
      <c r="L269" s="1">
        <v>7960</v>
      </c>
      <c r="M269" s="1" t="s">
        <v>146</v>
      </c>
      <c r="N269" s="1" t="s">
        <v>1003</v>
      </c>
      <c r="O269" s="1" t="s">
        <v>44</v>
      </c>
      <c r="P269" s="1" t="s">
        <v>267</v>
      </c>
      <c r="Q269" s="1" t="s">
        <v>1004</v>
      </c>
      <c r="R269" s="1">
        <v>7.56</v>
      </c>
      <c r="S269" s="1">
        <v>6</v>
      </c>
      <c r="T269" s="3">
        <v>0</v>
      </c>
      <c r="U269" s="4">
        <v>0.3024</v>
      </c>
      <c r="V269" s="1" t="str">
        <f t="shared" si="40"/>
        <v>Standard Class</v>
      </c>
      <c r="W269" s="1" t="str">
        <f t="shared" si="41"/>
        <v>Consumer</v>
      </c>
      <c r="X269" s="1" t="str">
        <f t="shared" si="42"/>
        <v>Morristown - New Jersey</v>
      </c>
      <c r="Y269" s="1" t="str">
        <f t="shared" si="43"/>
        <v>Fasteners</v>
      </c>
      <c r="Z269" s="1">
        <f t="shared" si="44"/>
        <v>7.56</v>
      </c>
      <c r="AA269" s="1">
        <f t="shared" si="45"/>
        <v>7.56</v>
      </c>
      <c r="AB269" s="1">
        <f t="shared" si="46"/>
        <v>45.36</v>
      </c>
      <c r="AC269" s="4">
        <f t="shared" si="47"/>
        <v>45.36</v>
      </c>
      <c r="AD269" s="1" t="s">
        <v>2013</v>
      </c>
      <c r="AE269" s="1" t="str">
        <f t="shared" si="48"/>
        <v>2016</v>
      </c>
      <c r="AF269" s="1" t="str">
        <f t="shared" si="49"/>
        <v>111010</v>
      </c>
    </row>
    <row r="270" spans="1:32" x14ac:dyDescent="0.3">
      <c r="A270" s="1">
        <v>269</v>
      </c>
      <c r="B270" s="1" t="s">
        <v>1005</v>
      </c>
      <c r="C270" s="2">
        <v>43078</v>
      </c>
      <c r="D270" s="2">
        <v>43082</v>
      </c>
      <c r="E270" s="1" t="s">
        <v>48</v>
      </c>
      <c r="F270" s="1" t="s">
        <v>1006</v>
      </c>
      <c r="G270" s="1" t="s">
        <v>1007</v>
      </c>
      <c r="H270" s="1" t="s">
        <v>39</v>
      </c>
      <c r="I270" s="1" t="s">
        <v>25</v>
      </c>
      <c r="J270" s="1" t="s">
        <v>1008</v>
      </c>
      <c r="K270" s="1" t="s">
        <v>496</v>
      </c>
      <c r="L270" s="1">
        <v>45231</v>
      </c>
      <c r="M270" s="1" t="s">
        <v>146</v>
      </c>
      <c r="N270" s="1" t="s">
        <v>1009</v>
      </c>
      <c r="O270" s="1" t="s">
        <v>44</v>
      </c>
      <c r="P270" s="1" t="s">
        <v>57</v>
      </c>
      <c r="Q270" s="1" t="s">
        <v>1010</v>
      </c>
      <c r="R270" s="1">
        <v>37.207999999999998</v>
      </c>
      <c r="S270" s="1">
        <v>1</v>
      </c>
      <c r="T270" s="3">
        <v>0.2</v>
      </c>
      <c r="U270" s="4">
        <v>-7.4416000000000002</v>
      </c>
      <c r="V270" s="1" t="str">
        <f t="shared" si="40"/>
        <v>Standard Class</v>
      </c>
      <c r="W270" s="1" t="str">
        <f t="shared" si="41"/>
        <v>Corporate</v>
      </c>
      <c r="X270" s="1" t="str">
        <f t="shared" si="42"/>
        <v>Cincinnati - Ohio</v>
      </c>
      <c r="Y270" s="1" t="str">
        <f t="shared" si="43"/>
        <v>Storage</v>
      </c>
      <c r="Z270" s="1">
        <f t="shared" si="44"/>
        <v>37.207999999999998</v>
      </c>
      <c r="AA270" s="1">
        <f t="shared" si="45"/>
        <v>37.207999999999998</v>
      </c>
      <c r="AB270" s="1">
        <f t="shared" si="46"/>
        <v>37.207999999999998</v>
      </c>
      <c r="AC270" s="4">
        <f t="shared" si="47"/>
        <v>29.766400000000001</v>
      </c>
      <c r="AD270" s="1" t="s">
        <v>2014</v>
      </c>
      <c r="AE270" s="1" t="str">
        <f t="shared" si="48"/>
        <v>2017</v>
      </c>
      <c r="AF270" s="1" t="str">
        <f t="shared" si="49"/>
        <v>145366</v>
      </c>
    </row>
    <row r="271" spans="1:32" x14ac:dyDescent="0.3">
      <c r="A271" s="1">
        <v>270</v>
      </c>
      <c r="B271" s="1" t="s">
        <v>1005</v>
      </c>
      <c r="C271" s="2">
        <v>43078</v>
      </c>
      <c r="D271" s="2">
        <v>43082</v>
      </c>
      <c r="E271" s="1" t="s">
        <v>48</v>
      </c>
      <c r="F271" s="1" t="s">
        <v>1006</v>
      </c>
      <c r="G271" s="1" t="s">
        <v>1007</v>
      </c>
      <c r="H271" s="1" t="s">
        <v>39</v>
      </c>
      <c r="I271" s="1" t="s">
        <v>25</v>
      </c>
      <c r="J271" s="1" t="s">
        <v>1008</v>
      </c>
      <c r="K271" s="1" t="s">
        <v>496</v>
      </c>
      <c r="L271" s="1">
        <v>45231</v>
      </c>
      <c r="M271" s="1" t="s">
        <v>146</v>
      </c>
      <c r="N271" s="1" t="s">
        <v>1011</v>
      </c>
      <c r="O271" s="1" t="s">
        <v>44</v>
      </c>
      <c r="P271" s="1" t="s">
        <v>171</v>
      </c>
      <c r="Q271" s="1" t="s">
        <v>1012</v>
      </c>
      <c r="R271" s="1">
        <v>57.576000000000001</v>
      </c>
      <c r="S271" s="1">
        <v>3</v>
      </c>
      <c r="T271" s="3">
        <v>0.2</v>
      </c>
      <c r="U271" s="4">
        <v>21.591000000000001</v>
      </c>
      <c r="V271" s="1" t="str">
        <f t="shared" si="40"/>
        <v>Standard Class</v>
      </c>
      <c r="W271" s="1" t="str">
        <f t="shared" si="41"/>
        <v>Corporate</v>
      </c>
      <c r="X271" s="1" t="str">
        <f t="shared" si="42"/>
        <v>Cincinnati - Ohio</v>
      </c>
      <c r="Y271" s="1" t="str">
        <f t="shared" si="43"/>
        <v>Envelopes</v>
      </c>
      <c r="Z271" s="1">
        <f t="shared" si="44"/>
        <v>57.576000000000001</v>
      </c>
      <c r="AA271" s="1">
        <f t="shared" si="45"/>
        <v>57.576000000000001</v>
      </c>
      <c r="AB271" s="1">
        <f t="shared" si="46"/>
        <v>172.72800000000001</v>
      </c>
      <c r="AC271" s="4">
        <f t="shared" si="47"/>
        <v>138.1824</v>
      </c>
      <c r="AD271" s="1" t="s">
        <v>2014</v>
      </c>
      <c r="AE271" s="1" t="str">
        <f t="shared" si="48"/>
        <v>2017</v>
      </c>
      <c r="AF271" s="1" t="str">
        <f t="shared" si="49"/>
        <v>145366</v>
      </c>
    </row>
    <row r="272" spans="1:32" x14ac:dyDescent="0.3">
      <c r="A272" s="1">
        <v>271</v>
      </c>
      <c r="B272" s="1" t="s">
        <v>1013</v>
      </c>
      <c r="C272" s="2">
        <v>43097</v>
      </c>
      <c r="D272" s="2">
        <v>43102</v>
      </c>
      <c r="E272" s="1" t="s">
        <v>21</v>
      </c>
      <c r="F272" s="1" t="s">
        <v>1014</v>
      </c>
      <c r="G272" s="1" t="s">
        <v>1015</v>
      </c>
      <c r="H272" s="1" t="s">
        <v>39</v>
      </c>
      <c r="I272" s="1" t="s">
        <v>25</v>
      </c>
      <c r="J272" s="1" t="s">
        <v>125</v>
      </c>
      <c r="K272" s="1" t="s">
        <v>41</v>
      </c>
      <c r="L272" s="1">
        <v>94110</v>
      </c>
      <c r="M272" s="1" t="s">
        <v>42</v>
      </c>
      <c r="N272" s="1" t="s">
        <v>1016</v>
      </c>
      <c r="O272" s="1" t="s">
        <v>44</v>
      </c>
      <c r="P272" s="1" t="s">
        <v>57</v>
      </c>
      <c r="Q272" s="1" t="s">
        <v>1017</v>
      </c>
      <c r="R272" s="1">
        <v>725.84</v>
      </c>
      <c r="S272" s="1">
        <v>4</v>
      </c>
      <c r="T272" s="3">
        <v>0</v>
      </c>
      <c r="U272" s="4">
        <v>210.49359999999999</v>
      </c>
      <c r="V272" s="1" t="str">
        <f t="shared" si="40"/>
        <v>Second Class</v>
      </c>
      <c r="W272" s="1" t="str">
        <f t="shared" si="41"/>
        <v>Corporate</v>
      </c>
      <c r="X272" s="1" t="str">
        <f t="shared" si="42"/>
        <v>San Francisco - California</v>
      </c>
      <c r="Y272" s="1" t="str">
        <f t="shared" si="43"/>
        <v>Storage</v>
      </c>
      <c r="Z272" s="1">
        <f t="shared" si="44"/>
        <v>725.84</v>
      </c>
      <c r="AA272" s="1">
        <f t="shared" si="45"/>
        <v>725.84</v>
      </c>
      <c r="AB272" s="1">
        <f t="shared" si="46"/>
        <v>2903.36</v>
      </c>
      <c r="AC272" s="4">
        <f t="shared" si="47"/>
        <v>2903.36</v>
      </c>
      <c r="AD272" s="1" t="s">
        <v>2013</v>
      </c>
      <c r="AE272" s="1" t="str">
        <f t="shared" si="48"/>
        <v>2017</v>
      </c>
      <c r="AF272" s="1" t="str">
        <f t="shared" si="49"/>
        <v>163979</v>
      </c>
    </row>
    <row r="273" spans="1:32" x14ac:dyDescent="0.3">
      <c r="A273" s="1">
        <v>272</v>
      </c>
      <c r="B273" s="1" t="s">
        <v>1018</v>
      </c>
      <c r="C273" s="2">
        <v>42215</v>
      </c>
      <c r="D273" s="2">
        <v>42216</v>
      </c>
      <c r="E273" s="1" t="s">
        <v>186</v>
      </c>
      <c r="F273" s="1" t="s">
        <v>599</v>
      </c>
      <c r="G273" s="1" t="s">
        <v>600</v>
      </c>
      <c r="H273" s="1" t="s">
        <v>24</v>
      </c>
      <c r="I273" s="1" t="s">
        <v>25</v>
      </c>
      <c r="J273" s="1" t="s">
        <v>125</v>
      </c>
      <c r="K273" s="1" t="s">
        <v>41</v>
      </c>
      <c r="L273" s="1">
        <v>94109</v>
      </c>
      <c r="M273" s="1" t="s">
        <v>42</v>
      </c>
      <c r="N273" s="1" t="s">
        <v>1019</v>
      </c>
      <c r="O273" s="1" t="s">
        <v>69</v>
      </c>
      <c r="P273" s="1" t="s">
        <v>159</v>
      </c>
      <c r="Q273" s="1" t="s">
        <v>1020</v>
      </c>
      <c r="R273" s="1">
        <v>209.93</v>
      </c>
      <c r="S273" s="1">
        <v>7</v>
      </c>
      <c r="T273" s="3">
        <v>0</v>
      </c>
      <c r="U273" s="4">
        <v>92.369200000000006</v>
      </c>
      <c r="V273" s="1" t="str">
        <f t="shared" si="40"/>
        <v>First Class</v>
      </c>
      <c r="W273" s="1" t="str">
        <f t="shared" si="41"/>
        <v>Consumer</v>
      </c>
      <c r="X273" s="1" t="str">
        <f t="shared" si="42"/>
        <v>San Francisco - California</v>
      </c>
      <c r="Y273" s="1" t="str">
        <f t="shared" si="43"/>
        <v>Accessories</v>
      </c>
      <c r="Z273" s="1">
        <f t="shared" si="44"/>
        <v>209.93</v>
      </c>
      <c r="AA273" s="1">
        <f t="shared" si="45"/>
        <v>209.93</v>
      </c>
      <c r="AB273" s="1">
        <f t="shared" si="46"/>
        <v>1469.51</v>
      </c>
      <c r="AC273" s="4">
        <f t="shared" si="47"/>
        <v>1469.51</v>
      </c>
      <c r="AD273" s="1" t="s">
        <v>2013</v>
      </c>
      <c r="AE273" s="1" t="str">
        <f t="shared" si="48"/>
        <v>2015</v>
      </c>
      <c r="AF273" s="1" t="str">
        <f t="shared" si="49"/>
        <v>155334</v>
      </c>
    </row>
    <row r="274" spans="1:32" x14ac:dyDescent="0.3">
      <c r="A274" s="1">
        <v>273</v>
      </c>
      <c r="B274" s="1" t="s">
        <v>1018</v>
      </c>
      <c r="C274" s="2">
        <v>42215</v>
      </c>
      <c r="D274" s="2">
        <v>42216</v>
      </c>
      <c r="E274" s="1" t="s">
        <v>186</v>
      </c>
      <c r="F274" s="1" t="s">
        <v>599</v>
      </c>
      <c r="G274" s="1" t="s">
        <v>600</v>
      </c>
      <c r="H274" s="1" t="s">
        <v>24</v>
      </c>
      <c r="I274" s="1" t="s">
        <v>25</v>
      </c>
      <c r="J274" s="1" t="s">
        <v>125</v>
      </c>
      <c r="K274" s="1" t="s">
        <v>41</v>
      </c>
      <c r="L274" s="1">
        <v>94109</v>
      </c>
      <c r="M274" s="1" t="s">
        <v>42</v>
      </c>
      <c r="N274" s="1" t="s">
        <v>1021</v>
      </c>
      <c r="O274" s="1" t="s">
        <v>30</v>
      </c>
      <c r="P274" s="1" t="s">
        <v>63</v>
      </c>
      <c r="Q274" s="1" t="s">
        <v>1022</v>
      </c>
      <c r="R274" s="1">
        <v>5.28</v>
      </c>
      <c r="S274" s="1">
        <v>3</v>
      </c>
      <c r="T274" s="3">
        <v>0</v>
      </c>
      <c r="U274" s="4">
        <v>2.3231999999999999</v>
      </c>
      <c r="V274" s="1" t="str">
        <f t="shared" si="40"/>
        <v>First Class</v>
      </c>
      <c r="W274" s="1" t="str">
        <f t="shared" si="41"/>
        <v>Consumer</v>
      </c>
      <c r="X274" s="1" t="str">
        <f t="shared" si="42"/>
        <v>San Francisco - California</v>
      </c>
      <c r="Y274" s="1" t="str">
        <f t="shared" si="43"/>
        <v>Furnishings</v>
      </c>
      <c r="Z274" s="1">
        <f t="shared" si="44"/>
        <v>5.28</v>
      </c>
      <c r="AA274" s="1">
        <f t="shared" si="45"/>
        <v>5.28</v>
      </c>
      <c r="AB274" s="1">
        <f t="shared" si="46"/>
        <v>15.84</v>
      </c>
      <c r="AC274" s="4">
        <f t="shared" si="47"/>
        <v>15.84</v>
      </c>
      <c r="AD274" s="1" t="s">
        <v>2013</v>
      </c>
      <c r="AE274" s="1" t="str">
        <f t="shared" si="48"/>
        <v>2015</v>
      </c>
      <c r="AF274" s="1" t="str">
        <f t="shared" si="49"/>
        <v>155334</v>
      </c>
    </row>
    <row r="275" spans="1:32" x14ac:dyDescent="0.3">
      <c r="A275" s="1">
        <v>274</v>
      </c>
      <c r="B275" s="1" t="s">
        <v>1018</v>
      </c>
      <c r="C275" s="2">
        <v>42215</v>
      </c>
      <c r="D275" s="2">
        <v>42216</v>
      </c>
      <c r="E275" s="1" t="s">
        <v>186</v>
      </c>
      <c r="F275" s="1" t="s">
        <v>599</v>
      </c>
      <c r="G275" s="1" t="s">
        <v>600</v>
      </c>
      <c r="H275" s="1" t="s">
        <v>24</v>
      </c>
      <c r="I275" s="1" t="s">
        <v>25</v>
      </c>
      <c r="J275" s="1" t="s">
        <v>125</v>
      </c>
      <c r="K275" s="1" t="s">
        <v>41</v>
      </c>
      <c r="L275" s="1">
        <v>94109</v>
      </c>
      <c r="M275" s="1" t="s">
        <v>42</v>
      </c>
      <c r="N275" s="1" t="s">
        <v>1023</v>
      </c>
      <c r="O275" s="1" t="s">
        <v>44</v>
      </c>
      <c r="P275" s="1" t="s">
        <v>73</v>
      </c>
      <c r="Q275" s="1" t="s">
        <v>1024</v>
      </c>
      <c r="R275" s="1">
        <v>10.92</v>
      </c>
      <c r="S275" s="1">
        <v>3</v>
      </c>
      <c r="T275" s="3">
        <v>0.2</v>
      </c>
      <c r="U275" s="4">
        <v>4.0949999999999998</v>
      </c>
      <c r="V275" s="1" t="str">
        <f t="shared" si="40"/>
        <v>First Class</v>
      </c>
      <c r="W275" s="1" t="str">
        <f t="shared" si="41"/>
        <v>Consumer</v>
      </c>
      <c r="X275" s="1" t="str">
        <f t="shared" si="42"/>
        <v>San Francisco - California</v>
      </c>
      <c r="Y275" s="1" t="str">
        <f t="shared" si="43"/>
        <v>Binders</v>
      </c>
      <c r="Z275" s="1">
        <f t="shared" si="44"/>
        <v>10.92</v>
      </c>
      <c r="AA275" s="1">
        <f t="shared" si="45"/>
        <v>10.92</v>
      </c>
      <c r="AB275" s="1">
        <f t="shared" si="46"/>
        <v>32.76</v>
      </c>
      <c r="AC275" s="4">
        <f t="shared" si="47"/>
        <v>26.207999999999998</v>
      </c>
      <c r="AD275" s="1" t="s">
        <v>2013</v>
      </c>
      <c r="AE275" s="1" t="str">
        <f t="shared" si="48"/>
        <v>2015</v>
      </c>
      <c r="AF275" s="1" t="str">
        <f t="shared" si="49"/>
        <v>155334</v>
      </c>
    </row>
    <row r="276" spans="1:32" x14ac:dyDescent="0.3">
      <c r="A276" s="1">
        <v>275</v>
      </c>
      <c r="B276" s="1" t="s">
        <v>1025</v>
      </c>
      <c r="C276" s="2">
        <v>42994</v>
      </c>
      <c r="D276" s="2">
        <v>42995</v>
      </c>
      <c r="E276" s="1" t="s">
        <v>186</v>
      </c>
      <c r="F276" s="1" t="s">
        <v>1026</v>
      </c>
      <c r="G276" s="1" t="s">
        <v>1027</v>
      </c>
      <c r="H276" s="1" t="s">
        <v>39</v>
      </c>
      <c r="I276" s="1" t="s">
        <v>25</v>
      </c>
      <c r="J276" s="1" t="s">
        <v>1028</v>
      </c>
      <c r="K276" s="1" t="s">
        <v>41</v>
      </c>
      <c r="L276" s="1">
        <v>90301</v>
      </c>
      <c r="M276" s="1" t="s">
        <v>42</v>
      </c>
      <c r="N276" s="1" t="s">
        <v>1029</v>
      </c>
      <c r="O276" s="1" t="s">
        <v>44</v>
      </c>
      <c r="P276" s="1" t="s">
        <v>88</v>
      </c>
      <c r="Q276" s="1" t="s">
        <v>1030</v>
      </c>
      <c r="R276" s="1">
        <v>8.82</v>
      </c>
      <c r="S276" s="1">
        <v>2</v>
      </c>
      <c r="T276" s="3">
        <v>0</v>
      </c>
      <c r="U276" s="4">
        <v>4.0571999999999999</v>
      </c>
      <c r="V276" s="1" t="str">
        <f t="shared" si="40"/>
        <v>First Class</v>
      </c>
      <c r="W276" s="1" t="str">
        <f t="shared" si="41"/>
        <v>Corporate</v>
      </c>
      <c r="X276" s="1" t="str">
        <f t="shared" si="42"/>
        <v>Inglewood - California</v>
      </c>
      <c r="Y276" s="1" t="str">
        <f t="shared" si="43"/>
        <v>Paper</v>
      </c>
      <c r="Z276" s="1">
        <f t="shared" si="44"/>
        <v>8.82</v>
      </c>
      <c r="AA276" s="1">
        <f t="shared" si="45"/>
        <v>8.82</v>
      </c>
      <c r="AB276" s="1">
        <f t="shared" si="46"/>
        <v>17.64</v>
      </c>
      <c r="AC276" s="4">
        <f t="shared" si="47"/>
        <v>17.64</v>
      </c>
      <c r="AD276" s="1" t="s">
        <v>2013</v>
      </c>
      <c r="AE276" s="1" t="str">
        <f t="shared" si="48"/>
        <v>2017</v>
      </c>
      <c r="AF276" s="1" t="str">
        <f t="shared" si="49"/>
        <v>118136</v>
      </c>
    </row>
    <row r="277" spans="1:32" x14ac:dyDescent="0.3">
      <c r="A277" s="1">
        <v>276</v>
      </c>
      <c r="B277" s="1" t="s">
        <v>1025</v>
      </c>
      <c r="C277" s="2">
        <v>42994</v>
      </c>
      <c r="D277" s="2">
        <v>42995</v>
      </c>
      <c r="E277" s="1" t="s">
        <v>186</v>
      </c>
      <c r="F277" s="1" t="s">
        <v>1026</v>
      </c>
      <c r="G277" s="1" t="s">
        <v>1027</v>
      </c>
      <c r="H277" s="1" t="s">
        <v>39</v>
      </c>
      <c r="I277" s="1" t="s">
        <v>25</v>
      </c>
      <c r="J277" s="1" t="s">
        <v>1028</v>
      </c>
      <c r="K277" s="1" t="s">
        <v>41</v>
      </c>
      <c r="L277" s="1">
        <v>90301</v>
      </c>
      <c r="M277" s="1" t="s">
        <v>42</v>
      </c>
      <c r="N277" s="1" t="s">
        <v>1031</v>
      </c>
      <c r="O277" s="1" t="s">
        <v>44</v>
      </c>
      <c r="P277" s="1" t="s">
        <v>66</v>
      </c>
      <c r="Q277" s="1" t="s">
        <v>1032</v>
      </c>
      <c r="R277" s="1">
        <v>5.98</v>
      </c>
      <c r="S277" s="1">
        <v>1</v>
      </c>
      <c r="T277" s="3">
        <v>0</v>
      </c>
      <c r="U277" s="4">
        <v>1.5548</v>
      </c>
      <c r="V277" s="1" t="str">
        <f t="shared" si="40"/>
        <v>First Class</v>
      </c>
      <c r="W277" s="1" t="str">
        <f t="shared" si="41"/>
        <v>Corporate</v>
      </c>
      <c r="X277" s="1" t="str">
        <f t="shared" si="42"/>
        <v>Inglewood - California</v>
      </c>
      <c r="Y277" s="1" t="str">
        <f t="shared" si="43"/>
        <v>Art</v>
      </c>
      <c r="Z277" s="1">
        <f t="shared" si="44"/>
        <v>5.98</v>
      </c>
      <c r="AA277" s="1">
        <f t="shared" si="45"/>
        <v>5.98</v>
      </c>
      <c r="AB277" s="1">
        <f t="shared" si="46"/>
        <v>5.98</v>
      </c>
      <c r="AC277" s="4">
        <f t="shared" si="47"/>
        <v>5.98</v>
      </c>
      <c r="AD277" s="1" t="s">
        <v>2013</v>
      </c>
      <c r="AE277" s="1" t="str">
        <f t="shared" si="48"/>
        <v>2017</v>
      </c>
      <c r="AF277" s="1" t="str">
        <f t="shared" si="49"/>
        <v>118136</v>
      </c>
    </row>
    <row r="278" spans="1:32" x14ac:dyDescent="0.3">
      <c r="A278" s="1">
        <v>277</v>
      </c>
      <c r="B278" s="1" t="s">
        <v>1033</v>
      </c>
      <c r="C278" s="2">
        <v>43021</v>
      </c>
      <c r="D278" s="2">
        <v>43025</v>
      </c>
      <c r="E278" s="1" t="s">
        <v>48</v>
      </c>
      <c r="F278" s="1" t="s">
        <v>1034</v>
      </c>
      <c r="G278" s="1" t="s">
        <v>1035</v>
      </c>
      <c r="H278" s="1" t="s">
        <v>39</v>
      </c>
      <c r="I278" s="1" t="s">
        <v>25</v>
      </c>
      <c r="J278" s="1" t="s">
        <v>144</v>
      </c>
      <c r="K278" s="1" t="s">
        <v>145</v>
      </c>
      <c r="L278" s="1">
        <v>19140</v>
      </c>
      <c r="M278" s="1" t="s">
        <v>146</v>
      </c>
      <c r="N278" s="1" t="s">
        <v>1036</v>
      </c>
      <c r="O278" s="1" t="s">
        <v>44</v>
      </c>
      <c r="P278" s="1" t="s">
        <v>88</v>
      </c>
      <c r="Q278" s="1" t="s">
        <v>1037</v>
      </c>
      <c r="R278" s="1">
        <v>11.648</v>
      </c>
      <c r="S278" s="1">
        <v>2</v>
      </c>
      <c r="T278" s="3">
        <v>0.2</v>
      </c>
      <c r="U278" s="4">
        <v>4.0768000000000004</v>
      </c>
      <c r="V278" s="1" t="str">
        <f t="shared" si="40"/>
        <v>Standard Class</v>
      </c>
      <c r="W278" s="1" t="str">
        <f t="shared" si="41"/>
        <v>Corporate</v>
      </c>
      <c r="X278" s="1" t="str">
        <f t="shared" si="42"/>
        <v>Philadelphia - Pennsylvania</v>
      </c>
      <c r="Y278" s="1" t="str">
        <f t="shared" si="43"/>
        <v>Paper</v>
      </c>
      <c r="Z278" s="1">
        <f t="shared" si="44"/>
        <v>11.648</v>
      </c>
      <c r="AA278" s="1">
        <f t="shared" si="45"/>
        <v>11.648</v>
      </c>
      <c r="AB278" s="1">
        <f t="shared" si="46"/>
        <v>23.295999999999999</v>
      </c>
      <c r="AC278" s="4">
        <f t="shared" si="47"/>
        <v>18.636800000000001</v>
      </c>
      <c r="AD278" s="1" t="s">
        <v>2013</v>
      </c>
      <c r="AE278" s="1" t="str">
        <f t="shared" si="48"/>
        <v>2017</v>
      </c>
      <c r="AF278" s="1" t="str">
        <f t="shared" si="49"/>
        <v>132976</v>
      </c>
    </row>
    <row r="279" spans="1:32" x14ac:dyDescent="0.3">
      <c r="A279" s="1">
        <v>278</v>
      </c>
      <c r="B279" s="1" t="s">
        <v>1033</v>
      </c>
      <c r="C279" s="2">
        <v>43021</v>
      </c>
      <c r="D279" s="2">
        <v>43025</v>
      </c>
      <c r="E279" s="1" t="s">
        <v>48</v>
      </c>
      <c r="F279" s="1" t="s">
        <v>1034</v>
      </c>
      <c r="G279" s="1" t="s">
        <v>1035</v>
      </c>
      <c r="H279" s="1" t="s">
        <v>39</v>
      </c>
      <c r="I279" s="1" t="s">
        <v>25</v>
      </c>
      <c r="J279" s="1" t="s">
        <v>144</v>
      </c>
      <c r="K279" s="1" t="s">
        <v>145</v>
      </c>
      <c r="L279" s="1">
        <v>19140</v>
      </c>
      <c r="M279" s="1" t="s">
        <v>146</v>
      </c>
      <c r="N279" s="1" t="s">
        <v>1038</v>
      </c>
      <c r="O279" s="1" t="s">
        <v>44</v>
      </c>
      <c r="P279" s="1" t="s">
        <v>88</v>
      </c>
      <c r="Q279" s="1" t="s">
        <v>1039</v>
      </c>
      <c r="R279" s="1">
        <v>18.175999999999998</v>
      </c>
      <c r="S279" s="1">
        <v>4</v>
      </c>
      <c r="T279" s="3">
        <v>0.2</v>
      </c>
      <c r="U279" s="4">
        <v>5.9071999999999996</v>
      </c>
      <c r="V279" s="1" t="str">
        <f t="shared" si="40"/>
        <v>Standard Class</v>
      </c>
      <c r="W279" s="1" t="str">
        <f t="shared" si="41"/>
        <v>Corporate</v>
      </c>
      <c r="X279" s="1" t="str">
        <f t="shared" si="42"/>
        <v>Philadelphia - Pennsylvania</v>
      </c>
      <c r="Y279" s="1" t="str">
        <f t="shared" si="43"/>
        <v>Paper</v>
      </c>
      <c r="Z279" s="1">
        <f t="shared" si="44"/>
        <v>18.175999999999998</v>
      </c>
      <c r="AA279" s="1">
        <f t="shared" si="45"/>
        <v>18.175999999999998</v>
      </c>
      <c r="AB279" s="1">
        <f t="shared" si="46"/>
        <v>72.703999999999994</v>
      </c>
      <c r="AC279" s="4">
        <f t="shared" si="47"/>
        <v>58.163199999999996</v>
      </c>
      <c r="AD279" s="1" t="s">
        <v>2013</v>
      </c>
      <c r="AE279" s="1" t="str">
        <f t="shared" si="48"/>
        <v>2017</v>
      </c>
      <c r="AF279" s="1" t="str">
        <f t="shared" si="49"/>
        <v>132976</v>
      </c>
    </row>
    <row r="280" spans="1:32" x14ac:dyDescent="0.3">
      <c r="A280" s="1">
        <v>279</v>
      </c>
      <c r="B280" s="1" t="s">
        <v>1033</v>
      </c>
      <c r="C280" s="2">
        <v>43021</v>
      </c>
      <c r="D280" s="2">
        <v>43025</v>
      </c>
      <c r="E280" s="1" t="s">
        <v>48</v>
      </c>
      <c r="F280" s="1" t="s">
        <v>1034</v>
      </c>
      <c r="G280" s="1" t="s">
        <v>1035</v>
      </c>
      <c r="H280" s="1" t="s">
        <v>39</v>
      </c>
      <c r="I280" s="1" t="s">
        <v>25</v>
      </c>
      <c r="J280" s="1" t="s">
        <v>144</v>
      </c>
      <c r="K280" s="1" t="s">
        <v>145</v>
      </c>
      <c r="L280" s="1">
        <v>19140</v>
      </c>
      <c r="M280" s="1" t="s">
        <v>146</v>
      </c>
      <c r="N280" s="1" t="s">
        <v>1040</v>
      </c>
      <c r="O280" s="1" t="s">
        <v>44</v>
      </c>
      <c r="P280" s="1" t="s">
        <v>57</v>
      </c>
      <c r="Q280" s="1" t="s">
        <v>1041</v>
      </c>
      <c r="R280" s="1">
        <v>59.712000000000003</v>
      </c>
      <c r="S280" s="1">
        <v>6</v>
      </c>
      <c r="T280" s="3">
        <v>0.2</v>
      </c>
      <c r="U280" s="4">
        <v>5.9711999999999996</v>
      </c>
      <c r="V280" s="1" t="str">
        <f t="shared" si="40"/>
        <v>Standard Class</v>
      </c>
      <c r="W280" s="1" t="str">
        <f t="shared" si="41"/>
        <v>Corporate</v>
      </c>
      <c r="X280" s="1" t="str">
        <f t="shared" si="42"/>
        <v>Philadelphia - Pennsylvania</v>
      </c>
      <c r="Y280" s="1" t="str">
        <f t="shared" si="43"/>
        <v>Storage</v>
      </c>
      <c r="Z280" s="1">
        <f t="shared" si="44"/>
        <v>59.712000000000003</v>
      </c>
      <c r="AA280" s="1">
        <f t="shared" si="45"/>
        <v>59.712000000000003</v>
      </c>
      <c r="AB280" s="1">
        <f t="shared" si="46"/>
        <v>358.27200000000005</v>
      </c>
      <c r="AC280" s="4">
        <f t="shared" si="47"/>
        <v>286.61760000000004</v>
      </c>
      <c r="AD280" s="1" t="s">
        <v>2013</v>
      </c>
      <c r="AE280" s="1" t="str">
        <f t="shared" si="48"/>
        <v>2017</v>
      </c>
      <c r="AF280" s="1" t="str">
        <f t="shared" si="49"/>
        <v>132976</v>
      </c>
    </row>
    <row r="281" spans="1:32" x14ac:dyDescent="0.3">
      <c r="A281" s="1">
        <v>280</v>
      </c>
      <c r="B281" s="1" t="s">
        <v>1033</v>
      </c>
      <c r="C281" s="2">
        <v>43021</v>
      </c>
      <c r="D281" s="2">
        <v>43025</v>
      </c>
      <c r="E281" s="1" t="s">
        <v>48</v>
      </c>
      <c r="F281" s="1" t="s">
        <v>1034</v>
      </c>
      <c r="G281" s="1" t="s">
        <v>1035</v>
      </c>
      <c r="H281" s="1" t="s">
        <v>39</v>
      </c>
      <c r="I281" s="1" t="s">
        <v>25</v>
      </c>
      <c r="J281" s="1" t="s">
        <v>144</v>
      </c>
      <c r="K281" s="1" t="s">
        <v>145</v>
      </c>
      <c r="L281" s="1">
        <v>19140</v>
      </c>
      <c r="M281" s="1" t="s">
        <v>146</v>
      </c>
      <c r="N281" s="1" t="s">
        <v>1042</v>
      </c>
      <c r="O281" s="1" t="s">
        <v>44</v>
      </c>
      <c r="P281" s="1" t="s">
        <v>45</v>
      </c>
      <c r="Q281" s="1" t="s">
        <v>1043</v>
      </c>
      <c r="R281" s="1">
        <v>24.84</v>
      </c>
      <c r="S281" s="1">
        <v>3</v>
      </c>
      <c r="T281" s="3">
        <v>0.2</v>
      </c>
      <c r="U281" s="4">
        <v>8.6940000000000008</v>
      </c>
      <c r="V281" s="1" t="str">
        <f t="shared" si="40"/>
        <v>Standard Class</v>
      </c>
      <c r="W281" s="1" t="str">
        <f t="shared" si="41"/>
        <v>Corporate</v>
      </c>
      <c r="X281" s="1" t="str">
        <f t="shared" si="42"/>
        <v>Philadelphia - Pennsylvania</v>
      </c>
      <c r="Y281" s="1" t="str">
        <f t="shared" si="43"/>
        <v>Labels</v>
      </c>
      <c r="Z281" s="1">
        <f t="shared" si="44"/>
        <v>24.84</v>
      </c>
      <c r="AA281" s="1">
        <f t="shared" si="45"/>
        <v>24.84</v>
      </c>
      <c r="AB281" s="1">
        <f t="shared" si="46"/>
        <v>74.52</v>
      </c>
      <c r="AC281" s="4">
        <f t="shared" si="47"/>
        <v>59.616</v>
      </c>
      <c r="AD281" s="1" t="s">
        <v>2013</v>
      </c>
      <c r="AE281" s="1" t="str">
        <f t="shared" si="48"/>
        <v>2017</v>
      </c>
      <c r="AF281" s="1" t="str">
        <f t="shared" si="49"/>
        <v>132976</v>
      </c>
    </row>
    <row r="282" spans="1:32" x14ac:dyDescent="0.3">
      <c r="A282" s="1">
        <v>281</v>
      </c>
      <c r="B282" s="1" t="s">
        <v>1044</v>
      </c>
      <c r="C282" s="2">
        <v>42273</v>
      </c>
      <c r="D282" s="2">
        <v>42275</v>
      </c>
      <c r="E282" s="1" t="s">
        <v>21</v>
      </c>
      <c r="F282" s="1" t="s">
        <v>517</v>
      </c>
      <c r="G282" s="1" t="s">
        <v>518</v>
      </c>
      <c r="H282" s="1" t="s">
        <v>24</v>
      </c>
      <c r="I282" s="1" t="s">
        <v>25</v>
      </c>
      <c r="J282" s="1" t="s">
        <v>182</v>
      </c>
      <c r="K282" s="1" t="s">
        <v>102</v>
      </c>
      <c r="L282" s="1">
        <v>77070</v>
      </c>
      <c r="M282" s="1" t="s">
        <v>103</v>
      </c>
      <c r="N282" s="1" t="s">
        <v>1045</v>
      </c>
      <c r="O282" s="1" t="s">
        <v>44</v>
      </c>
      <c r="P282" s="1" t="s">
        <v>73</v>
      </c>
      <c r="Q282" s="1" t="s">
        <v>1046</v>
      </c>
      <c r="R282" s="1">
        <v>2.08</v>
      </c>
      <c r="S282" s="1">
        <v>5</v>
      </c>
      <c r="T282" s="3">
        <v>0.8</v>
      </c>
      <c r="U282" s="4">
        <v>-3.4319999999999999</v>
      </c>
      <c r="V282" s="1" t="str">
        <f t="shared" si="40"/>
        <v>Second Class</v>
      </c>
      <c r="W282" s="1" t="str">
        <f t="shared" si="41"/>
        <v>Consumer</v>
      </c>
      <c r="X282" s="1" t="str">
        <f t="shared" si="42"/>
        <v>Houston - Texas</v>
      </c>
      <c r="Y282" s="1" t="str">
        <f t="shared" si="43"/>
        <v>Binders</v>
      </c>
      <c r="Z282" s="1">
        <f t="shared" si="44"/>
        <v>2.08</v>
      </c>
      <c r="AA282" s="1">
        <f t="shared" si="45"/>
        <v>2.08</v>
      </c>
      <c r="AB282" s="1">
        <f t="shared" si="46"/>
        <v>10.4</v>
      </c>
      <c r="AC282" s="4">
        <f t="shared" si="47"/>
        <v>2.0799999999999996</v>
      </c>
      <c r="AD282" s="1" t="s">
        <v>2014</v>
      </c>
      <c r="AE282" s="1" t="str">
        <f t="shared" si="48"/>
        <v>2015</v>
      </c>
      <c r="AF282" s="1" t="str">
        <f t="shared" si="49"/>
        <v>161991</v>
      </c>
    </row>
    <row r="283" spans="1:32" x14ac:dyDescent="0.3">
      <c r="A283" s="1">
        <v>282</v>
      </c>
      <c r="B283" s="1" t="s">
        <v>1044</v>
      </c>
      <c r="C283" s="2">
        <v>42273</v>
      </c>
      <c r="D283" s="2">
        <v>42275</v>
      </c>
      <c r="E283" s="1" t="s">
        <v>21</v>
      </c>
      <c r="F283" s="1" t="s">
        <v>517</v>
      </c>
      <c r="G283" s="1" t="s">
        <v>518</v>
      </c>
      <c r="H283" s="1" t="s">
        <v>24</v>
      </c>
      <c r="I283" s="1" t="s">
        <v>25</v>
      </c>
      <c r="J283" s="1" t="s">
        <v>182</v>
      </c>
      <c r="K283" s="1" t="s">
        <v>102</v>
      </c>
      <c r="L283" s="1">
        <v>77070</v>
      </c>
      <c r="M283" s="1" t="s">
        <v>103</v>
      </c>
      <c r="N283" s="1" t="s">
        <v>1047</v>
      </c>
      <c r="O283" s="1" t="s">
        <v>69</v>
      </c>
      <c r="P283" s="1" t="s">
        <v>70</v>
      </c>
      <c r="Q283" s="1" t="s">
        <v>1048</v>
      </c>
      <c r="R283" s="1">
        <v>1114.4000000000001</v>
      </c>
      <c r="S283" s="1">
        <v>7</v>
      </c>
      <c r="T283" s="3">
        <v>0.2</v>
      </c>
      <c r="U283" s="4">
        <v>376.11</v>
      </c>
      <c r="V283" s="1" t="str">
        <f t="shared" si="40"/>
        <v>Second Class</v>
      </c>
      <c r="W283" s="1" t="str">
        <f t="shared" si="41"/>
        <v>Consumer</v>
      </c>
      <c r="X283" s="1" t="str">
        <f t="shared" si="42"/>
        <v>Houston - Texas</v>
      </c>
      <c r="Y283" s="1" t="str">
        <f t="shared" si="43"/>
        <v>Phones</v>
      </c>
      <c r="Z283" s="1">
        <f t="shared" si="44"/>
        <v>1114.4000000000001</v>
      </c>
      <c r="AA283" s="1">
        <f t="shared" si="45"/>
        <v>1114.4000000000001</v>
      </c>
      <c r="AB283" s="1">
        <f t="shared" si="46"/>
        <v>7800.8000000000011</v>
      </c>
      <c r="AC283" s="4">
        <f t="shared" si="47"/>
        <v>6240.6400000000012</v>
      </c>
      <c r="AD283" s="1" t="s">
        <v>2014</v>
      </c>
      <c r="AE283" s="1" t="str">
        <f t="shared" si="48"/>
        <v>2015</v>
      </c>
      <c r="AF283" s="1" t="str">
        <f t="shared" si="49"/>
        <v>161991</v>
      </c>
    </row>
    <row r="284" spans="1:32" x14ac:dyDescent="0.3">
      <c r="A284" s="1">
        <v>283</v>
      </c>
      <c r="B284" s="1" t="s">
        <v>1049</v>
      </c>
      <c r="C284" s="2">
        <v>42310</v>
      </c>
      <c r="D284" s="2">
        <v>42314</v>
      </c>
      <c r="E284" s="1" t="s">
        <v>48</v>
      </c>
      <c r="F284" s="1" t="s">
        <v>1050</v>
      </c>
      <c r="G284" s="1" t="s">
        <v>1051</v>
      </c>
      <c r="H284" s="1" t="s">
        <v>24</v>
      </c>
      <c r="I284" s="1" t="s">
        <v>25</v>
      </c>
      <c r="J284" s="1" t="s">
        <v>40</v>
      </c>
      <c r="K284" s="1" t="s">
        <v>41</v>
      </c>
      <c r="L284" s="1">
        <v>90004</v>
      </c>
      <c r="M284" s="1" t="s">
        <v>42</v>
      </c>
      <c r="N284" s="1" t="s">
        <v>1052</v>
      </c>
      <c r="O284" s="1" t="s">
        <v>30</v>
      </c>
      <c r="P284" s="1" t="s">
        <v>54</v>
      </c>
      <c r="Q284" s="1" t="s">
        <v>1053</v>
      </c>
      <c r="R284" s="1">
        <v>1038.8399999999999</v>
      </c>
      <c r="S284" s="1">
        <v>5</v>
      </c>
      <c r="T284" s="3">
        <v>0.2</v>
      </c>
      <c r="U284" s="4">
        <v>51.942</v>
      </c>
      <c r="V284" s="1" t="str">
        <f t="shared" si="40"/>
        <v>Standard Class</v>
      </c>
      <c r="W284" s="1" t="str">
        <f t="shared" si="41"/>
        <v>Consumer</v>
      </c>
      <c r="X284" s="1" t="str">
        <f t="shared" si="42"/>
        <v>Los Angeles - California</v>
      </c>
      <c r="Y284" s="1" t="str">
        <f t="shared" si="43"/>
        <v>Tables</v>
      </c>
      <c r="Z284" s="1">
        <f t="shared" si="44"/>
        <v>1038.8399999999999</v>
      </c>
      <c r="AA284" s="1">
        <f t="shared" si="45"/>
        <v>1038.8399999999999</v>
      </c>
      <c r="AB284" s="1">
        <f t="shared" si="46"/>
        <v>5194.2</v>
      </c>
      <c r="AC284" s="4">
        <f t="shared" si="47"/>
        <v>4155.3599999999997</v>
      </c>
      <c r="AD284" s="1" t="s">
        <v>2013</v>
      </c>
      <c r="AE284" s="1" t="str">
        <f t="shared" si="48"/>
        <v>2015</v>
      </c>
      <c r="AF284" s="1" t="str">
        <f t="shared" si="49"/>
        <v>130890</v>
      </c>
    </row>
    <row r="285" spans="1:32" x14ac:dyDescent="0.3">
      <c r="A285" s="1">
        <v>284</v>
      </c>
      <c r="B285" s="1" t="s">
        <v>1054</v>
      </c>
      <c r="C285" s="2">
        <v>42273</v>
      </c>
      <c r="D285" s="2">
        <v>42279</v>
      </c>
      <c r="E285" s="1" t="s">
        <v>48</v>
      </c>
      <c r="F285" s="1" t="s">
        <v>162</v>
      </c>
      <c r="G285" s="1" t="s">
        <v>163</v>
      </c>
      <c r="H285" s="1" t="s">
        <v>24</v>
      </c>
      <c r="I285" s="1" t="s">
        <v>25</v>
      </c>
      <c r="J285" s="1" t="s">
        <v>417</v>
      </c>
      <c r="K285" s="1" t="s">
        <v>418</v>
      </c>
      <c r="L285" s="1">
        <v>97206</v>
      </c>
      <c r="M285" s="1" t="s">
        <v>42</v>
      </c>
      <c r="N285" s="1" t="s">
        <v>1055</v>
      </c>
      <c r="O285" s="1" t="s">
        <v>44</v>
      </c>
      <c r="P285" s="1" t="s">
        <v>88</v>
      </c>
      <c r="Q285" s="1" t="s">
        <v>184</v>
      </c>
      <c r="R285" s="1">
        <v>141.76</v>
      </c>
      <c r="S285" s="1">
        <v>5</v>
      </c>
      <c r="T285" s="3">
        <v>0.2</v>
      </c>
      <c r="U285" s="4">
        <v>47.844000000000001</v>
      </c>
      <c r="V285" s="1" t="str">
        <f t="shared" si="40"/>
        <v>Standard Class</v>
      </c>
      <c r="W285" s="1" t="str">
        <f t="shared" si="41"/>
        <v>Consumer</v>
      </c>
      <c r="X285" s="1" t="str">
        <f t="shared" si="42"/>
        <v>Portland - Oregon</v>
      </c>
      <c r="Y285" s="1" t="str">
        <f t="shared" si="43"/>
        <v>Paper</v>
      </c>
      <c r="Z285" s="1">
        <f t="shared" si="44"/>
        <v>141.76</v>
      </c>
      <c r="AA285" s="1">
        <f t="shared" si="45"/>
        <v>141.76</v>
      </c>
      <c r="AB285" s="1">
        <f t="shared" si="46"/>
        <v>708.8</v>
      </c>
      <c r="AC285" s="4">
        <f t="shared" si="47"/>
        <v>567.04</v>
      </c>
      <c r="AD285" s="1" t="s">
        <v>2013</v>
      </c>
      <c r="AE285" s="1" t="str">
        <f t="shared" si="48"/>
        <v>2015</v>
      </c>
      <c r="AF285" s="1" t="str">
        <f t="shared" si="49"/>
        <v>130883</v>
      </c>
    </row>
    <row r="286" spans="1:32" x14ac:dyDescent="0.3">
      <c r="A286" s="1">
        <v>285</v>
      </c>
      <c r="B286" s="1" t="s">
        <v>1054</v>
      </c>
      <c r="C286" s="2">
        <v>42273</v>
      </c>
      <c r="D286" s="2">
        <v>42279</v>
      </c>
      <c r="E286" s="1" t="s">
        <v>48</v>
      </c>
      <c r="F286" s="1" t="s">
        <v>162</v>
      </c>
      <c r="G286" s="1" t="s">
        <v>163</v>
      </c>
      <c r="H286" s="1" t="s">
        <v>24</v>
      </c>
      <c r="I286" s="1" t="s">
        <v>25</v>
      </c>
      <c r="J286" s="1" t="s">
        <v>417</v>
      </c>
      <c r="K286" s="1" t="s">
        <v>418</v>
      </c>
      <c r="L286" s="1">
        <v>97206</v>
      </c>
      <c r="M286" s="1" t="s">
        <v>42</v>
      </c>
      <c r="N286" s="1" t="s">
        <v>1056</v>
      </c>
      <c r="O286" s="1" t="s">
        <v>69</v>
      </c>
      <c r="P286" s="1" t="s">
        <v>159</v>
      </c>
      <c r="Q286" s="1" t="s">
        <v>1057</v>
      </c>
      <c r="R286" s="1">
        <v>239.8</v>
      </c>
      <c r="S286" s="1">
        <v>5</v>
      </c>
      <c r="T286" s="3">
        <v>0.2</v>
      </c>
      <c r="U286" s="4">
        <v>47.96</v>
      </c>
      <c r="V286" s="1" t="str">
        <f t="shared" si="40"/>
        <v>Standard Class</v>
      </c>
      <c r="W286" s="1" t="str">
        <f t="shared" si="41"/>
        <v>Consumer</v>
      </c>
      <c r="X286" s="1" t="str">
        <f t="shared" si="42"/>
        <v>Portland - Oregon</v>
      </c>
      <c r="Y286" s="1" t="str">
        <f t="shared" si="43"/>
        <v>Accessories</v>
      </c>
      <c r="Z286" s="1">
        <f t="shared" si="44"/>
        <v>239.8</v>
      </c>
      <c r="AA286" s="1">
        <f t="shared" si="45"/>
        <v>239.8</v>
      </c>
      <c r="AB286" s="1">
        <f t="shared" si="46"/>
        <v>1199</v>
      </c>
      <c r="AC286" s="4">
        <f t="shared" si="47"/>
        <v>959.2</v>
      </c>
      <c r="AD286" s="1" t="s">
        <v>2013</v>
      </c>
      <c r="AE286" s="1" t="str">
        <f t="shared" si="48"/>
        <v>2015</v>
      </c>
      <c r="AF286" s="1" t="str">
        <f t="shared" si="49"/>
        <v>130883</v>
      </c>
    </row>
    <row r="287" spans="1:32" x14ac:dyDescent="0.3">
      <c r="A287" s="1">
        <v>286</v>
      </c>
      <c r="B287" s="1" t="s">
        <v>1054</v>
      </c>
      <c r="C287" s="2">
        <v>42273</v>
      </c>
      <c r="D287" s="2">
        <v>42279</v>
      </c>
      <c r="E287" s="1" t="s">
        <v>48</v>
      </c>
      <c r="F287" s="1" t="s">
        <v>162</v>
      </c>
      <c r="G287" s="1" t="s">
        <v>163</v>
      </c>
      <c r="H287" s="1" t="s">
        <v>24</v>
      </c>
      <c r="I287" s="1" t="s">
        <v>25</v>
      </c>
      <c r="J287" s="1" t="s">
        <v>417</v>
      </c>
      <c r="K287" s="1" t="s">
        <v>418</v>
      </c>
      <c r="L287" s="1">
        <v>97206</v>
      </c>
      <c r="M287" s="1" t="s">
        <v>42</v>
      </c>
      <c r="N287" s="1" t="s">
        <v>1058</v>
      </c>
      <c r="O287" s="1" t="s">
        <v>44</v>
      </c>
      <c r="P287" s="1" t="s">
        <v>88</v>
      </c>
      <c r="Q287" s="1" t="s">
        <v>1059</v>
      </c>
      <c r="R287" s="1">
        <v>31.103999999999999</v>
      </c>
      <c r="S287" s="1">
        <v>6</v>
      </c>
      <c r="T287" s="3">
        <v>0.2</v>
      </c>
      <c r="U287" s="4">
        <v>10.8864</v>
      </c>
      <c r="V287" s="1" t="str">
        <f t="shared" si="40"/>
        <v>Standard Class</v>
      </c>
      <c r="W287" s="1" t="str">
        <f t="shared" si="41"/>
        <v>Consumer</v>
      </c>
      <c r="X287" s="1" t="str">
        <f t="shared" si="42"/>
        <v>Portland - Oregon</v>
      </c>
      <c r="Y287" s="1" t="str">
        <f t="shared" si="43"/>
        <v>Paper</v>
      </c>
      <c r="Z287" s="1">
        <f t="shared" si="44"/>
        <v>31.103999999999999</v>
      </c>
      <c r="AA287" s="1">
        <f t="shared" si="45"/>
        <v>31.103999999999999</v>
      </c>
      <c r="AB287" s="1">
        <f t="shared" si="46"/>
        <v>186.624</v>
      </c>
      <c r="AC287" s="4">
        <f t="shared" si="47"/>
        <v>149.29920000000001</v>
      </c>
      <c r="AD287" s="1" t="s">
        <v>2013</v>
      </c>
      <c r="AE287" s="1" t="str">
        <f t="shared" si="48"/>
        <v>2015</v>
      </c>
      <c r="AF287" s="1" t="str">
        <f t="shared" si="49"/>
        <v>130883</v>
      </c>
    </row>
    <row r="288" spans="1:32" x14ac:dyDescent="0.3">
      <c r="A288" s="1">
        <v>287</v>
      </c>
      <c r="B288" s="1" t="s">
        <v>1060</v>
      </c>
      <c r="C288" s="2">
        <v>42722</v>
      </c>
      <c r="D288" s="2">
        <v>42724</v>
      </c>
      <c r="E288" s="1" t="s">
        <v>21</v>
      </c>
      <c r="F288" s="1" t="s">
        <v>1061</v>
      </c>
      <c r="G288" s="1" t="s">
        <v>1062</v>
      </c>
      <c r="H288" s="1" t="s">
        <v>39</v>
      </c>
      <c r="I288" s="1" t="s">
        <v>25</v>
      </c>
      <c r="J288" s="1" t="s">
        <v>1063</v>
      </c>
      <c r="K288" s="1" t="s">
        <v>52</v>
      </c>
      <c r="L288" s="1">
        <v>33319</v>
      </c>
      <c r="M288" s="1" t="s">
        <v>28</v>
      </c>
      <c r="N288" s="1" t="s">
        <v>1064</v>
      </c>
      <c r="O288" s="1" t="s">
        <v>44</v>
      </c>
      <c r="P288" s="1" t="s">
        <v>73</v>
      </c>
      <c r="Q288" s="1" t="s">
        <v>1065</v>
      </c>
      <c r="R288" s="1">
        <v>254.05799999999999</v>
      </c>
      <c r="S288" s="1">
        <v>7</v>
      </c>
      <c r="T288" s="3">
        <v>0.7</v>
      </c>
      <c r="U288" s="4">
        <v>-169.37200000000001</v>
      </c>
      <c r="V288" s="1" t="str">
        <f t="shared" si="40"/>
        <v>Second Class</v>
      </c>
      <c r="W288" s="1" t="str">
        <f t="shared" si="41"/>
        <v>Corporate</v>
      </c>
      <c r="X288" s="1" t="str">
        <f t="shared" si="42"/>
        <v>Tamarac - Florida</v>
      </c>
      <c r="Y288" s="1" t="str">
        <f t="shared" si="43"/>
        <v>Binders</v>
      </c>
      <c r="Z288" s="1">
        <f t="shared" si="44"/>
        <v>254.05799999999999</v>
      </c>
      <c r="AA288" s="1">
        <f t="shared" si="45"/>
        <v>254.05799999999999</v>
      </c>
      <c r="AB288" s="1">
        <f t="shared" si="46"/>
        <v>1778.4059999999999</v>
      </c>
      <c r="AC288" s="4">
        <f t="shared" si="47"/>
        <v>533.5218000000001</v>
      </c>
      <c r="AD288" s="1" t="s">
        <v>2013</v>
      </c>
      <c r="AE288" s="1" t="str">
        <f t="shared" si="48"/>
        <v>2016</v>
      </c>
      <c r="AF288" s="1" t="str">
        <f t="shared" si="49"/>
        <v>112697</v>
      </c>
    </row>
    <row r="289" spans="1:32" x14ac:dyDescent="0.3">
      <c r="A289" s="1">
        <v>288</v>
      </c>
      <c r="B289" s="1" t="s">
        <v>1060</v>
      </c>
      <c r="C289" s="2">
        <v>42722</v>
      </c>
      <c r="D289" s="2">
        <v>42724</v>
      </c>
      <c r="E289" s="1" t="s">
        <v>21</v>
      </c>
      <c r="F289" s="1" t="s">
        <v>1061</v>
      </c>
      <c r="G289" s="1" t="s">
        <v>1062</v>
      </c>
      <c r="H289" s="1" t="s">
        <v>39</v>
      </c>
      <c r="I289" s="1" t="s">
        <v>25</v>
      </c>
      <c r="J289" s="1" t="s">
        <v>1063</v>
      </c>
      <c r="K289" s="1" t="s">
        <v>52</v>
      </c>
      <c r="L289" s="1">
        <v>33319</v>
      </c>
      <c r="M289" s="1" t="s">
        <v>28</v>
      </c>
      <c r="N289" s="1" t="s">
        <v>713</v>
      </c>
      <c r="O289" s="1" t="s">
        <v>44</v>
      </c>
      <c r="P289" s="1" t="s">
        <v>76</v>
      </c>
      <c r="Q289" s="1" t="s">
        <v>714</v>
      </c>
      <c r="R289" s="1">
        <v>194.52799999999999</v>
      </c>
      <c r="S289" s="1">
        <v>2</v>
      </c>
      <c r="T289" s="3">
        <v>0.2</v>
      </c>
      <c r="U289" s="4">
        <v>24.315999999999999</v>
      </c>
      <c r="V289" s="1" t="str">
        <f t="shared" si="40"/>
        <v>Second Class</v>
      </c>
      <c r="W289" s="1" t="str">
        <f t="shared" si="41"/>
        <v>Corporate</v>
      </c>
      <c r="X289" s="1" t="str">
        <f t="shared" si="42"/>
        <v>Tamarac - Florida</v>
      </c>
      <c r="Y289" s="1" t="str">
        <f t="shared" si="43"/>
        <v>Appliances</v>
      </c>
      <c r="Z289" s="1">
        <f t="shared" si="44"/>
        <v>194.52799999999999</v>
      </c>
      <c r="AA289" s="1">
        <f t="shared" si="45"/>
        <v>194.52799999999999</v>
      </c>
      <c r="AB289" s="1">
        <f t="shared" si="46"/>
        <v>389.05599999999998</v>
      </c>
      <c r="AC289" s="4">
        <f t="shared" si="47"/>
        <v>311.2448</v>
      </c>
      <c r="AD289" s="1" t="s">
        <v>2013</v>
      </c>
      <c r="AE289" s="1" t="str">
        <f t="shared" si="48"/>
        <v>2016</v>
      </c>
      <c r="AF289" s="1" t="str">
        <f t="shared" si="49"/>
        <v>112697</v>
      </c>
    </row>
    <row r="290" spans="1:32" x14ac:dyDescent="0.3">
      <c r="A290" s="1">
        <v>289</v>
      </c>
      <c r="B290" s="1" t="s">
        <v>1060</v>
      </c>
      <c r="C290" s="2">
        <v>42722</v>
      </c>
      <c r="D290" s="2">
        <v>42724</v>
      </c>
      <c r="E290" s="1" t="s">
        <v>21</v>
      </c>
      <c r="F290" s="1" t="s">
        <v>1061</v>
      </c>
      <c r="G290" s="1" t="s">
        <v>1062</v>
      </c>
      <c r="H290" s="1" t="s">
        <v>39</v>
      </c>
      <c r="I290" s="1" t="s">
        <v>25</v>
      </c>
      <c r="J290" s="1" t="s">
        <v>1063</v>
      </c>
      <c r="K290" s="1" t="s">
        <v>52</v>
      </c>
      <c r="L290" s="1">
        <v>33319</v>
      </c>
      <c r="M290" s="1" t="s">
        <v>28</v>
      </c>
      <c r="N290" s="1" t="s">
        <v>1066</v>
      </c>
      <c r="O290" s="1" t="s">
        <v>44</v>
      </c>
      <c r="P290" s="1" t="s">
        <v>577</v>
      </c>
      <c r="Q290" s="1" t="s">
        <v>1067</v>
      </c>
      <c r="R290" s="1">
        <v>961.48</v>
      </c>
      <c r="S290" s="1">
        <v>5</v>
      </c>
      <c r="T290" s="3">
        <v>0.2</v>
      </c>
      <c r="U290" s="4">
        <v>-204.31450000000001</v>
      </c>
      <c r="V290" s="1" t="str">
        <f t="shared" si="40"/>
        <v>Second Class</v>
      </c>
      <c r="W290" s="1" t="str">
        <f t="shared" si="41"/>
        <v>Corporate</v>
      </c>
      <c r="X290" s="1" t="str">
        <f t="shared" si="42"/>
        <v>Tamarac - Florida</v>
      </c>
      <c r="Y290" s="1" t="str">
        <f t="shared" si="43"/>
        <v>Supplies</v>
      </c>
      <c r="Z290" s="1">
        <f t="shared" si="44"/>
        <v>961.48</v>
      </c>
      <c r="AA290" s="1">
        <f t="shared" si="45"/>
        <v>961.48</v>
      </c>
      <c r="AB290" s="1">
        <f t="shared" si="46"/>
        <v>4807.3999999999996</v>
      </c>
      <c r="AC290" s="4">
        <f t="shared" si="47"/>
        <v>3845.92</v>
      </c>
      <c r="AD290" s="1" t="s">
        <v>2013</v>
      </c>
      <c r="AE290" s="1" t="str">
        <f t="shared" si="48"/>
        <v>2016</v>
      </c>
      <c r="AF290" s="1" t="str">
        <f t="shared" si="49"/>
        <v>112697</v>
      </c>
    </row>
    <row r="291" spans="1:32" x14ac:dyDescent="0.3">
      <c r="A291" s="1">
        <v>290</v>
      </c>
      <c r="B291" s="1" t="s">
        <v>1068</v>
      </c>
      <c r="C291" s="2">
        <v>42694</v>
      </c>
      <c r="D291" s="2">
        <v>42698</v>
      </c>
      <c r="E291" s="1" t="s">
        <v>21</v>
      </c>
      <c r="F291" s="1" t="s">
        <v>1069</v>
      </c>
      <c r="G291" s="1" t="s">
        <v>1070</v>
      </c>
      <c r="H291" s="1" t="s">
        <v>100</v>
      </c>
      <c r="I291" s="1" t="s">
        <v>25</v>
      </c>
      <c r="J291" s="1" t="s">
        <v>495</v>
      </c>
      <c r="K291" s="1" t="s">
        <v>496</v>
      </c>
      <c r="L291" s="1">
        <v>43229</v>
      </c>
      <c r="M291" s="1" t="s">
        <v>146</v>
      </c>
      <c r="N291" s="1" t="s">
        <v>1071</v>
      </c>
      <c r="O291" s="1" t="s">
        <v>44</v>
      </c>
      <c r="P291" s="1" t="s">
        <v>267</v>
      </c>
      <c r="Q291" s="1" t="s">
        <v>1072</v>
      </c>
      <c r="R291" s="1">
        <v>19.096</v>
      </c>
      <c r="S291" s="1">
        <v>7</v>
      </c>
      <c r="T291" s="3">
        <v>0.2</v>
      </c>
      <c r="U291" s="4">
        <v>6.6836000000000002</v>
      </c>
      <c r="V291" s="1" t="str">
        <f t="shared" si="40"/>
        <v>Second Class</v>
      </c>
      <c r="W291" s="1" t="str">
        <f t="shared" si="41"/>
        <v>Home Office</v>
      </c>
      <c r="X291" s="1" t="str">
        <f t="shared" si="42"/>
        <v>Columbus - Ohio</v>
      </c>
      <c r="Y291" s="1" t="str">
        <f t="shared" si="43"/>
        <v>Fasteners</v>
      </c>
      <c r="Z291" s="1">
        <f t="shared" si="44"/>
        <v>19.096</v>
      </c>
      <c r="AA291" s="1">
        <f t="shared" si="45"/>
        <v>19.096</v>
      </c>
      <c r="AB291" s="1">
        <f t="shared" si="46"/>
        <v>133.672</v>
      </c>
      <c r="AC291" s="4">
        <f t="shared" si="47"/>
        <v>106.9376</v>
      </c>
      <c r="AD291" s="1" t="s">
        <v>2013</v>
      </c>
      <c r="AE291" s="1" t="str">
        <f t="shared" si="48"/>
        <v>2016</v>
      </c>
      <c r="AF291" s="1" t="str">
        <f t="shared" si="49"/>
        <v>110772</v>
      </c>
    </row>
    <row r="292" spans="1:32" x14ac:dyDescent="0.3">
      <c r="A292" s="1">
        <v>291</v>
      </c>
      <c r="B292" s="1" t="s">
        <v>1068</v>
      </c>
      <c r="C292" s="2">
        <v>42694</v>
      </c>
      <c r="D292" s="2">
        <v>42698</v>
      </c>
      <c r="E292" s="1" t="s">
        <v>21</v>
      </c>
      <c r="F292" s="1" t="s">
        <v>1069</v>
      </c>
      <c r="G292" s="1" t="s">
        <v>1070</v>
      </c>
      <c r="H292" s="1" t="s">
        <v>100</v>
      </c>
      <c r="I292" s="1" t="s">
        <v>25</v>
      </c>
      <c r="J292" s="1" t="s">
        <v>495</v>
      </c>
      <c r="K292" s="1" t="s">
        <v>496</v>
      </c>
      <c r="L292" s="1">
        <v>43229</v>
      </c>
      <c r="M292" s="1" t="s">
        <v>146</v>
      </c>
      <c r="N292" s="1" t="s">
        <v>1073</v>
      </c>
      <c r="O292" s="1" t="s">
        <v>44</v>
      </c>
      <c r="P292" s="1" t="s">
        <v>45</v>
      </c>
      <c r="Q292" s="1" t="s">
        <v>1074</v>
      </c>
      <c r="R292" s="1">
        <v>18.495999999999999</v>
      </c>
      <c r="S292" s="1">
        <v>8</v>
      </c>
      <c r="T292" s="3">
        <v>0.2</v>
      </c>
      <c r="U292" s="4">
        <v>6.2423999999999999</v>
      </c>
      <c r="V292" s="1" t="str">
        <f t="shared" si="40"/>
        <v>Second Class</v>
      </c>
      <c r="W292" s="1" t="str">
        <f t="shared" si="41"/>
        <v>Home Office</v>
      </c>
      <c r="X292" s="1" t="str">
        <f t="shared" si="42"/>
        <v>Columbus - Ohio</v>
      </c>
      <c r="Y292" s="1" t="str">
        <f t="shared" si="43"/>
        <v>Labels</v>
      </c>
      <c r="Z292" s="1">
        <f t="shared" si="44"/>
        <v>18.495999999999999</v>
      </c>
      <c r="AA292" s="1">
        <f t="shared" si="45"/>
        <v>18.495999999999999</v>
      </c>
      <c r="AB292" s="1">
        <f t="shared" si="46"/>
        <v>147.96799999999999</v>
      </c>
      <c r="AC292" s="4">
        <f t="shared" si="47"/>
        <v>118.37439999999999</v>
      </c>
      <c r="AD292" s="1" t="s">
        <v>2013</v>
      </c>
      <c r="AE292" s="1" t="str">
        <f t="shared" si="48"/>
        <v>2016</v>
      </c>
      <c r="AF292" s="1" t="str">
        <f t="shared" si="49"/>
        <v>110772</v>
      </c>
    </row>
    <row r="293" spans="1:32" x14ac:dyDescent="0.3">
      <c r="A293" s="1">
        <v>292</v>
      </c>
      <c r="B293" s="1" t="s">
        <v>1068</v>
      </c>
      <c r="C293" s="2">
        <v>42694</v>
      </c>
      <c r="D293" s="2">
        <v>42698</v>
      </c>
      <c r="E293" s="1" t="s">
        <v>21</v>
      </c>
      <c r="F293" s="1" t="s">
        <v>1069</v>
      </c>
      <c r="G293" s="1" t="s">
        <v>1070</v>
      </c>
      <c r="H293" s="1" t="s">
        <v>100</v>
      </c>
      <c r="I293" s="1" t="s">
        <v>25</v>
      </c>
      <c r="J293" s="1" t="s">
        <v>495</v>
      </c>
      <c r="K293" s="1" t="s">
        <v>496</v>
      </c>
      <c r="L293" s="1">
        <v>43229</v>
      </c>
      <c r="M293" s="1" t="s">
        <v>146</v>
      </c>
      <c r="N293" s="1" t="s">
        <v>1075</v>
      </c>
      <c r="O293" s="1" t="s">
        <v>69</v>
      </c>
      <c r="P293" s="1" t="s">
        <v>159</v>
      </c>
      <c r="Q293" s="1" t="s">
        <v>1076</v>
      </c>
      <c r="R293" s="1">
        <v>255.98400000000001</v>
      </c>
      <c r="S293" s="1">
        <v>2</v>
      </c>
      <c r="T293" s="3">
        <v>0.2</v>
      </c>
      <c r="U293" s="4">
        <v>54.396599999999999</v>
      </c>
      <c r="V293" s="1" t="str">
        <f t="shared" si="40"/>
        <v>Second Class</v>
      </c>
      <c r="W293" s="1" t="str">
        <f t="shared" si="41"/>
        <v>Home Office</v>
      </c>
      <c r="X293" s="1" t="str">
        <f t="shared" si="42"/>
        <v>Columbus - Ohio</v>
      </c>
      <c r="Y293" s="1" t="str">
        <f t="shared" si="43"/>
        <v>Accessories</v>
      </c>
      <c r="Z293" s="1">
        <f t="shared" si="44"/>
        <v>255.98400000000001</v>
      </c>
      <c r="AA293" s="1">
        <f t="shared" si="45"/>
        <v>255.98400000000001</v>
      </c>
      <c r="AB293" s="1">
        <f t="shared" si="46"/>
        <v>511.96800000000002</v>
      </c>
      <c r="AC293" s="4">
        <f t="shared" si="47"/>
        <v>409.57440000000003</v>
      </c>
      <c r="AD293" s="1" t="s">
        <v>2013</v>
      </c>
      <c r="AE293" s="1" t="str">
        <f t="shared" si="48"/>
        <v>2016</v>
      </c>
      <c r="AF293" s="1" t="str">
        <f t="shared" si="49"/>
        <v>110772</v>
      </c>
    </row>
    <row r="294" spans="1:32" x14ac:dyDescent="0.3">
      <c r="A294" s="1">
        <v>293</v>
      </c>
      <c r="B294" s="1" t="s">
        <v>1068</v>
      </c>
      <c r="C294" s="2">
        <v>42694</v>
      </c>
      <c r="D294" s="2">
        <v>42698</v>
      </c>
      <c r="E294" s="1" t="s">
        <v>21</v>
      </c>
      <c r="F294" s="1" t="s">
        <v>1069</v>
      </c>
      <c r="G294" s="1" t="s">
        <v>1070</v>
      </c>
      <c r="H294" s="1" t="s">
        <v>100</v>
      </c>
      <c r="I294" s="1" t="s">
        <v>25</v>
      </c>
      <c r="J294" s="1" t="s">
        <v>495</v>
      </c>
      <c r="K294" s="1" t="s">
        <v>496</v>
      </c>
      <c r="L294" s="1">
        <v>43229</v>
      </c>
      <c r="M294" s="1" t="s">
        <v>146</v>
      </c>
      <c r="N294" s="1" t="s">
        <v>1077</v>
      </c>
      <c r="O294" s="1" t="s">
        <v>30</v>
      </c>
      <c r="P294" s="1" t="s">
        <v>31</v>
      </c>
      <c r="Q294" s="1" t="s">
        <v>1078</v>
      </c>
      <c r="R294" s="1">
        <v>86.97</v>
      </c>
      <c r="S294" s="1">
        <v>3</v>
      </c>
      <c r="T294" s="3">
        <v>0.5</v>
      </c>
      <c r="U294" s="4">
        <v>-48.703200000000002</v>
      </c>
      <c r="V294" s="1" t="str">
        <f t="shared" si="40"/>
        <v>Second Class</v>
      </c>
      <c r="W294" s="1" t="str">
        <f t="shared" si="41"/>
        <v>Home Office</v>
      </c>
      <c r="X294" s="1" t="str">
        <f t="shared" si="42"/>
        <v>Columbus - Ohio</v>
      </c>
      <c r="Y294" s="1" t="str">
        <f t="shared" si="43"/>
        <v>Bookcases</v>
      </c>
      <c r="Z294" s="1">
        <f t="shared" si="44"/>
        <v>86.97</v>
      </c>
      <c r="AA294" s="1">
        <f t="shared" si="45"/>
        <v>86.97</v>
      </c>
      <c r="AB294" s="1">
        <f t="shared" si="46"/>
        <v>260.90999999999997</v>
      </c>
      <c r="AC294" s="4">
        <f t="shared" si="47"/>
        <v>130.45499999999998</v>
      </c>
      <c r="AD294" s="1" t="s">
        <v>2013</v>
      </c>
      <c r="AE294" s="1" t="str">
        <f t="shared" si="48"/>
        <v>2016</v>
      </c>
      <c r="AF294" s="1" t="str">
        <f t="shared" si="49"/>
        <v>110772</v>
      </c>
    </row>
    <row r="295" spans="1:32" x14ac:dyDescent="0.3">
      <c r="A295" s="1">
        <v>294</v>
      </c>
      <c r="B295" s="1" t="s">
        <v>1079</v>
      </c>
      <c r="C295" s="2">
        <v>41999</v>
      </c>
      <c r="D295" s="2">
        <v>42001</v>
      </c>
      <c r="E295" s="1" t="s">
        <v>186</v>
      </c>
      <c r="F295" s="1" t="s">
        <v>1080</v>
      </c>
      <c r="G295" s="1" t="s">
        <v>1081</v>
      </c>
      <c r="H295" s="1" t="s">
        <v>39</v>
      </c>
      <c r="I295" s="1" t="s">
        <v>25</v>
      </c>
      <c r="J295" s="1" t="s">
        <v>1082</v>
      </c>
      <c r="K295" s="1" t="s">
        <v>455</v>
      </c>
      <c r="L295" s="1">
        <v>80906</v>
      </c>
      <c r="M295" s="1" t="s">
        <v>42</v>
      </c>
      <c r="N295" s="1" t="s">
        <v>1083</v>
      </c>
      <c r="O295" s="1" t="s">
        <v>30</v>
      </c>
      <c r="P295" s="1" t="s">
        <v>63</v>
      </c>
      <c r="Q295" s="1" t="s">
        <v>1084</v>
      </c>
      <c r="R295" s="1">
        <v>300.416</v>
      </c>
      <c r="S295" s="1">
        <v>8</v>
      </c>
      <c r="T295" s="3">
        <v>0.2</v>
      </c>
      <c r="U295" s="4">
        <v>78.859200000000001</v>
      </c>
      <c r="V295" s="1" t="str">
        <f t="shared" si="40"/>
        <v>First Class</v>
      </c>
      <c r="W295" s="1" t="str">
        <f t="shared" si="41"/>
        <v>Corporate</v>
      </c>
      <c r="X295" s="1" t="str">
        <f t="shared" si="42"/>
        <v>Colorado Springs - Colorado</v>
      </c>
      <c r="Y295" s="1" t="str">
        <f t="shared" si="43"/>
        <v>Furnishings</v>
      </c>
      <c r="Z295" s="1">
        <f t="shared" si="44"/>
        <v>300.416</v>
      </c>
      <c r="AA295" s="1">
        <f t="shared" si="45"/>
        <v>300.416</v>
      </c>
      <c r="AB295" s="1">
        <f t="shared" si="46"/>
        <v>2403.328</v>
      </c>
      <c r="AC295" s="4">
        <f t="shared" si="47"/>
        <v>1922.6624000000002</v>
      </c>
      <c r="AD295" s="1" t="s">
        <v>2013</v>
      </c>
      <c r="AE295" s="1" t="str">
        <f t="shared" si="48"/>
        <v>2014</v>
      </c>
      <c r="AF295" s="1" t="str">
        <f t="shared" si="49"/>
        <v>111451</v>
      </c>
    </row>
    <row r="296" spans="1:32" x14ac:dyDescent="0.3">
      <c r="A296" s="1">
        <v>295</v>
      </c>
      <c r="B296" s="1" t="s">
        <v>1079</v>
      </c>
      <c r="C296" s="2">
        <v>41999</v>
      </c>
      <c r="D296" s="2">
        <v>42001</v>
      </c>
      <c r="E296" s="1" t="s">
        <v>186</v>
      </c>
      <c r="F296" s="1" t="s">
        <v>1080</v>
      </c>
      <c r="G296" s="1" t="s">
        <v>1081</v>
      </c>
      <c r="H296" s="1" t="s">
        <v>39</v>
      </c>
      <c r="I296" s="1" t="s">
        <v>25</v>
      </c>
      <c r="J296" s="1" t="s">
        <v>1082</v>
      </c>
      <c r="K296" s="1" t="s">
        <v>455</v>
      </c>
      <c r="L296" s="1">
        <v>80906</v>
      </c>
      <c r="M296" s="1" t="s">
        <v>42</v>
      </c>
      <c r="N296" s="1" t="s">
        <v>1085</v>
      </c>
      <c r="O296" s="1" t="s">
        <v>30</v>
      </c>
      <c r="P296" s="1" t="s">
        <v>34</v>
      </c>
      <c r="Q296" s="1" t="s">
        <v>1086</v>
      </c>
      <c r="R296" s="1">
        <v>230.352</v>
      </c>
      <c r="S296" s="1">
        <v>3</v>
      </c>
      <c r="T296" s="3">
        <v>0.2</v>
      </c>
      <c r="U296" s="4">
        <v>20.155799999999999</v>
      </c>
      <c r="V296" s="1" t="str">
        <f t="shared" si="40"/>
        <v>First Class</v>
      </c>
      <c r="W296" s="1" t="str">
        <f t="shared" si="41"/>
        <v>Corporate</v>
      </c>
      <c r="X296" s="1" t="str">
        <f t="shared" si="42"/>
        <v>Colorado Springs - Colorado</v>
      </c>
      <c r="Y296" s="1" t="str">
        <f t="shared" si="43"/>
        <v>Chairs</v>
      </c>
      <c r="Z296" s="1">
        <f t="shared" si="44"/>
        <v>230.352</v>
      </c>
      <c r="AA296" s="1">
        <f t="shared" si="45"/>
        <v>230.352</v>
      </c>
      <c r="AB296" s="1">
        <f t="shared" si="46"/>
        <v>691.05600000000004</v>
      </c>
      <c r="AC296" s="4">
        <f t="shared" si="47"/>
        <v>552.84480000000008</v>
      </c>
      <c r="AD296" s="1" t="s">
        <v>2013</v>
      </c>
      <c r="AE296" s="1" t="str">
        <f t="shared" si="48"/>
        <v>2014</v>
      </c>
      <c r="AF296" s="1" t="str">
        <f t="shared" si="49"/>
        <v>111451</v>
      </c>
    </row>
    <row r="297" spans="1:32" x14ac:dyDescent="0.3">
      <c r="A297" s="1">
        <v>296</v>
      </c>
      <c r="B297" s="1" t="s">
        <v>1079</v>
      </c>
      <c r="C297" s="2">
        <v>41999</v>
      </c>
      <c r="D297" s="2">
        <v>42001</v>
      </c>
      <c r="E297" s="1"/>
      <c r="F297" s="1" t="s">
        <v>1080</v>
      </c>
      <c r="G297" s="1" t="s">
        <v>1081</v>
      </c>
      <c r="H297" s="1" t="s">
        <v>39</v>
      </c>
      <c r="I297" s="1" t="s">
        <v>25</v>
      </c>
      <c r="J297" s="1" t="s">
        <v>1082</v>
      </c>
      <c r="K297" s="1" t="s">
        <v>455</v>
      </c>
      <c r="L297" s="1">
        <v>80906</v>
      </c>
      <c r="M297" s="1" t="s">
        <v>42</v>
      </c>
      <c r="N297" s="1" t="s">
        <v>1087</v>
      </c>
      <c r="O297" s="1" t="s">
        <v>30</v>
      </c>
      <c r="P297" s="1" t="s">
        <v>63</v>
      </c>
      <c r="Q297" s="1" t="s">
        <v>1088</v>
      </c>
      <c r="R297" s="1">
        <v>218.352</v>
      </c>
      <c r="S297" s="1">
        <v>3</v>
      </c>
      <c r="T297" s="3">
        <v>0.2</v>
      </c>
      <c r="U297" s="4">
        <v>-24.564599999999999</v>
      </c>
      <c r="V297" s="1" t="str">
        <f t="shared" si="40"/>
        <v>UNKNOWN</v>
      </c>
      <c r="W297" s="1" t="str">
        <f t="shared" si="41"/>
        <v>Corporate</v>
      </c>
      <c r="X297" s="1" t="str">
        <f t="shared" si="42"/>
        <v>Colorado Springs - Colorado</v>
      </c>
      <c r="Y297" s="1" t="str">
        <f t="shared" si="43"/>
        <v>Furnishings</v>
      </c>
      <c r="Z297" s="1">
        <f t="shared" si="44"/>
        <v>218.352</v>
      </c>
      <c r="AA297" s="1">
        <f t="shared" si="45"/>
        <v>218.352</v>
      </c>
      <c r="AB297" s="1">
        <f t="shared" si="46"/>
        <v>655.05600000000004</v>
      </c>
      <c r="AC297" s="4">
        <f t="shared" si="47"/>
        <v>524.04480000000001</v>
      </c>
      <c r="AD297" s="1" t="s">
        <v>2013</v>
      </c>
      <c r="AE297" s="1" t="str">
        <f t="shared" si="48"/>
        <v>2014</v>
      </c>
      <c r="AF297" s="1" t="str">
        <f t="shared" si="49"/>
        <v>111451</v>
      </c>
    </row>
    <row r="298" spans="1:32" x14ac:dyDescent="0.3">
      <c r="A298" s="1">
        <v>297</v>
      </c>
      <c r="B298" s="1" t="s">
        <v>1079</v>
      </c>
      <c r="C298" s="2">
        <v>41999</v>
      </c>
      <c r="D298" s="2">
        <v>42001</v>
      </c>
      <c r="E298" s="1" t="s">
        <v>186</v>
      </c>
      <c r="F298" s="1" t="s">
        <v>1080</v>
      </c>
      <c r="G298" s="1" t="s">
        <v>1081</v>
      </c>
      <c r="H298" s="1" t="s">
        <v>39</v>
      </c>
      <c r="I298" s="1" t="s">
        <v>25</v>
      </c>
      <c r="J298" s="1" t="s">
        <v>1082</v>
      </c>
      <c r="K298" s="1" t="s">
        <v>455</v>
      </c>
      <c r="L298" s="1">
        <v>80906</v>
      </c>
      <c r="M298" s="1" t="s">
        <v>42</v>
      </c>
      <c r="N298" s="1" t="s">
        <v>1089</v>
      </c>
      <c r="O298" s="1" t="s">
        <v>44</v>
      </c>
      <c r="P298" s="1" t="s">
        <v>73</v>
      </c>
      <c r="Q298" s="1" t="s">
        <v>1090</v>
      </c>
      <c r="R298" s="1">
        <v>78.599999999999994</v>
      </c>
      <c r="S298" s="1">
        <v>5</v>
      </c>
      <c r="T298" s="3">
        <v>0.7</v>
      </c>
      <c r="U298" s="4">
        <v>-62.88</v>
      </c>
      <c r="V298" s="1" t="str">
        <f t="shared" si="40"/>
        <v>First Class</v>
      </c>
      <c r="W298" s="1" t="str">
        <f t="shared" si="41"/>
        <v>Corporate</v>
      </c>
      <c r="X298" s="1" t="str">
        <f t="shared" si="42"/>
        <v>Colorado Springs - Colorado</v>
      </c>
      <c r="Y298" s="1" t="str">
        <f t="shared" si="43"/>
        <v>Binders</v>
      </c>
      <c r="Z298" s="1">
        <f t="shared" si="44"/>
        <v>78.599999999999994</v>
      </c>
      <c r="AA298" s="1">
        <f t="shared" si="45"/>
        <v>78.599999999999994</v>
      </c>
      <c r="AB298" s="1">
        <f t="shared" si="46"/>
        <v>393</v>
      </c>
      <c r="AC298" s="4">
        <f t="shared" si="47"/>
        <v>117.90000000000002</v>
      </c>
      <c r="AD298" s="1" t="s">
        <v>2013</v>
      </c>
      <c r="AE298" s="1" t="str">
        <f t="shared" si="48"/>
        <v>2014</v>
      </c>
      <c r="AF298" s="1" t="str">
        <f t="shared" si="49"/>
        <v>111451</v>
      </c>
    </row>
    <row r="299" spans="1:32" x14ac:dyDescent="0.3">
      <c r="A299" s="1">
        <v>298</v>
      </c>
      <c r="B299" s="1" t="s">
        <v>1079</v>
      </c>
      <c r="C299" s="2">
        <v>41999</v>
      </c>
      <c r="D299" s="2">
        <v>42001</v>
      </c>
      <c r="E299" s="1" t="s">
        <v>186</v>
      </c>
      <c r="F299" s="1" t="s">
        <v>1080</v>
      </c>
      <c r="G299" s="1" t="s">
        <v>1081</v>
      </c>
      <c r="H299" s="1" t="s">
        <v>39</v>
      </c>
      <c r="I299" s="1" t="s">
        <v>25</v>
      </c>
      <c r="J299" s="1" t="s">
        <v>1082</v>
      </c>
      <c r="K299" s="1" t="s">
        <v>455</v>
      </c>
      <c r="L299" s="1">
        <v>80906</v>
      </c>
      <c r="M299" s="1" t="s">
        <v>42</v>
      </c>
      <c r="N299" s="1" t="s">
        <v>1091</v>
      </c>
      <c r="O299" s="1" t="s">
        <v>44</v>
      </c>
      <c r="P299" s="1" t="s">
        <v>267</v>
      </c>
      <c r="Q299" s="1" t="s">
        <v>1092</v>
      </c>
      <c r="R299" s="1">
        <v>27.552</v>
      </c>
      <c r="S299" s="1">
        <v>3</v>
      </c>
      <c r="T299" s="3">
        <v>0.2</v>
      </c>
      <c r="U299" s="4">
        <v>9.2988</v>
      </c>
      <c r="V299" s="1" t="str">
        <f t="shared" si="40"/>
        <v>First Class</v>
      </c>
      <c r="W299" s="1" t="str">
        <f t="shared" si="41"/>
        <v>Corporate</v>
      </c>
      <c r="X299" s="1" t="str">
        <f t="shared" si="42"/>
        <v>Colorado Springs - Colorado</v>
      </c>
      <c r="Y299" s="1" t="str">
        <f t="shared" si="43"/>
        <v>Fasteners</v>
      </c>
      <c r="Z299" s="1">
        <f t="shared" si="44"/>
        <v>27.552</v>
      </c>
      <c r="AA299" s="1">
        <f t="shared" si="45"/>
        <v>27.552</v>
      </c>
      <c r="AB299" s="1">
        <f t="shared" si="46"/>
        <v>82.656000000000006</v>
      </c>
      <c r="AC299" s="4">
        <f t="shared" si="47"/>
        <v>66.124800000000008</v>
      </c>
      <c r="AD299" s="1" t="s">
        <v>2013</v>
      </c>
      <c r="AE299" s="1" t="str">
        <f t="shared" si="48"/>
        <v>2014</v>
      </c>
      <c r="AF299" s="1" t="str">
        <f t="shared" si="49"/>
        <v>111451</v>
      </c>
    </row>
    <row r="300" spans="1:32" x14ac:dyDescent="0.3">
      <c r="A300" s="1">
        <v>299</v>
      </c>
      <c r="B300" s="1" t="s">
        <v>1093</v>
      </c>
      <c r="C300" s="2">
        <v>42671</v>
      </c>
      <c r="D300" s="2">
        <v>42677</v>
      </c>
      <c r="E300" s="1" t="s">
        <v>48</v>
      </c>
      <c r="F300" s="1" t="s">
        <v>580</v>
      </c>
      <c r="G300" s="1" t="s">
        <v>581</v>
      </c>
      <c r="H300" s="1" t="s">
        <v>39</v>
      </c>
      <c r="I300" s="1" t="s">
        <v>25</v>
      </c>
      <c r="J300" s="1" t="s">
        <v>1094</v>
      </c>
      <c r="K300" s="1" t="s">
        <v>788</v>
      </c>
      <c r="L300" s="1">
        <v>7109</v>
      </c>
      <c r="M300" s="1" t="s">
        <v>146</v>
      </c>
      <c r="N300" s="1" t="s">
        <v>1095</v>
      </c>
      <c r="O300" s="1" t="s">
        <v>44</v>
      </c>
      <c r="P300" s="1" t="s">
        <v>88</v>
      </c>
      <c r="Q300" s="1" t="s">
        <v>1096</v>
      </c>
      <c r="R300" s="1">
        <v>32.4</v>
      </c>
      <c r="S300" s="1">
        <v>5</v>
      </c>
      <c r="T300" s="3">
        <v>0</v>
      </c>
      <c r="U300" s="4">
        <v>15.552</v>
      </c>
      <c r="V300" s="1" t="str">
        <f t="shared" si="40"/>
        <v>Standard Class</v>
      </c>
      <c r="W300" s="1" t="str">
        <f t="shared" si="41"/>
        <v>Corporate</v>
      </c>
      <c r="X300" s="1" t="str">
        <f t="shared" si="42"/>
        <v>Belleville - New Jersey</v>
      </c>
      <c r="Y300" s="1" t="str">
        <f t="shared" si="43"/>
        <v>Paper</v>
      </c>
      <c r="Z300" s="1">
        <f t="shared" si="44"/>
        <v>32.4</v>
      </c>
      <c r="AA300" s="1">
        <f t="shared" si="45"/>
        <v>32.4</v>
      </c>
      <c r="AB300" s="1">
        <f t="shared" si="46"/>
        <v>162</v>
      </c>
      <c r="AC300" s="4">
        <f t="shared" si="47"/>
        <v>162</v>
      </c>
      <c r="AD300" s="1" t="s">
        <v>2013</v>
      </c>
      <c r="AE300" s="1" t="str">
        <f t="shared" si="48"/>
        <v>2016</v>
      </c>
      <c r="AF300" s="1" t="str">
        <f t="shared" si="49"/>
        <v>142545</v>
      </c>
    </row>
    <row r="301" spans="1:32" x14ac:dyDescent="0.3">
      <c r="A301" s="1">
        <v>300</v>
      </c>
      <c r="B301" s="1" t="s">
        <v>1093</v>
      </c>
      <c r="C301" s="2">
        <v>42671</v>
      </c>
      <c r="D301" s="2">
        <v>42677</v>
      </c>
      <c r="E301" s="1" t="s">
        <v>48</v>
      </c>
      <c r="F301" s="1" t="s">
        <v>580</v>
      </c>
      <c r="G301" s="1" t="s">
        <v>581</v>
      </c>
      <c r="H301" s="1" t="s">
        <v>39</v>
      </c>
      <c r="I301" s="1" t="s">
        <v>25</v>
      </c>
      <c r="J301" s="1" t="s">
        <v>1094</v>
      </c>
      <c r="K301" s="1" t="s">
        <v>788</v>
      </c>
      <c r="L301" s="1">
        <v>7109</v>
      </c>
      <c r="M301" s="1" t="s">
        <v>146</v>
      </c>
      <c r="N301" s="1" t="s">
        <v>1097</v>
      </c>
      <c r="O301" s="1" t="s">
        <v>44</v>
      </c>
      <c r="P301" s="1" t="s">
        <v>57</v>
      </c>
      <c r="Q301" s="1" t="s">
        <v>1098</v>
      </c>
      <c r="R301" s="1">
        <v>1082.48</v>
      </c>
      <c r="S301" s="1">
        <v>8</v>
      </c>
      <c r="T301" s="3">
        <v>0</v>
      </c>
      <c r="U301" s="4">
        <v>10.8248</v>
      </c>
      <c r="V301" s="1" t="str">
        <f t="shared" si="40"/>
        <v>Standard Class</v>
      </c>
      <c r="W301" s="1" t="str">
        <f t="shared" si="41"/>
        <v>Corporate</v>
      </c>
      <c r="X301" s="1" t="str">
        <f t="shared" si="42"/>
        <v>Belleville - New Jersey</v>
      </c>
      <c r="Y301" s="1" t="str">
        <f t="shared" si="43"/>
        <v>Storage</v>
      </c>
      <c r="Z301" s="1">
        <f t="shared" si="44"/>
        <v>1082.48</v>
      </c>
      <c r="AA301" s="1">
        <f t="shared" si="45"/>
        <v>1082.48</v>
      </c>
      <c r="AB301" s="1">
        <f t="shared" si="46"/>
        <v>8659.84</v>
      </c>
      <c r="AC301" s="4">
        <f t="shared" si="47"/>
        <v>8659.84</v>
      </c>
      <c r="AD301" s="1" t="s">
        <v>2013</v>
      </c>
      <c r="AE301" s="1" t="str">
        <f t="shared" si="48"/>
        <v>2016</v>
      </c>
      <c r="AF301" s="1" t="str">
        <f t="shared" si="49"/>
        <v>142545</v>
      </c>
    </row>
    <row r="302" spans="1:32" x14ac:dyDescent="0.3">
      <c r="A302" s="1">
        <v>301</v>
      </c>
      <c r="B302" s="1" t="s">
        <v>1093</v>
      </c>
      <c r="C302" s="2">
        <v>42671</v>
      </c>
      <c r="D302" s="2">
        <v>42677</v>
      </c>
      <c r="E302" s="1" t="s">
        <v>48</v>
      </c>
      <c r="F302" s="1" t="s">
        <v>580</v>
      </c>
      <c r="G302" s="1" t="s">
        <v>581</v>
      </c>
      <c r="H302" s="1" t="s">
        <v>39</v>
      </c>
      <c r="I302" s="1" t="s">
        <v>25</v>
      </c>
      <c r="J302" s="1" t="s">
        <v>1094</v>
      </c>
      <c r="K302" s="1" t="s">
        <v>788</v>
      </c>
      <c r="L302" s="1">
        <v>7109</v>
      </c>
      <c r="M302" s="1" t="s">
        <v>146</v>
      </c>
      <c r="N302" s="1" t="s">
        <v>1099</v>
      </c>
      <c r="O302" s="1" t="s">
        <v>44</v>
      </c>
      <c r="P302" s="1" t="s">
        <v>88</v>
      </c>
      <c r="Q302" s="1" t="s">
        <v>1100</v>
      </c>
      <c r="R302" s="1">
        <v>56.91</v>
      </c>
      <c r="S302" s="1">
        <v>3</v>
      </c>
      <c r="T302" s="3">
        <v>0</v>
      </c>
      <c r="U302" s="4">
        <v>27.316800000000001</v>
      </c>
      <c r="V302" s="1" t="str">
        <f t="shared" si="40"/>
        <v>Standard Class</v>
      </c>
      <c r="W302" s="1" t="str">
        <f t="shared" si="41"/>
        <v>Corporate</v>
      </c>
      <c r="X302" s="1" t="str">
        <f t="shared" si="42"/>
        <v>Belleville - New Jersey</v>
      </c>
      <c r="Y302" s="1" t="str">
        <f t="shared" si="43"/>
        <v>Paper</v>
      </c>
      <c r="Z302" s="1">
        <f t="shared" si="44"/>
        <v>56.91</v>
      </c>
      <c r="AA302" s="1">
        <f t="shared" si="45"/>
        <v>56.91</v>
      </c>
      <c r="AB302" s="1">
        <f t="shared" si="46"/>
        <v>170.73</v>
      </c>
      <c r="AC302" s="4">
        <f t="shared" si="47"/>
        <v>170.73</v>
      </c>
      <c r="AD302" s="1" t="s">
        <v>2013</v>
      </c>
      <c r="AE302" s="1" t="str">
        <f t="shared" si="48"/>
        <v>2016</v>
      </c>
      <c r="AF302" s="1" t="str">
        <f t="shared" si="49"/>
        <v>142545</v>
      </c>
    </row>
    <row r="303" spans="1:32" x14ac:dyDescent="0.3">
      <c r="A303" s="1">
        <v>302</v>
      </c>
      <c r="B303" s="1" t="s">
        <v>1093</v>
      </c>
      <c r="C303" s="2">
        <v>42671</v>
      </c>
      <c r="D303" s="2">
        <v>42677</v>
      </c>
      <c r="E303" s="1" t="s">
        <v>48</v>
      </c>
      <c r="F303" s="1" t="s">
        <v>580</v>
      </c>
      <c r="G303" s="1" t="s">
        <v>581</v>
      </c>
      <c r="H303" s="1" t="s">
        <v>39</v>
      </c>
      <c r="I303" s="1" t="s">
        <v>25</v>
      </c>
      <c r="J303" s="1" t="s">
        <v>1094</v>
      </c>
      <c r="K303" s="1" t="s">
        <v>788</v>
      </c>
      <c r="L303" s="1">
        <v>7109</v>
      </c>
      <c r="M303" s="1" t="s">
        <v>146</v>
      </c>
      <c r="N303" s="1" t="s">
        <v>1101</v>
      </c>
      <c r="O303" s="1" t="s">
        <v>30</v>
      </c>
      <c r="P303" s="1" t="s">
        <v>63</v>
      </c>
      <c r="Q303" s="1" t="s">
        <v>1102</v>
      </c>
      <c r="R303" s="1">
        <v>77.599999999999994</v>
      </c>
      <c r="S303" s="1">
        <v>4</v>
      </c>
      <c r="T303" s="3">
        <v>0</v>
      </c>
      <c r="U303" s="4">
        <v>38.024000000000001</v>
      </c>
      <c r="V303" s="1" t="str">
        <f t="shared" si="40"/>
        <v>Standard Class</v>
      </c>
      <c r="W303" s="1" t="str">
        <f t="shared" si="41"/>
        <v>Corporate</v>
      </c>
      <c r="X303" s="1" t="str">
        <f t="shared" si="42"/>
        <v>Belleville - New Jersey</v>
      </c>
      <c r="Y303" s="1" t="str">
        <f t="shared" si="43"/>
        <v>Furnishings</v>
      </c>
      <c r="Z303" s="1">
        <f t="shared" si="44"/>
        <v>77.599999999999994</v>
      </c>
      <c r="AA303" s="1">
        <f t="shared" si="45"/>
        <v>77.599999999999994</v>
      </c>
      <c r="AB303" s="1">
        <f t="shared" si="46"/>
        <v>310.39999999999998</v>
      </c>
      <c r="AC303" s="4">
        <f t="shared" si="47"/>
        <v>310.39999999999998</v>
      </c>
      <c r="AD303" s="1" t="s">
        <v>2013</v>
      </c>
      <c r="AE303" s="1" t="str">
        <f t="shared" si="48"/>
        <v>2016</v>
      </c>
      <c r="AF303" s="1" t="str">
        <f t="shared" si="49"/>
        <v>142545</v>
      </c>
    </row>
    <row r="304" spans="1:32" x14ac:dyDescent="0.3">
      <c r="A304" s="1">
        <v>303</v>
      </c>
      <c r="B304" s="1" t="s">
        <v>1093</v>
      </c>
      <c r="C304" s="2">
        <v>42671</v>
      </c>
      <c r="D304" s="2">
        <v>42677</v>
      </c>
      <c r="E304" s="1" t="s">
        <v>48</v>
      </c>
      <c r="F304" s="1" t="s">
        <v>580</v>
      </c>
      <c r="G304" s="1" t="s">
        <v>581</v>
      </c>
      <c r="H304" s="1" t="s">
        <v>39</v>
      </c>
      <c r="I304" s="1" t="s">
        <v>25</v>
      </c>
      <c r="J304" s="1" t="s">
        <v>1094</v>
      </c>
      <c r="K304" s="1" t="s">
        <v>788</v>
      </c>
      <c r="L304" s="1">
        <v>7109</v>
      </c>
      <c r="M304" s="1" t="s">
        <v>146</v>
      </c>
      <c r="N304" s="1" t="s">
        <v>1103</v>
      </c>
      <c r="O304" s="1" t="s">
        <v>44</v>
      </c>
      <c r="P304" s="1" t="s">
        <v>73</v>
      </c>
      <c r="Q304" s="1" t="s">
        <v>1104</v>
      </c>
      <c r="R304" s="1">
        <v>14.28</v>
      </c>
      <c r="S304" s="1">
        <v>1</v>
      </c>
      <c r="T304" s="3">
        <v>0</v>
      </c>
      <c r="U304" s="4">
        <v>6.5688000000000004</v>
      </c>
      <c r="V304" s="1" t="str">
        <f t="shared" si="40"/>
        <v>Standard Class</v>
      </c>
      <c r="W304" s="1" t="str">
        <f t="shared" si="41"/>
        <v>Corporate</v>
      </c>
      <c r="X304" s="1" t="str">
        <f t="shared" si="42"/>
        <v>Belleville - New Jersey</v>
      </c>
      <c r="Y304" s="1" t="str">
        <f t="shared" si="43"/>
        <v>Binders</v>
      </c>
      <c r="Z304" s="1">
        <f t="shared" si="44"/>
        <v>14.28</v>
      </c>
      <c r="AA304" s="1">
        <f t="shared" si="45"/>
        <v>14.28</v>
      </c>
      <c r="AB304" s="1">
        <f t="shared" si="46"/>
        <v>14.28</v>
      </c>
      <c r="AC304" s="4">
        <f t="shared" si="47"/>
        <v>14.28</v>
      </c>
      <c r="AD304" s="1" t="s">
        <v>2013</v>
      </c>
      <c r="AE304" s="1" t="str">
        <f t="shared" si="48"/>
        <v>2016</v>
      </c>
      <c r="AF304" s="1" t="str">
        <f t="shared" si="49"/>
        <v>142545</v>
      </c>
    </row>
    <row r="305" spans="1:32" x14ac:dyDescent="0.3">
      <c r="A305" s="1">
        <v>304</v>
      </c>
      <c r="B305" s="1" t="s">
        <v>1105</v>
      </c>
      <c r="C305" s="2">
        <v>43058</v>
      </c>
      <c r="D305" s="2">
        <v>43062</v>
      </c>
      <c r="E305" s="1" t="s">
        <v>48</v>
      </c>
      <c r="F305" s="1" t="s">
        <v>859</v>
      </c>
      <c r="G305" s="1" t="s">
        <v>860</v>
      </c>
      <c r="H305" s="1" t="s">
        <v>24</v>
      </c>
      <c r="I305" s="1" t="s">
        <v>25</v>
      </c>
      <c r="J305" s="1" t="s">
        <v>301</v>
      </c>
      <c r="K305" s="1" t="s">
        <v>209</v>
      </c>
      <c r="L305" s="1">
        <v>60623</v>
      </c>
      <c r="M305" s="1" t="s">
        <v>103</v>
      </c>
      <c r="N305" s="1" t="s">
        <v>1106</v>
      </c>
      <c r="O305" s="1" t="s">
        <v>30</v>
      </c>
      <c r="P305" s="1" t="s">
        <v>54</v>
      </c>
      <c r="Q305" s="1" t="s">
        <v>1107</v>
      </c>
      <c r="R305" s="1">
        <v>219.07499999999999</v>
      </c>
      <c r="S305" s="1">
        <v>3</v>
      </c>
      <c r="T305" s="3">
        <v>0.5</v>
      </c>
      <c r="U305" s="4">
        <v>-131.44499999999999</v>
      </c>
      <c r="V305" s="1" t="str">
        <f t="shared" si="40"/>
        <v>Standard Class</v>
      </c>
      <c r="W305" s="1" t="str">
        <f t="shared" si="41"/>
        <v>Consumer</v>
      </c>
      <c r="X305" s="1" t="str">
        <f t="shared" si="42"/>
        <v>Chicago - Illinois</v>
      </c>
      <c r="Y305" s="1" t="str">
        <f t="shared" si="43"/>
        <v>Tables</v>
      </c>
      <c r="Z305" s="1">
        <f t="shared" si="44"/>
        <v>219.07499999999999</v>
      </c>
      <c r="AA305" s="1">
        <f t="shared" si="45"/>
        <v>219.07499999999999</v>
      </c>
      <c r="AB305" s="1">
        <f t="shared" si="46"/>
        <v>657.22499999999991</v>
      </c>
      <c r="AC305" s="4">
        <f t="shared" si="47"/>
        <v>328.61249999999995</v>
      </c>
      <c r="AD305" s="1" t="s">
        <v>2014</v>
      </c>
      <c r="AE305" s="1" t="str">
        <f t="shared" si="48"/>
        <v>2017</v>
      </c>
      <c r="AF305" s="1" t="str">
        <f t="shared" si="49"/>
        <v>152380</v>
      </c>
    </row>
    <row r="306" spans="1:32" x14ac:dyDescent="0.3">
      <c r="A306" s="1">
        <v>305</v>
      </c>
      <c r="B306" s="1" t="s">
        <v>1108</v>
      </c>
      <c r="C306" s="2">
        <v>42128</v>
      </c>
      <c r="D306" s="2">
        <v>42133</v>
      </c>
      <c r="E306" s="1" t="s">
        <v>21</v>
      </c>
      <c r="F306" s="1" t="s">
        <v>1109</v>
      </c>
      <c r="G306" s="1" t="s">
        <v>1110</v>
      </c>
      <c r="H306" s="1" t="s">
        <v>39</v>
      </c>
      <c r="I306" s="1" t="s">
        <v>25</v>
      </c>
      <c r="J306" s="1" t="s">
        <v>264</v>
      </c>
      <c r="K306" s="1" t="s">
        <v>265</v>
      </c>
      <c r="L306" s="1">
        <v>10024</v>
      </c>
      <c r="M306" s="1" t="s">
        <v>146</v>
      </c>
      <c r="N306" s="1" t="s">
        <v>1111</v>
      </c>
      <c r="O306" s="1" t="s">
        <v>30</v>
      </c>
      <c r="P306" s="1" t="s">
        <v>63</v>
      </c>
      <c r="Q306" s="1" t="s">
        <v>1112</v>
      </c>
      <c r="R306" s="1">
        <v>26.8</v>
      </c>
      <c r="S306" s="1">
        <v>2</v>
      </c>
      <c r="T306" s="3">
        <v>0</v>
      </c>
      <c r="U306" s="4">
        <v>12.864000000000001</v>
      </c>
      <c r="V306" s="1" t="str">
        <f t="shared" si="40"/>
        <v>Second Class</v>
      </c>
      <c r="W306" s="1" t="str">
        <f t="shared" si="41"/>
        <v>Corporate</v>
      </c>
      <c r="X306" s="1" t="str">
        <f t="shared" si="42"/>
        <v>New York City - New York</v>
      </c>
      <c r="Y306" s="1" t="str">
        <f t="shared" si="43"/>
        <v>Furnishings</v>
      </c>
      <c r="Z306" s="1">
        <f t="shared" si="44"/>
        <v>26.8</v>
      </c>
      <c r="AA306" s="1">
        <f t="shared" si="45"/>
        <v>26.8</v>
      </c>
      <c r="AB306" s="1">
        <f t="shared" si="46"/>
        <v>53.6</v>
      </c>
      <c r="AC306" s="4">
        <f t="shared" si="47"/>
        <v>53.6</v>
      </c>
      <c r="AD306" s="1" t="s">
        <v>2013</v>
      </c>
      <c r="AE306" s="1" t="str">
        <f t="shared" si="48"/>
        <v>2015</v>
      </c>
      <c r="AF306" s="1" t="str">
        <f t="shared" si="49"/>
        <v>144253</v>
      </c>
    </row>
    <row r="307" spans="1:32" x14ac:dyDescent="0.3">
      <c r="A307" s="1">
        <v>306</v>
      </c>
      <c r="B307" s="1" t="s">
        <v>1113</v>
      </c>
      <c r="C307" s="2">
        <v>42003</v>
      </c>
      <c r="D307" s="2">
        <v>42008</v>
      </c>
      <c r="E307" s="1" t="s">
        <v>48</v>
      </c>
      <c r="F307" s="1" t="s">
        <v>341</v>
      </c>
      <c r="G307" s="1" t="s">
        <v>342</v>
      </c>
      <c r="H307" s="1" t="s">
        <v>39</v>
      </c>
      <c r="I307" s="1" t="s">
        <v>25</v>
      </c>
      <c r="J307" s="1" t="s">
        <v>1114</v>
      </c>
      <c r="K307" s="1" t="s">
        <v>236</v>
      </c>
      <c r="L307" s="1">
        <v>48180</v>
      </c>
      <c r="M307" s="1" t="s">
        <v>103</v>
      </c>
      <c r="N307" s="1" t="s">
        <v>1115</v>
      </c>
      <c r="O307" s="1" t="s">
        <v>44</v>
      </c>
      <c r="P307" s="1" t="s">
        <v>66</v>
      </c>
      <c r="Q307" s="1" t="s">
        <v>1116</v>
      </c>
      <c r="R307" s="1">
        <v>9.84</v>
      </c>
      <c r="S307" s="1">
        <v>3</v>
      </c>
      <c r="T307" s="3">
        <v>0</v>
      </c>
      <c r="U307" s="4">
        <v>2.8536000000000001</v>
      </c>
      <c r="V307" s="1" t="str">
        <f t="shared" si="40"/>
        <v>Standard Class</v>
      </c>
      <c r="W307" s="1" t="str">
        <f t="shared" si="41"/>
        <v>Corporate</v>
      </c>
      <c r="X307" s="1" t="str">
        <f t="shared" si="42"/>
        <v>Taylor - Michigan</v>
      </c>
      <c r="Y307" s="1" t="str">
        <f t="shared" si="43"/>
        <v>Art</v>
      </c>
      <c r="Z307" s="1">
        <f t="shared" si="44"/>
        <v>9.84</v>
      </c>
      <c r="AA307" s="1">
        <f t="shared" si="45"/>
        <v>9.84</v>
      </c>
      <c r="AB307" s="1">
        <f t="shared" si="46"/>
        <v>29.52</v>
      </c>
      <c r="AC307" s="4">
        <f t="shared" si="47"/>
        <v>29.52</v>
      </c>
      <c r="AD307" s="1" t="s">
        <v>2013</v>
      </c>
      <c r="AE307" s="1" t="str">
        <f t="shared" si="48"/>
        <v>2014</v>
      </c>
      <c r="AF307" s="1" t="str">
        <f t="shared" si="49"/>
        <v>130960</v>
      </c>
    </row>
    <row r="308" spans="1:32" x14ac:dyDescent="0.3">
      <c r="A308" s="1">
        <v>307</v>
      </c>
      <c r="B308" s="1" t="s">
        <v>1117</v>
      </c>
      <c r="C308" s="2">
        <v>41791</v>
      </c>
      <c r="D308" s="2">
        <v>41796</v>
      </c>
      <c r="E308" s="1" t="s">
        <v>48</v>
      </c>
      <c r="F308" s="1" t="s">
        <v>1118</v>
      </c>
      <c r="G308" s="1" t="s">
        <v>1119</v>
      </c>
      <c r="H308" s="1" t="s">
        <v>100</v>
      </c>
      <c r="I308" s="1" t="s">
        <v>25</v>
      </c>
      <c r="J308" s="1" t="s">
        <v>1120</v>
      </c>
      <c r="K308" s="1" t="s">
        <v>788</v>
      </c>
      <c r="L308" s="1">
        <v>8701</v>
      </c>
      <c r="M308" s="1" t="s">
        <v>146</v>
      </c>
      <c r="N308" s="1" t="s">
        <v>1121</v>
      </c>
      <c r="O308" s="1" t="s">
        <v>44</v>
      </c>
      <c r="P308" s="1" t="s">
        <v>73</v>
      </c>
      <c r="Q308" s="1" t="s">
        <v>1122</v>
      </c>
      <c r="R308" s="1">
        <v>45.48</v>
      </c>
      <c r="S308" s="1">
        <v>3</v>
      </c>
      <c r="T308" s="3">
        <v>0</v>
      </c>
      <c r="U308" s="4">
        <v>20.9208</v>
      </c>
      <c r="V308" s="1" t="str">
        <f t="shared" si="40"/>
        <v>Standard Class</v>
      </c>
      <c r="W308" s="1" t="str">
        <f t="shared" si="41"/>
        <v>Home Office</v>
      </c>
      <c r="X308" s="1" t="str">
        <f t="shared" si="42"/>
        <v>Lakewood - New Jersey</v>
      </c>
      <c r="Y308" s="1" t="str">
        <f t="shared" si="43"/>
        <v>Binders</v>
      </c>
      <c r="Z308" s="1">
        <f t="shared" si="44"/>
        <v>45.48</v>
      </c>
      <c r="AA308" s="1">
        <f t="shared" si="45"/>
        <v>45.48</v>
      </c>
      <c r="AB308" s="1">
        <f t="shared" si="46"/>
        <v>136.44</v>
      </c>
      <c r="AC308" s="4">
        <f t="shared" si="47"/>
        <v>136.44</v>
      </c>
      <c r="AD308" s="1" t="s">
        <v>2013</v>
      </c>
      <c r="AE308" s="1" t="str">
        <f t="shared" si="48"/>
        <v>2014</v>
      </c>
      <c r="AF308" s="1" t="str">
        <f t="shared" si="49"/>
        <v>111003</v>
      </c>
    </row>
    <row r="309" spans="1:32" x14ac:dyDescent="0.3">
      <c r="A309" s="1">
        <v>308</v>
      </c>
      <c r="B309" s="1" t="s">
        <v>1117</v>
      </c>
      <c r="C309" s="2">
        <v>41791</v>
      </c>
      <c r="D309" s="2">
        <v>41796</v>
      </c>
      <c r="E309" s="1" t="s">
        <v>48</v>
      </c>
      <c r="F309" s="1" t="s">
        <v>1118</v>
      </c>
      <c r="G309" s="1" t="s">
        <v>1119</v>
      </c>
      <c r="H309" s="1" t="s">
        <v>100</v>
      </c>
      <c r="I309" s="1" t="s">
        <v>25</v>
      </c>
      <c r="J309" s="1" t="s">
        <v>1120</v>
      </c>
      <c r="K309" s="1" t="s">
        <v>788</v>
      </c>
      <c r="L309" s="1">
        <v>8701</v>
      </c>
      <c r="M309" s="1" t="s">
        <v>146</v>
      </c>
      <c r="N309" s="1" t="s">
        <v>1123</v>
      </c>
      <c r="O309" s="1" t="s">
        <v>44</v>
      </c>
      <c r="P309" s="1" t="s">
        <v>66</v>
      </c>
      <c r="Q309" s="1" t="s">
        <v>1124</v>
      </c>
      <c r="R309" s="1">
        <v>289.2</v>
      </c>
      <c r="S309" s="1">
        <v>6</v>
      </c>
      <c r="T309" s="3">
        <v>0</v>
      </c>
      <c r="U309" s="4">
        <v>83.867999999999995</v>
      </c>
      <c r="V309" s="1" t="str">
        <f t="shared" si="40"/>
        <v>Standard Class</v>
      </c>
      <c r="W309" s="1" t="str">
        <f t="shared" si="41"/>
        <v>Home Office</v>
      </c>
      <c r="X309" s="1" t="str">
        <f t="shared" si="42"/>
        <v>Lakewood - New Jersey</v>
      </c>
      <c r="Y309" s="1" t="str">
        <f t="shared" si="43"/>
        <v>Art</v>
      </c>
      <c r="Z309" s="1">
        <f t="shared" si="44"/>
        <v>289.2</v>
      </c>
      <c r="AA309" s="1">
        <f t="shared" si="45"/>
        <v>289.2</v>
      </c>
      <c r="AB309" s="1">
        <f t="shared" si="46"/>
        <v>1735.1999999999998</v>
      </c>
      <c r="AC309" s="4">
        <f t="shared" si="47"/>
        <v>1735.1999999999998</v>
      </c>
      <c r="AD309" s="1" t="s">
        <v>2013</v>
      </c>
      <c r="AE309" s="1" t="str">
        <f t="shared" si="48"/>
        <v>2014</v>
      </c>
      <c r="AF309" s="1" t="str">
        <f t="shared" si="49"/>
        <v>111003</v>
      </c>
    </row>
    <row r="310" spans="1:32" x14ac:dyDescent="0.3">
      <c r="A310" s="1">
        <v>309</v>
      </c>
      <c r="B310" s="1" t="s">
        <v>1125</v>
      </c>
      <c r="C310" s="2">
        <v>42840</v>
      </c>
      <c r="D310" s="2">
        <v>42842</v>
      </c>
      <c r="E310" s="1" t="s">
        <v>186</v>
      </c>
      <c r="F310" s="1" t="s">
        <v>1126</v>
      </c>
      <c r="G310" s="1" t="s">
        <v>1127</v>
      </c>
      <c r="H310" s="1" t="s">
        <v>24</v>
      </c>
      <c r="I310" s="1" t="s">
        <v>25</v>
      </c>
      <c r="J310" s="1" t="s">
        <v>1128</v>
      </c>
      <c r="K310" s="1" t="s">
        <v>317</v>
      </c>
      <c r="L310" s="1">
        <v>22204</v>
      </c>
      <c r="M310" s="1" t="s">
        <v>28</v>
      </c>
      <c r="N310" s="1" t="s">
        <v>1129</v>
      </c>
      <c r="O310" s="1" t="s">
        <v>44</v>
      </c>
      <c r="P310" s="1" t="s">
        <v>66</v>
      </c>
      <c r="Q310" s="1" t="s">
        <v>1130</v>
      </c>
      <c r="R310" s="1">
        <v>4.8899999999999997</v>
      </c>
      <c r="S310" s="1">
        <v>1</v>
      </c>
      <c r="T310" s="3">
        <v>0</v>
      </c>
      <c r="U310" s="4">
        <v>2.0049000000000001</v>
      </c>
      <c r="V310" s="1" t="str">
        <f t="shared" si="40"/>
        <v>First Class</v>
      </c>
      <c r="W310" s="1" t="str">
        <f t="shared" si="41"/>
        <v>Consumer</v>
      </c>
      <c r="X310" s="1" t="str">
        <f t="shared" si="42"/>
        <v>Arlington - Virginia</v>
      </c>
      <c r="Y310" s="1" t="str">
        <f t="shared" si="43"/>
        <v>Art</v>
      </c>
      <c r="Z310" s="1">
        <f t="shared" si="44"/>
        <v>4.8899999999999997</v>
      </c>
      <c r="AA310" s="1">
        <f t="shared" si="45"/>
        <v>4.8899999999999997</v>
      </c>
      <c r="AB310" s="1">
        <f t="shared" si="46"/>
        <v>4.8899999999999997</v>
      </c>
      <c r="AC310" s="4">
        <f t="shared" si="47"/>
        <v>4.8899999999999997</v>
      </c>
      <c r="AD310" s="1" t="s">
        <v>2013</v>
      </c>
      <c r="AE310" s="1" t="str">
        <f t="shared" si="48"/>
        <v>2017</v>
      </c>
      <c r="AF310" s="1" t="str">
        <f t="shared" si="49"/>
        <v>126774</v>
      </c>
    </row>
    <row r="311" spans="1:32" x14ac:dyDescent="0.3">
      <c r="A311" s="1">
        <v>310</v>
      </c>
      <c r="B311" s="1" t="s">
        <v>1131</v>
      </c>
      <c r="C311" s="2">
        <v>42625</v>
      </c>
      <c r="D311" s="2">
        <v>42627</v>
      </c>
      <c r="E311" s="1" t="s">
        <v>21</v>
      </c>
      <c r="F311" s="1" t="s">
        <v>1132</v>
      </c>
      <c r="G311" s="1" t="s">
        <v>1133</v>
      </c>
      <c r="H311" s="1" t="s">
        <v>39</v>
      </c>
      <c r="I311" s="1" t="s">
        <v>25</v>
      </c>
      <c r="J311" s="1" t="s">
        <v>1134</v>
      </c>
      <c r="K311" s="1" t="s">
        <v>455</v>
      </c>
      <c r="L311" s="1">
        <v>80004</v>
      </c>
      <c r="M311" s="1" t="s">
        <v>42</v>
      </c>
      <c r="N311" s="1" t="s">
        <v>1135</v>
      </c>
      <c r="O311" s="1" t="s">
        <v>30</v>
      </c>
      <c r="P311" s="1" t="s">
        <v>63</v>
      </c>
      <c r="Q311" s="1" t="s">
        <v>1136</v>
      </c>
      <c r="R311" s="1">
        <v>15.135999999999999</v>
      </c>
      <c r="S311" s="1">
        <v>4</v>
      </c>
      <c r="T311" s="3">
        <v>0.2</v>
      </c>
      <c r="U311" s="4">
        <v>3.5948000000000002</v>
      </c>
      <c r="V311" s="1" t="str">
        <f t="shared" si="40"/>
        <v>Second Class</v>
      </c>
      <c r="W311" s="1" t="str">
        <f t="shared" si="41"/>
        <v>Corporate</v>
      </c>
      <c r="X311" s="1" t="str">
        <f t="shared" si="42"/>
        <v>Arvada - Colorado</v>
      </c>
      <c r="Y311" s="1" t="str">
        <f t="shared" si="43"/>
        <v>Furnishings</v>
      </c>
      <c r="Z311" s="1">
        <f t="shared" si="44"/>
        <v>15.135999999999999</v>
      </c>
      <c r="AA311" s="1">
        <f t="shared" si="45"/>
        <v>15.135999999999999</v>
      </c>
      <c r="AB311" s="1">
        <f t="shared" si="46"/>
        <v>60.543999999999997</v>
      </c>
      <c r="AC311" s="4">
        <f t="shared" si="47"/>
        <v>48.435200000000002</v>
      </c>
      <c r="AD311" s="1" t="s">
        <v>2013</v>
      </c>
      <c r="AE311" s="1" t="str">
        <f t="shared" si="48"/>
        <v>2016</v>
      </c>
      <c r="AF311" s="1" t="str">
        <f t="shared" si="49"/>
        <v>142902</v>
      </c>
    </row>
    <row r="312" spans="1:32" x14ac:dyDescent="0.3">
      <c r="A312" s="1">
        <v>311</v>
      </c>
      <c r="B312" s="1" t="s">
        <v>1131</v>
      </c>
      <c r="C312" s="2">
        <v>42625</v>
      </c>
      <c r="D312" s="2">
        <v>42627</v>
      </c>
      <c r="E312" s="1" t="s">
        <v>21</v>
      </c>
      <c r="F312" s="1" t="s">
        <v>1132</v>
      </c>
      <c r="G312" s="1" t="s">
        <v>1133</v>
      </c>
      <c r="H312" s="1" t="s">
        <v>39</v>
      </c>
      <c r="I312" s="1" t="s">
        <v>25</v>
      </c>
      <c r="J312" s="1" t="s">
        <v>1134</v>
      </c>
      <c r="K312" s="1" t="s">
        <v>455</v>
      </c>
      <c r="L312" s="1">
        <v>80004</v>
      </c>
      <c r="M312" s="1" t="s">
        <v>42</v>
      </c>
      <c r="N312" s="1" t="s">
        <v>1137</v>
      </c>
      <c r="O312" s="1" t="s">
        <v>30</v>
      </c>
      <c r="P312" s="1" t="s">
        <v>34</v>
      </c>
      <c r="Q312" s="1" t="s">
        <v>1138</v>
      </c>
      <c r="R312" s="1">
        <v>466.76799999999997</v>
      </c>
      <c r="S312" s="1">
        <v>2</v>
      </c>
      <c r="T312" s="3">
        <v>0.2</v>
      </c>
      <c r="U312" s="4">
        <v>52.511400000000002</v>
      </c>
      <c r="V312" s="1" t="str">
        <f t="shared" si="40"/>
        <v>Second Class</v>
      </c>
      <c r="W312" s="1" t="str">
        <f t="shared" si="41"/>
        <v>Corporate</v>
      </c>
      <c r="X312" s="1" t="str">
        <f t="shared" si="42"/>
        <v>Arvada - Colorado</v>
      </c>
      <c r="Y312" s="1" t="str">
        <f t="shared" si="43"/>
        <v>Chairs</v>
      </c>
      <c r="Z312" s="1">
        <f t="shared" si="44"/>
        <v>466.76799999999997</v>
      </c>
      <c r="AA312" s="1">
        <f t="shared" si="45"/>
        <v>466.76799999999997</v>
      </c>
      <c r="AB312" s="1">
        <f t="shared" si="46"/>
        <v>933.53599999999994</v>
      </c>
      <c r="AC312" s="4">
        <f t="shared" si="47"/>
        <v>746.8288</v>
      </c>
      <c r="AD312" s="1" t="s">
        <v>2013</v>
      </c>
      <c r="AE312" s="1" t="str">
        <f t="shared" si="48"/>
        <v>2016</v>
      </c>
      <c r="AF312" s="1" t="str">
        <f t="shared" si="49"/>
        <v>142902</v>
      </c>
    </row>
    <row r="313" spans="1:32" x14ac:dyDescent="0.3">
      <c r="A313" s="1">
        <v>312</v>
      </c>
      <c r="B313" s="1" t="s">
        <v>1131</v>
      </c>
      <c r="C313" s="2">
        <v>42625</v>
      </c>
      <c r="D313" s="2">
        <v>42627</v>
      </c>
      <c r="E313" s="1" t="s">
        <v>21</v>
      </c>
      <c r="F313" s="1" t="s">
        <v>1132</v>
      </c>
      <c r="G313" s="1" t="s">
        <v>1133</v>
      </c>
      <c r="H313" s="1" t="s">
        <v>39</v>
      </c>
      <c r="I313" s="1" t="s">
        <v>25</v>
      </c>
      <c r="J313" s="1" t="s">
        <v>1134</v>
      </c>
      <c r="K313" s="1" t="s">
        <v>455</v>
      </c>
      <c r="L313" s="1">
        <v>80004</v>
      </c>
      <c r="M313" s="1" t="s">
        <v>42</v>
      </c>
      <c r="N313" s="1" t="s">
        <v>1139</v>
      </c>
      <c r="O313" s="1" t="s">
        <v>30</v>
      </c>
      <c r="P313" s="1" t="s">
        <v>63</v>
      </c>
      <c r="Q313" s="1" t="s">
        <v>1140</v>
      </c>
      <c r="R313" s="1">
        <v>15.231999999999999</v>
      </c>
      <c r="S313" s="1">
        <v>1</v>
      </c>
      <c r="T313" s="3">
        <v>0.2</v>
      </c>
      <c r="U313" s="4">
        <v>1.7136</v>
      </c>
      <c r="V313" s="1" t="str">
        <f t="shared" si="40"/>
        <v>Second Class</v>
      </c>
      <c r="W313" s="1" t="str">
        <f t="shared" si="41"/>
        <v>Corporate</v>
      </c>
      <c r="X313" s="1" t="str">
        <f t="shared" si="42"/>
        <v>Arvada - Colorado</v>
      </c>
      <c r="Y313" s="1" t="str">
        <f t="shared" si="43"/>
        <v>Furnishings</v>
      </c>
      <c r="Z313" s="1">
        <f t="shared" si="44"/>
        <v>15.231999999999999</v>
      </c>
      <c r="AA313" s="1">
        <f t="shared" si="45"/>
        <v>15.231999999999999</v>
      </c>
      <c r="AB313" s="1">
        <f t="shared" si="46"/>
        <v>15.231999999999999</v>
      </c>
      <c r="AC313" s="4">
        <f t="shared" si="47"/>
        <v>12.185600000000001</v>
      </c>
      <c r="AD313" s="1" t="s">
        <v>2013</v>
      </c>
      <c r="AE313" s="1" t="str">
        <f t="shared" si="48"/>
        <v>2016</v>
      </c>
      <c r="AF313" s="1" t="str">
        <f t="shared" si="49"/>
        <v>142902</v>
      </c>
    </row>
    <row r="314" spans="1:32" x14ac:dyDescent="0.3">
      <c r="A314" s="1">
        <v>313</v>
      </c>
      <c r="B314" s="1" t="s">
        <v>1131</v>
      </c>
      <c r="C314" s="2">
        <v>42625</v>
      </c>
      <c r="D314" s="2">
        <v>42627</v>
      </c>
      <c r="E314" s="1" t="s">
        <v>21</v>
      </c>
      <c r="F314" s="1" t="s">
        <v>1132</v>
      </c>
      <c r="G314" s="1" t="s">
        <v>1133</v>
      </c>
      <c r="H314" s="1" t="s">
        <v>39</v>
      </c>
      <c r="I314" s="1" t="s">
        <v>25</v>
      </c>
      <c r="J314" s="1" t="s">
        <v>1134</v>
      </c>
      <c r="K314" s="1" t="s">
        <v>455</v>
      </c>
      <c r="L314" s="1">
        <v>80004</v>
      </c>
      <c r="M314" s="1" t="s">
        <v>42</v>
      </c>
      <c r="N314" s="1" t="s">
        <v>1141</v>
      </c>
      <c r="O314" s="1" t="s">
        <v>44</v>
      </c>
      <c r="P314" s="1" t="s">
        <v>45</v>
      </c>
      <c r="Q314" s="1" t="s">
        <v>1142</v>
      </c>
      <c r="R314" s="1">
        <v>6.2640000000000002</v>
      </c>
      <c r="S314" s="1">
        <v>3</v>
      </c>
      <c r="T314" s="3">
        <v>0.2</v>
      </c>
      <c r="U314" s="4">
        <v>2.0358000000000001</v>
      </c>
      <c r="V314" s="1" t="str">
        <f t="shared" si="40"/>
        <v>Second Class</v>
      </c>
      <c r="W314" s="1" t="str">
        <f t="shared" si="41"/>
        <v>Corporate</v>
      </c>
      <c r="X314" s="1" t="str">
        <f t="shared" si="42"/>
        <v>Arvada - Colorado</v>
      </c>
      <c r="Y314" s="1" t="str">
        <f t="shared" si="43"/>
        <v>Labels</v>
      </c>
      <c r="Z314" s="1">
        <f t="shared" si="44"/>
        <v>6.2640000000000002</v>
      </c>
      <c r="AA314" s="1">
        <f t="shared" si="45"/>
        <v>6.2640000000000002</v>
      </c>
      <c r="AB314" s="1">
        <f t="shared" si="46"/>
        <v>18.792000000000002</v>
      </c>
      <c r="AC314" s="4">
        <f t="shared" si="47"/>
        <v>15.033600000000002</v>
      </c>
      <c r="AD314" s="1" t="s">
        <v>2013</v>
      </c>
      <c r="AE314" s="1" t="str">
        <f t="shared" si="48"/>
        <v>2016</v>
      </c>
      <c r="AF314" s="1" t="str">
        <f t="shared" si="49"/>
        <v>142902</v>
      </c>
    </row>
    <row r="315" spans="1:32" x14ac:dyDescent="0.3">
      <c r="A315" s="1">
        <v>314</v>
      </c>
      <c r="B315" s="1" t="s">
        <v>1143</v>
      </c>
      <c r="C315" s="2">
        <v>41909</v>
      </c>
      <c r="D315" s="2">
        <v>41915</v>
      </c>
      <c r="E315" s="1" t="s">
        <v>48</v>
      </c>
      <c r="F315" s="1" t="s">
        <v>1144</v>
      </c>
      <c r="G315" s="1" t="s">
        <v>1145</v>
      </c>
      <c r="H315" s="1" t="s">
        <v>39</v>
      </c>
      <c r="I315" s="1" t="s">
        <v>25</v>
      </c>
      <c r="J315" s="1" t="s">
        <v>1146</v>
      </c>
      <c r="K315" s="1" t="s">
        <v>788</v>
      </c>
      <c r="L315" s="1">
        <v>7601</v>
      </c>
      <c r="M315" s="1" t="s">
        <v>146</v>
      </c>
      <c r="N315" s="1" t="s">
        <v>1147</v>
      </c>
      <c r="O315" s="1" t="s">
        <v>30</v>
      </c>
      <c r="P315" s="1" t="s">
        <v>63</v>
      </c>
      <c r="Q315" s="1" t="s">
        <v>1148</v>
      </c>
      <c r="R315" s="1">
        <v>87.54</v>
      </c>
      <c r="S315" s="1">
        <v>3</v>
      </c>
      <c r="T315" s="3">
        <v>0</v>
      </c>
      <c r="U315" s="4">
        <v>37.642200000000003</v>
      </c>
      <c r="V315" s="1" t="str">
        <f t="shared" si="40"/>
        <v>Standard Class</v>
      </c>
      <c r="W315" s="1" t="str">
        <f t="shared" si="41"/>
        <v>Corporate</v>
      </c>
      <c r="X315" s="1" t="str">
        <f t="shared" si="42"/>
        <v>Hackensack - New Jersey</v>
      </c>
      <c r="Y315" s="1" t="str">
        <f t="shared" si="43"/>
        <v>Furnishings</v>
      </c>
      <c r="Z315" s="1">
        <f t="shared" si="44"/>
        <v>87.54</v>
      </c>
      <c r="AA315" s="1">
        <f t="shared" si="45"/>
        <v>87.54</v>
      </c>
      <c r="AB315" s="1">
        <f t="shared" si="46"/>
        <v>262.62</v>
      </c>
      <c r="AC315" s="4">
        <f t="shared" si="47"/>
        <v>262.62</v>
      </c>
      <c r="AD315" s="1" t="s">
        <v>2013</v>
      </c>
      <c r="AE315" s="1" t="str">
        <f t="shared" si="48"/>
        <v>2014</v>
      </c>
      <c r="AF315" s="1" t="str">
        <f t="shared" si="49"/>
        <v>120887</v>
      </c>
    </row>
    <row r="316" spans="1:32" x14ac:dyDescent="0.3">
      <c r="A316" s="1">
        <v>315</v>
      </c>
      <c r="B316" s="1" t="s">
        <v>1149</v>
      </c>
      <c r="C316" s="2">
        <v>41860</v>
      </c>
      <c r="D316" s="2">
        <v>41867</v>
      </c>
      <c r="E316" s="1" t="s">
        <v>48</v>
      </c>
      <c r="F316" s="1" t="s">
        <v>1150</v>
      </c>
      <c r="G316" s="1" t="s">
        <v>1151</v>
      </c>
      <c r="H316" s="1" t="s">
        <v>39</v>
      </c>
      <c r="I316" s="1" t="s">
        <v>25</v>
      </c>
      <c r="J316" s="1" t="s">
        <v>1152</v>
      </c>
      <c r="K316" s="1" t="s">
        <v>52</v>
      </c>
      <c r="L316" s="1">
        <v>33710</v>
      </c>
      <c r="M316" s="1" t="s">
        <v>28</v>
      </c>
      <c r="N316" s="1" t="s">
        <v>1153</v>
      </c>
      <c r="O316" s="1" t="s">
        <v>69</v>
      </c>
      <c r="P316" s="1" t="s">
        <v>70</v>
      </c>
      <c r="Q316" s="1" t="s">
        <v>1154</v>
      </c>
      <c r="R316" s="1">
        <v>178.38399999999999</v>
      </c>
      <c r="S316" s="1">
        <v>2</v>
      </c>
      <c r="T316" s="3">
        <v>0.2</v>
      </c>
      <c r="U316" s="4">
        <v>22.297999999999998</v>
      </c>
      <c r="V316" s="1" t="str">
        <f t="shared" si="40"/>
        <v>Standard Class</v>
      </c>
      <c r="W316" s="1" t="str">
        <f t="shared" si="41"/>
        <v>Corporate</v>
      </c>
      <c r="X316" s="1" t="str">
        <f t="shared" si="42"/>
        <v>Saint Petersburg - Florida</v>
      </c>
      <c r="Y316" s="1" t="str">
        <f t="shared" si="43"/>
        <v>Phones</v>
      </c>
      <c r="Z316" s="1">
        <f t="shared" si="44"/>
        <v>178.38399999999999</v>
      </c>
      <c r="AA316" s="1">
        <f t="shared" si="45"/>
        <v>178.38399999999999</v>
      </c>
      <c r="AB316" s="1">
        <f t="shared" si="46"/>
        <v>356.76799999999997</v>
      </c>
      <c r="AC316" s="4">
        <f t="shared" si="47"/>
        <v>285.4144</v>
      </c>
      <c r="AD316" s="1" t="s">
        <v>2013</v>
      </c>
      <c r="AE316" s="1" t="str">
        <f t="shared" si="48"/>
        <v>2014</v>
      </c>
      <c r="AF316" s="1" t="str">
        <f t="shared" si="49"/>
        <v>167850</v>
      </c>
    </row>
    <row r="317" spans="1:32" x14ac:dyDescent="0.3">
      <c r="A317" s="1">
        <v>316</v>
      </c>
      <c r="B317" s="1" t="s">
        <v>1149</v>
      </c>
      <c r="C317" s="2">
        <v>41860</v>
      </c>
      <c r="D317" s="2">
        <v>41867</v>
      </c>
      <c r="E317" s="1" t="s">
        <v>48</v>
      </c>
      <c r="F317" s="1" t="s">
        <v>1150</v>
      </c>
      <c r="G317" s="1" t="s">
        <v>1151</v>
      </c>
      <c r="H317" s="1" t="s">
        <v>39</v>
      </c>
      <c r="I317" s="1" t="s">
        <v>25</v>
      </c>
      <c r="J317" s="1" t="s">
        <v>1152</v>
      </c>
      <c r="K317" s="1" t="s">
        <v>52</v>
      </c>
      <c r="L317" s="1">
        <v>33710</v>
      </c>
      <c r="M317" s="1" t="s">
        <v>28</v>
      </c>
      <c r="N317" s="1" t="s">
        <v>1155</v>
      </c>
      <c r="O317" s="1" t="s">
        <v>44</v>
      </c>
      <c r="P317" s="1" t="s">
        <v>88</v>
      </c>
      <c r="Q317" s="1" t="s">
        <v>1156</v>
      </c>
      <c r="R317" s="1">
        <v>15.552</v>
      </c>
      <c r="S317" s="1">
        <v>3</v>
      </c>
      <c r="T317" s="3">
        <v>0.2</v>
      </c>
      <c r="U317" s="4">
        <v>5.4432</v>
      </c>
      <c r="V317" s="1" t="str">
        <f t="shared" si="40"/>
        <v>Standard Class</v>
      </c>
      <c r="W317" s="1" t="str">
        <f t="shared" si="41"/>
        <v>Corporate</v>
      </c>
      <c r="X317" s="1" t="str">
        <f t="shared" si="42"/>
        <v>Saint Petersburg - Florida</v>
      </c>
      <c r="Y317" s="1" t="str">
        <f t="shared" si="43"/>
        <v>Paper</v>
      </c>
      <c r="Z317" s="1">
        <f t="shared" si="44"/>
        <v>15.552</v>
      </c>
      <c r="AA317" s="1">
        <f t="shared" si="45"/>
        <v>15.552</v>
      </c>
      <c r="AB317" s="1">
        <f t="shared" si="46"/>
        <v>46.655999999999999</v>
      </c>
      <c r="AC317" s="4">
        <f t="shared" si="47"/>
        <v>37.324800000000003</v>
      </c>
      <c r="AD317" s="1" t="s">
        <v>2013</v>
      </c>
      <c r="AE317" s="1" t="str">
        <f t="shared" si="48"/>
        <v>2014</v>
      </c>
      <c r="AF317" s="1" t="str">
        <f t="shared" si="49"/>
        <v>167850</v>
      </c>
    </row>
    <row r="318" spans="1:32" x14ac:dyDescent="0.3">
      <c r="A318" s="1">
        <v>317</v>
      </c>
      <c r="B318" s="1" t="s">
        <v>1157</v>
      </c>
      <c r="C318" s="2">
        <v>42001</v>
      </c>
      <c r="D318" s="2">
        <v>42003</v>
      </c>
      <c r="E318" s="1" t="s">
        <v>186</v>
      </c>
      <c r="F318" s="1" t="s">
        <v>1158</v>
      </c>
      <c r="G318" s="1" t="s">
        <v>1159</v>
      </c>
      <c r="H318" s="1" t="s">
        <v>39</v>
      </c>
      <c r="I318" s="1" t="s">
        <v>25</v>
      </c>
      <c r="J318" s="1" t="s">
        <v>144</v>
      </c>
      <c r="K318" s="1" t="s">
        <v>145</v>
      </c>
      <c r="L318" s="1">
        <v>19143</v>
      </c>
      <c r="M318" s="1" t="s">
        <v>146</v>
      </c>
      <c r="N318" s="1" t="s">
        <v>1160</v>
      </c>
      <c r="O318" s="1" t="s">
        <v>44</v>
      </c>
      <c r="P318" s="1" t="s">
        <v>66</v>
      </c>
      <c r="Q318" s="1" t="s">
        <v>1161</v>
      </c>
      <c r="R318" s="1">
        <v>99.135999999999996</v>
      </c>
      <c r="S318" s="1">
        <v>4</v>
      </c>
      <c r="T318" s="3">
        <v>0.2</v>
      </c>
      <c r="U318" s="4">
        <v>8.6744000000000003</v>
      </c>
      <c r="V318" s="1" t="str">
        <f t="shared" si="40"/>
        <v>First Class</v>
      </c>
      <c r="W318" s="1" t="str">
        <f t="shared" si="41"/>
        <v>Corporate</v>
      </c>
      <c r="X318" s="1" t="str">
        <f t="shared" si="42"/>
        <v>Philadelphia - Pennsylvania</v>
      </c>
      <c r="Y318" s="1" t="str">
        <f t="shared" si="43"/>
        <v>Art</v>
      </c>
      <c r="Z318" s="1">
        <f t="shared" si="44"/>
        <v>99.135999999999996</v>
      </c>
      <c r="AA318" s="1">
        <f t="shared" si="45"/>
        <v>99.135999999999996</v>
      </c>
      <c r="AB318" s="1">
        <f t="shared" si="46"/>
        <v>396.54399999999998</v>
      </c>
      <c r="AC318" s="4">
        <f t="shared" si="47"/>
        <v>317.23520000000002</v>
      </c>
      <c r="AD318" s="1" t="s">
        <v>2013</v>
      </c>
      <c r="AE318" s="1" t="str">
        <f t="shared" si="48"/>
        <v>2014</v>
      </c>
      <c r="AF318" s="1" t="str">
        <f t="shared" si="49"/>
        <v>164259</v>
      </c>
    </row>
    <row r="319" spans="1:32" x14ac:dyDescent="0.3">
      <c r="A319" s="1">
        <v>318</v>
      </c>
      <c r="B319" s="1" t="s">
        <v>1162</v>
      </c>
      <c r="C319" s="2">
        <v>41947</v>
      </c>
      <c r="D319" s="2">
        <v>41952</v>
      </c>
      <c r="E319" s="1" t="s">
        <v>48</v>
      </c>
      <c r="F319" s="1" t="s">
        <v>1163</v>
      </c>
      <c r="G319" s="1" t="s">
        <v>1164</v>
      </c>
      <c r="H319" s="1" t="s">
        <v>100</v>
      </c>
      <c r="I319" s="1" t="s">
        <v>25</v>
      </c>
      <c r="J319" s="1" t="s">
        <v>264</v>
      </c>
      <c r="K319" s="1" t="s">
        <v>265</v>
      </c>
      <c r="L319" s="1">
        <v>10024</v>
      </c>
      <c r="M319" s="1" t="s">
        <v>146</v>
      </c>
      <c r="N319" s="1" t="s">
        <v>1165</v>
      </c>
      <c r="O319" s="1" t="s">
        <v>30</v>
      </c>
      <c r="P319" s="1" t="s">
        <v>34</v>
      </c>
      <c r="Q319" s="1" t="s">
        <v>1166</v>
      </c>
      <c r="R319" s="1">
        <v>135.88200000000001</v>
      </c>
      <c r="S319" s="1">
        <v>1</v>
      </c>
      <c r="T319" s="3">
        <v>0.1</v>
      </c>
      <c r="U319" s="4">
        <v>24.1568</v>
      </c>
      <c r="V319" s="1" t="str">
        <f t="shared" si="40"/>
        <v>Standard Class</v>
      </c>
      <c r="W319" s="1" t="str">
        <f t="shared" si="41"/>
        <v>Home Office</v>
      </c>
      <c r="X319" s="1" t="str">
        <f t="shared" si="42"/>
        <v>New York City - New York</v>
      </c>
      <c r="Y319" s="1" t="str">
        <f t="shared" si="43"/>
        <v>Chairs</v>
      </c>
      <c r="Z319" s="1">
        <f t="shared" si="44"/>
        <v>135.88200000000001</v>
      </c>
      <c r="AA319" s="1">
        <f t="shared" si="45"/>
        <v>135.88200000000001</v>
      </c>
      <c r="AB319" s="1">
        <f t="shared" si="46"/>
        <v>135.88200000000001</v>
      </c>
      <c r="AC319" s="4">
        <f t="shared" si="47"/>
        <v>122.2938</v>
      </c>
      <c r="AD319" s="1" t="s">
        <v>2013</v>
      </c>
      <c r="AE319" s="1" t="str">
        <f t="shared" si="48"/>
        <v>2014</v>
      </c>
      <c r="AF319" s="1" t="str">
        <f t="shared" si="49"/>
        <v>164973</v>
      </c>
    </row>
    <row r="320" spans="1:32" x14ac:dyDescent="0.3">
      <c r="A320" s="1">
        <v>319</v>
      </c>
      <c r="B320" s="1" t="s">
        <v>1162</v>
      </c>
      <c r="C320" s="2">
        <v>41947</v>
      </c>
      <c r="D320" s="2">
        <v>41952</v>
      </c>
      <c r="E320" s="1" t="s">
        <v>48</v>
      </c>
      <c r="F320" s="1" t="s">
        <v>1163</v>
      </c>
      <c r="G320" s="1" t="s">
        <v>1164</v>
      </c>
      <c r="H320" s="1" t="s">
        <v>100</v>
      </c>
      <c r="I320" s="1" t="s">
        <v>25</v>
      </c>
      <c r="J320" s="1" t="s">
        <v>264</v>
      </c>
      <c r="K320" s="1" t="s">
        <v>265</v>
      </c>
      <c r="L320" s="1">
        <v>10024</v>
      </c>
      <c r="M320" s="1" t="s">
        <v>146</v>
      </c>
      <c r="N320" s="1" t="s">
        <v>1167</v>
      </c>
      <c r="O320" s="1" t="s">
        <v>69</v>
      </c>
      <c r="P320" s="1" t="s">
        <v>682</v>
      </c>
      <c r="Q320" s="1" t="s">
        <v>1168</v>
      </c>
      <c r="R320" s="1">
        <v>3991.98</v>
      </c>
      <c r="S320" s="1">
        <v>2</v>
      </c>
      <c r="T320" s="3">
        <v>0</v>
      </c>
      <c r="U320" s="4">
        <v>1995.99</v>
      </c>
      <c r="V320" s="1" t="str">
        <f t="shared" si="40"/>
        <v>Standard Class</v>
      </c>
      <c r="W320" s="1" t="str">
        <f t="shared" si="41"/>
        <v>Home Office</v>
      </c>
      <c r="X320" s="1" t="str">
        <f t="shared" si="42"/>
        <v>New York City - New York</v>
      </c>
      <c r="Y320" s="1" t="str">
        <f t="shared" si="43"/>
        <v>Machines</v>
      </c>
      <c r="Z320" s="1">
        <f t="shared" si="44"/>
        <v>3991.98</v>
      </c>
      <c r="AA320" s="1">
        <f t="shared" si="45"/>
        <v>3991.98</v>
      </c>
      <c r="AB320" s="1">
        <f t="shared" si="46"/>
        <v>7983.96</v>
      </c>
      <c r="AC320" s="4">
        <f t="shared" si="47"/>
        <v>7983.96</v>
      </c>
      <c r="AD320" s="1" t="s">
        <v>2013</v>
      </c>
      <c r="AE320" s="1" t="str">
        <f t="shared" si="48"/>
        <v>2014</v>
      </c>
      <c r="AF320" s="1" t="str">
        <f t="shared" si="49"/>
        <v>164973</v>
      </c>
    </row>
    <row r="321" spans="1:32" x14ac:dyDescent="0.3">
      <c r="A321" s="1">
        <v>320</v>
      </c>
      <c r="B321" s="1" t="s">
        <v>1162</v>
      </c>
      <c r="C321" s="2">
        <v>41947</v>
      </c>
      <c r="D321" s="2">
        <v>41952</v>
      </c>
      <c r="E321" s="1" t="s">
        <v>48</v>
      </c>
      <c r="F321" s="1" t="s">
        <v>1163</v>
      </c>
      <c r="G321" s="1" t="s">
        <v>1164</v>
      </c>
      <c r="H321" s="1" t="s">
        <v>100</v>
      </c>
      <c r="I321" s="1" t="s">
        <v>25</v>
      </c>
      <c r="J321" s="1" t="s">
        <v>264</v>
      </c>
      <c r="K321" s="1" t="s">
        <v>265</v>
      </c>
      <c r="L321" s="1">
        <v>10024</v>
      </c>
      <c r="M321" s="1" t="s">
        <v>146</v>
      </c>
      <c r="N321" s="1" t="s">
        <v>210</v>
      </c>
      <c r="O321" s="1" t="s">
        <v>69</v>
      </c>
      <c r="P321" s="1" t="s">
        <v>70</v>
      </c>
      <c r="Q321" s="1" t="s">
        <v>211</v>
      </c>
      <c r="R321" s="1">
        <v>275.94</v>
      </c>
      <c r="S321" s="1">
        <v>6</v>
      </c>
      <c r="T321" s="3">
        <v>0</v>
      </c>
      <c r="U321" s="4">
        <v>80.022599999999997</v>
      </c>
      <c r="V321" s="1" t="str">
        <f t="shared" si="40"/>
        <v>Standard Class</v>
      </c>
      <c r="W321" s="1" t="str">
        <f t="shared" si="41"/>
        <v>Home Office</v>
      </c>
      <c r="X321" s="1" t="str">
        <f t="shared" si="42"/>
        <v>New York City - New York</v>
      </c>
      <c r="Y321" s="1" t="str">
        <f t="shared" si="43"/>
        <v>Phones</v>
      </c>
      <c r="Z321" s="1">
        <f t="shared" si="44"/>
        <v>275.94</v>
      </c>
      <c r="AA321" s="1">
        <f t="shared" si="45"/>
        <v>275.94</v>
      </c>
      <c r="AB321" s="1">
        <f t="shared" si="46"/>
        <v>1655.6399999999999</v>
      </c>
      <c r="AC321" s="4">
        <f t="shared" si="47"/>
        <v>1655.6399999999999</v>
      </c>
      <c r="AD321" s="1" t="s">
        <v>2013</v>
      </c>
      <c r="AE321" s="1" t="str">
        <f t="shared" si="48"/>
        <v>2014</v>
      </c>
      <c r="AF321" s="1" t="str">
        <f t="shared" si="49"/>
        <v>164973</v>
      </c>
    </row>
    <row r="322" spans="1:32" x14ac:dyDescent="0.3">
      <c r="A322" s="1">
        <v>321</v>
      </c>
      <c r="B322" s="1" t="s">
        <v>1162</v>
      </c>
      <c r="C322" s="2">
        <v>41947</v>
      </c>
      <c r="D322" s="2">
        <v>41952</v>
      </c>
      <c r="E322" s="1" t="s">
        <v>48</v>
      </c>
      <c r="F322" s="1" t="s">
        <v>1163</v>
      </c>
      <c r="G322" s="1" t="s">
        <v>1164</v>
      </c>
      <c r="H322" s="1" t="s">
        <v>100</v>
      </c>
      <c r="I322" s="1" t="s">
        <v>25</v>
      </c>
      <c r="J322" s="1" t="s">
        <v>264</v>
      </c>
      <c r="K322" s="1" t="s">
        <v>265</v>
      </c>
      <c r="L322" s="1">
        <v>10024</v>
      </c>
      <c r="M322" s="1" t="s">
        <v>146</v>
      </c>
      <c r="N322" s="1" t="s">
        <v>1169</v>
      </c>
      <c r="O322" s="1" t="s">
        <v>69</v>
      </c>
      <c r="P322" s="1" t="s">
        <v>159</v>
      </c>
      <c r="Q322" s="1" t="s">
        <v>1170</v>
      </c>
      <c r="R322" s="1">
        <v>360</v>
      </c>
      <c r="S322" s="1">
        <v>4</v>
      </c>
      <c r="T322" s="3">
        <v>0</v>
      </c>
      <c r="U322" s="4">
        <v>129.6</v>
      </c>
      <c r="V322" s="1" t="str">
        <f t="shared" ref="V322:V385" si="50">IF(ISBLANK(E322),"UNKNOWN",E322)</f>
        <v>Standard Class</v>
      </c>
      <c r="W322" s="1" t="str">
        <f t="shared" ref="W322:W385" si="51">IF(ISBLANK(H322),"UNKNOWN",H322)</f>
        <v>Home Office</v>
      </c>
      <c r="X322" s="1" t="str">
        <f t="shared" ref="X322:X385" si="52">CONCATENATE(J322," - ",K322)</f>
        <v>New York City - New York</v>
      </c>
      <c r="Y322" s="1" t="str">
        <f t="shared" ref="Y322:Y385" si="53">IF(ISBLANK(P322),"UNKNOWN",P322)</f>
        <v>Accessories</v>
      </c>
      <c r="Z322" s="1">
        <f t="shared" ref="Z322:Z385" si="54">IF(ISBLANK(R322),ROUND(AVERAGEIF($O$2:$O$600,O322,$R$2:$R$29),0),R322)</f>
        <v>360</v>
      </c>
      <c r="AA322" s="1">
        <f t="shared" ref="AA322:AA385" si="55">IF(ISBLANK(R322),ROUND(AVERAGEIF($Y$2:$Y$600,Y322,$R$2:$R$29),0),R322)</f>
        <v>360</v>
      </c>
      <c r="AB322" s="1">
        <f t="shared" ref="AB322:AB385" si="56">AA322*S322</f>
        <v>1440</v>
      </c>
      <c r="AC322" s="4">
        <f t="shared" si="47"/>
        <v>1440</v>
      </c>
      <c r="AD322" s="1" t="s">
        <v>2013</v>
      </c>
      <c r="AE322" s="1" t="str">
        <f t="shared" si="48"/>
        <v>2014</v>
      </c>
      <c r="AF322" s="1" t="str">
        <f t="shared" si="49"/>
        <v>164973</v>
      </c>
    </row>
    <row r="323" spans="1:32" x14ac:dyDescent="0.3">
      <c r="A323" s="1">
        <v>322</v>
      </c>
      <c r="B323" s="1" t="s">
        <v>1162</v>
      </c>
      <c r="C323" s="2">
        <v>41947</v>
      </c>
      <c r="D323" s="2">
        <v>41952</v>
      </c>
      <c r="E323" s="1" t="s">
        <v>48</v>
      </c>
      <c r="F323" s="1" t="s">
        <v>1163</v>
      </c>
      <c r="G323" s="1" t="s">
        <v>1164</v>
      </c>
      <c r="H323" s="1" t="s">
        <v>100</v>
      </c>
      <c r="I323" s="1" t="s">
        <v>25</v>
      </c>
      <c r="J323" s="1" t="s">
        <v>264</v>
      </c>
      <c r="K323" s="1" t="s">
        <v>265</v>
      </c>
      <c r="L323" s="1">
        <v>10024</v>
      </c>
      <c r="M323" s="1" t="s">
        <v>146</v>
      </c>
      <c r="N323" s="1" t="s">
        <v>545</v>
      </c>
      <c r="O323" s="1" t="s">
        <v>44</v>
      </c>
      <c r="P323" s="1" t="s">
        <v>57</v>
      </c>
      <c r="Q323" s="1" t="s">
        <v>546</v>
      </c>
      <c r="R323" s="1">
        <v>43.57</v>
      </c>
      <c r="S323" s="1">
        <v>1</v>
      </c>
      <c r="T323" s="3">
        <v>0</v>
      </c>
      <c r="U323" s="4">
        <v>13.071</v>
      </c>
      <c r="V323" s="1" t="str">
        <f t="shared" si="50"/>
        <v>Standard Class</v>
      </c>
      <c r="W323" s="1" t="str">
        <f t="shared" si="51"/>
        <v>Home Office</v>
      </c>
      <c r="X323" s="1" t="str">
        <f t="shared" si="52"/>
        <v>New York City - New York</v>
      </c>
      <c r="Y323" s="1" t="str">
        <f t="shared" si="53"/>
        <v>Storage</v>
      </c>
      <c r="Z323" s="1">
        <f t="shared" si="54"/>
        <v>43.57</v>
      </c>
      <c r="AA323" s="1">
        <f t="shared" si="55"/>
        <v>43.57</v>
      </c>
      <c r="AB323" s="1">
        <f t="shared" si="56"/>
        <v>43.57</v>
      </c>
      <c r="AC323" s="4">
        <f t="shared" ref="AC323:AC386" si="57">AB323*(1-T323)</f>
        <v>43.57</v>
      </c>
      <c r="AD323" s="1" t="s">
        <v>2013</v>
      </c>
      <c r="AE323" s="1" t="str">
        <f t="shared" ref="AE323:AE386" si="58">MID(B323,4,4)</f>
        <v>2014</v>
      </c>
      <c r="AF323" s="1" t="str">
        <f t="shared" ref="AF323:AF386" si="59">RIGHT(B323,6)</f>
        <v>164973</v>
      </c>
    </row>
    <row r="324" spans="1:32" x14ac:dyDescent="0.3">
      <c r="A324" s="1">
        <v>323</v>
      </c>
      <c r="B324" s="1" t="s">
        <v>1171</v>
      </c>
      <c r="C324" s="2">
        <v>41901</v>
      </c>
      <c r="D324" s="2">
        <v>41906</v>
      </c>
      <c r="E324" s="1" t="s">
        <v>48</v>
      </c>
      <c r="F324" s="1" t="s">
        <v>1172</v>
      </c>
      <c r="G324" s="1" t="s">
        <v>1173</v>
      </c>
      <c r="H324" s="1" t="s">
        <v>39</v>
      </c>
      <c r="I324" s="1" t="s">
        <v>25</v>
      </c>
      <c r="J324" s="1" t="s">
        <v>1174</v>
      </c>
      <c r="K324" s="1" t="s">
        <v>41</v>
      </c>
      <c r="L324" s="1">
        <v>90805</v>
      </c>
      <c r="M324" s="1" t="s">
        <v>42</v>
      </c>
      <c r="N324" s="1" t="s">
        <v>1175</v>
      </c>
      <c r="O324" s="1" t="s">
        <v>44</v>
      </c>
      <c r="P324" s="1" t="s">
        <v>267</v>
      </c>
      <c r="Q324" s="1" t="s">
        <v>1176</v>
      </c>
      <c r="R324" s="1">
        <v>7.16</v>
      </c>
      <c r="S324" s="1">
        <v>2</v>
      </c>
      <c r="T324" s="3">
        <v>0</v>
      </c>
      <c r="U324" s="4">
        <v>3.58</v>
      </c>
      <c r="V324" s="1" t="str">
        <f t="shared" si="50"/>
        <v>Standard Class</v>
      </c>
      <c r="W324" s="1" t="str">
        <f t="shared" si="51"/>
        <v>Corporate</v>
      </c>
      <c r="X324" s="1" t="str">
        <f t="shared" si="52"/>
        <v>Long Beach - California</v>
      </c>
      <c r="Y324" s="1" t="str">
        <f t="shared" si="53"/>
        <v>Fasteners</v>
      </c>
      <c r="Z324" s="1">
        <f t="shared" si="54"/>
        <v>7.16</v>
      </c>
      <c r="AA324" s="1">
        <f t="shared" si="55"/>
        <v>7.16</v>
      </c>
      <c r="AB324" s="1">
        <f t="shared" si="56"/>
        <v>14.32</v>
      </c>
      <c r="AC324" s="4">
        <f t="shared" si="57"/>
        <v>14.32</v>
      </c>
      <c r="AD324" s="1" t="s">
        <v>2013</v>
      </c>
      <c r="AE324" s="1" t="str">
        <f t="shared" si="58"/>
        <v>2014</v>
      </c>
      <c r="AF324" s="1" t="str">
        <f t="shared" si="59"/>
        <v>156601</v>
      </c>
    </row>
    <row r="325" spans="1:32" x14ac:dyDescent="0.3">
      <c r="A325" s="1">
        <v>324</v>
      </c>
      <c r="B325" s="1" t="s">
        <v>1177</v>
      </c>
      <c r="C325" s="2">
        <v>42483</v>
      </c>
      <c r="D325" s="2">
        <v>42487</v>
      </c>
      <c r="E325" s="1" t="s">
        <v>48</v>
      </c>
      <c r="F325" s="1" t="s">
        <v>1178</v>
      </c>
      <c r="G325" s="1" t="s">
        <v>1179</v>
      </c>
      <c r="H325" s="1" t="s">
        <v>39</v>
      </c>
      <c r="I325" s="1" t="s">
        <v>25</v>
      </c>
      <c r="J325" s="1" t="s">
        <v>1180</v>
      </c>
      <c r="K325" s="1" t="s">
        <v>41</v>
      </c>
      <c r="L325" s="1">
        <v>92345</v>
      </c>
      <c r="M325" s="1" t="s">
        <v>42</v>
      </c>
      <c r="N325" s="1" t="s">
        <v>1089</v>
      </c>
      <c r="O325" s="1" t="s">
        <v>44</v>
      </c>
      <c r="P325" s="1" t="s">
        <v>73</v>
      </c>
      <c r="Q325" s="1" t="s">
        <v>1090</v>
      </c>
      <c r="R325" s="1">
        <v>251.52</v>
      </c>
      <c r="S325" s="1">
        <v>6</v>
      </c>
      <c r="T325" s="3">
        <v>0.2</v>
      </c>
      <c r="U325" s="4">
        <v>81.744</v>
      </c>
      <c r="V325" s="1" t="str">
        <f t="shared" si="50"/>
        <v>Standard Class</v>
      </c>
      <c r="W325" s="1" t="str">
        <f t="shared" si="51"/>
        <v>Corporate</v>
      </c>
      <c r="X325" s="1" t="str">
        <f t="shared" si="52"/>
        <v>Hesperia - California</v>
      </c>
      <c r="Y325" s="1" t="str">
        <f t="shared" si="53"/>
        <v>Binders</v>
      </c>
      <c r="Z325" s="1">
        <f t="shared" si="54"/>
        <v>251.52</v>
      </c>
      <c r="AA325" s="1">
        <f t="shared" si="55"/>
        <v>251.52</v>
      </c>
      <c r="AB325" s="1">
        <f t="shared" si="56"/>
        <v>1509.1200000000001</v>
      </c>
      <c r="AC325" s="4">
        <f t="shared" si="57"/>
        <v>1207.296</v>
      </c>
      <c r="AD325" s="1" t="s">
        <v>2013</v>
      </c>
      <c r="AE325" s="1" t="str">
        <f t="shared" si="58"/>
        <v>2016</v>
      </c>
      <c r="AF325" s="1" t="str">
        <f t="shared" si="59"/>
        <v>162138</v>
      </c>
    </row>
    <row r="326" spans="1:32" x14ac:dyDescent="0.3">
      <c r="A326" s="1">
        <v>325</v>
      </c>
      <c r="B326" s="1" t="s">
        <v>1177</v>
      </c>
      <c r="C326" s="2">
        <v>42483</v>
      </c>
      <c r="D326" s="2">
        <v>42487</v>
      </c>
      <c r="E326" s="1" t="s">
        <v>48</v>
      </c>
      <c r="F326" s="1" t="s">
        <v>1178</v>
      </c>
      <c r="G326" s="1" t="s">
        <v>1179</v>
      </c>
      <c r="H326" s="1" t="s">
        <v>39</v>
      </c>
      <c r="I326" s="1" t="s">
        <v>25</v>
      </c>
      <c r="J326" s="1" t="s">
        <v>1180</v>
      </c>
      <c r="K326" s="1" t="s">
        <v>41</v>
      </c>
      <c r="L326" s="1">
        <v>92345</v>
      </c>
      <c r="M326" s="1" t="s">
        <v>42</v>
      </c>
      <c r="N326" s="1" t="s">
        <v>1181</v>
      </c>
      <c r="O326" s="1" t="s">
        <v>69</v>
      </c>
      <c r="P326" s="1" t="s">
        <v>159</v>
      </c>
      <c r="Q326" s="1" t="s">
        <v>1182</v>
      </c>
      <c r="R326" s="1">
        <v>99.99</v>
      </c>
      <c r="S326" s="1">
        <v>1</v>
      </c>
      <c r="T326" s="3">
        <v>0</v>
      </c>
      <c r="U326" s="4">
        <v>34.996499999999997</v>
      </c>
      <c r="V326" s="1" t="str">
        <f t="shared" si="50"/>
        <v>Standard Class</v>
      </c>
      <c r="W326" s="1" t="str">
        <f t="shared" si="51"/>
        <v>Corporate</v>
      </c>
      <c r="X326" s="1" t="str">
        <f t="shared" si="52"/>
        <v>Hesperia - California</v>
      </c>
      <c r="Y326" s="1" t="str">
        <f t="shared" si="53"/>
        <v>Accessories</v>
      </c>
      <c r="Z326" s="1">
        <f t="shared" si="54"/>
        <v>99.99</v>
      </c>
      <c r="AA326" s="1">
        <f t="shared" si="55"/>
        <v>99.99</v>
      </c>
      <c r="AB326" s="1">
        <f t="shared" si="56"/>
        <v>99.99</v>
      </c>
      <c r="AC326" s="4">
        <f t="shared" si="57"/>
        <v>99.99</v>
      </c>
      <c r="AD326" s="1" t="s">
        <v>2013</v>
      </c>
      <c r="AE326" s="1" t="str">
        <f t="shared" si="58"/>
        <v>2016</v>
      </c>
      <c r="AF326" s="1" t="str">
        <f t="shared" si="59"/>
        <v>162138</v>
      </c>
    </row>
    <row r="327" spans="1:32" x14ac:dyDescent="0.3">
      <c r="A327" s="1">
        <v>326</v>
      </c>
      <c r="B327" s="1" t="s">
        <v>1183</v>
      </c>
      <c r="C327" s="2">
        <v>43042</v>
      </c>
      <c r="D327" s="2">
        <v>43044</v>
      </c>
      <c r="E327" s="1" t="s">
        <v>21</v>
      </c>
      <c r="F327" s="1" t="s">
        <v>1184</v>
      </c>
      <c r="G327" s="1" t="s">
        <v>1185</v>
      </c>
      <c r="H327" s="1" t="s">
        <v>39</v>
      </c>
      <c r="I327" s="1" t="s">
        <v>25</v>
      </c>
      <c r="J327" s="1" t="s">
        <v>1186</v>
      </c>
      <c r="K327" s="1" t="s">
        <v>333</v>
      </c>
      <c r="L327" s="1">
        <v>37130</v>
      </c>
      <c r="M327" s="1" t="s">
        <v>28</v>
      </c>
      <c r="N327" s="1" t="s">
        <v>1187</v>
      </c>
      <c r="O327" s="1" t="s">
        <v>30</v>
      </c>
      <c r="P327" s="1" t="s">
        <v>63</v>
      </c>
      <c r="Q327" s="1" t="s">
        <v>1188</v>
      </c>
      <c r="R327" s="1">
        <v>15.992000000000001</v>
      </c>
      <c r="S327" s="1">
        <v>1</v>
      </c>
      <c r="T327" s="3">
        <v>0.2</v>
      </c>
      <c r="U327" s="4">
        <v>0.99950000000000006</v>
      </c>
      <c r="V327" s="1" t="str">
        <f t="shared" si="50"/>
        <v>Second Class</v>
      </c>
      <c r="W327" s="1" t="str">
        <f t="shared" si="51"/>
        <v>Corporate</v>
      </c>
      <c r="X327" s="1" t="str">
        <f t="shared" si="52"/>
        <v>Murfreesboro - Tennessee</v>
      </c>
      <c r="Y327" s="1" t="str">
        <f t="shared" si="53"/>
        <v>Furnishings</v>
      </c>
      <c r="Z327" s="1">
        <f t="shared" si="54"/>
        <v>15.992000000000001</v>
      </c>
      <c r="AA327" s="1">
        <f t="shared" si="55"/>
        <v>15.992000000000001</v>
      </c>
      <c r="AB327" s="1">
        <f t="shared" si="56"/>
        <v>15.992000000000001</v>
      </c>
      <c r="AC327" s="4">
        <f t="shared" si="57"/>
        <v>12.793600000000001</v>
      </c>
      <c r="AD327" s="1" t="s">
        <v>2013</v>
      </c>
      <c r="AE327" s="1" t="str">
        <f t="shared" si="58"/>
        <v>2017</v>
      </c>
      <c r="AF327" s="1" t="str">
        <f t="shared" si="59"/>
        <v>153339</v>
      </c>
    </row>
    <row r="328" spans="1:32" x14ac:dyDescent="0.3">
      <c r="A328" s="1">
        <v>327</v>
      </c>
      <c r="B328" s="1" t="s">
        <v>1189</v>
      </c>
      <c r="C328" s="2">
        <v>42612</v>
      </c>
      <c r="D328" s="2">
        <v>42614</v>
      </c>
      <c r="E328" s="1" t="s">
        <v>186</v>
      </c>
      <c r="F328" s="1" t="s">
        <v>1190</v>
      </c>
      <c r="G328" s="1" t="s">
        <v>1191</v>
      </c>
      <c r="H328" s="1" t="s">
        <v>24</v>
      </c>
      <c r="I328" s="1" t="s">
        <v>25</v>
      </c>
      <c r="J328" s="1" t="s">
        <v>144</v>
      </c>
      <c r="K328" s="1" t="s">
        <v>145</v>
      </c>
      <c r="L328" s="1">
        <v>19143</v>
      </c>
      <c r="M328" s="1" t="s">
        <v>146</v>
      </c>
      <c r="N328" s="1" t="s">
        <v>1192</v>
      </c>
      <c r="O328" s="1" t="s">
        <v>69</v>
      </c>
      <c r="P328" s="1" t="s">
        <v>70</v>
      </c>
      <c r="Q328" s="1" t="s">
        <v>1193</v>
      </c>
      <c r="R328" s="1">
        <v>290.89800000000002</v>
      </c>
      <c r="S328" s="1">
        <v>3</v>
      </c>
      <c r="T328" s="3">
        <v>0.4</v>
      </c>
      <c r="U328" s="4">
        <v>-67.876199999999997</v>
      </c>
      <c r="V328" s="1" t="str">
        <f t="shared" si="50"/>
        <v>First Class</v>
      </c>
      <c r="W328" s="1" t="str">
        <f t="shared" si="51"/>
        <v>Consumer</v>
      </c>
      <c r="X328" s="1" t="str">
        <f t="shared" si="52"/>
        <v>Philadelphia - Pennsylvania</v>
      </c>
      <c r="Y328" s="1" t="str">
        <f t="shared" si="53"/>
        <v>Phones</v>
      </c>
      <c r="Z328" s="1">
        <f t="shared" si="54"/>
        <v>290.89800000000002</v>
      </c>
      <c r="AA328" s="1">
        <f t="shared" si="55"/>
        <v>290.89800000000002</v>
      </c>
      <c r="AB328" s="1">
        <f t="shared" si="56"/>
        <v>872.69400000000007</v>
      </c>
      <c r="AC328" s="4">
        <f t="shared" si="57"/>
        <v>523.6164</v>
      </c>
      <c r="AD328" s="1" t="s">
        <v>2014</v>
      </c>
      <c r="AE328" s="1" t="str">
        <f t="shared" si="58"/>
        <v>2016</v>
      </c>
      <c r="AF328" s="1" t="str">
        <f t="shared" si="59"/>
        <v>141544</v>
      </c>
    </row>
    <row r="329" spans="1:32" x14ac:dyDescent="0.3">
      <c r="A329" s="1">
        <v>328</v>
      </c>
      <c r="B329" s="1" t="s">
        <v>1189</v>
      </c>
      <c r="C329" s="2">
        <v>42612</v>
      </c>
      <c r="D329" s="2">
        <v>42614</v>
      </c>
      <c r="E329" s="1" t="s">
        <v>186</v>
      </c>
      <c r="F329" s="1" t="s">
        <v>1190</v>
      </c>
      <c r="G329" s="1" t="s">
        <v>1191</v>
      </c>
      <c r="H329" s="1" t="s">
        <v>24</v>
      </c>
      <c r="I329" s="1" t="s">
        <v>25</v>
      </c>
      <c r="J329" s="1" t="s">
        <v>144</v>
      </c>
      <c r="K329" s="1" t="s">
        <v>145</v>
      </c>
      <c r="L329" s="1">
        <v>19143</v>
      </c>
      <c r="M329" s="1" t="s">
        <v>146</v>
      </c>
      <c r="N329" s="1" t="s">
        <v>1194</v>
      </c>
      <c r="O329" s="1" t="s">
        <v>44</v>
      </c>
      <c r="P329" s="1" t="s">
        <v>57</v>
      </c>
      <c r="Q329" s="1" t="s">
        <v>1195</v>
      </c>
      <c r="R329" s="1">
        <v>54.223999999999997</v>
      </c>
      <c r="S329" s="1">
        <v>2</v>
      </c>
      <c r="T329" s="3">
        <v>0.2</v>
      </c>
      <c r="U329" s="4">
        <v>3.3889999999999998</v>
      </c>
      <c r="V329" s="1" t="str">
        <f t="shared" si="50"/>
        <v>First Class</v>
      </c>
      <c r="W329" s="1" t="str">
        <f t="shared" si="51"/>
        <v>Consumer</v>
      </c>
      <c r="X329" s="1" t="str">
        <f t="shared" si="52"/>
        <v>Philadelphia - Pennsylvania</v>
      </c>
      <c r="Y329" s="1" t="str">
        <f t="shared" si="53"/>
        <v>Storage</v>
      </c>
      <c r="Z329" s="1">
        <f t="shared" si="54"/>
        <v>54.223999999999997</v>
      </c>
      <c r="AA329" s="1">
        <f t="shared" si="55"/>
        <v>54.223999999999997</v>
      </c>
      <c r="AB329" s="1">
        <f t="shared" si="56"/>
        <v>108.44799999999999</v>
      </c>
      <c r="AC329" s="4">
        <f t="shared" si="57"/>
        <v>86.758399999999995</v>
      </c>
      <c r="AD329" s="1" t="s">
        <v>2014</v>
      </c>
      <c r="AE329" s="1" t="str">
        <f t="shared" si="58"/>
        <v>2016</v>
      </c>
      <c r="AF329" s="1" t="str">
        <f t="shared" si="59"/>
        <v>141544</v>
      </c>
    </row>
    <row r="330" spans="1:32" x14ac:dyDescent="0.3">
      <c r="A330" s="1">
        <v>329</v>
      </c>
      <c r="B330" s="1" t="s">
        <v>1189</v>
      </c>
      <c r="C330" s="2">
        <v>42612</v>
      </c>
      <c r="D330" s="2">
        <v>42614</v>
      </c>
      <c r="E330" s="1" t="s">
        <v>186</v>
      </c>
      <c r="F330" s="1" t="s">
        <v>1190</v>
      </c>
      <c r="G330" s="1" t="s">
        <v>1191</v>
      </c>
      <c r="H330" s="1" t="s">
        <v>24</v>
      </c>
      <c r="I330" s="1" t="s">
        <v>25</v>
      </c>
      <c r="J330" s="1" t="s">
        <v>144</v>
      </c>
      <c r="K330" s="1" t="s">
        <v>145</v>
      </c>
      <c r="L330" s="1">
        <v>19143</v>
      </c>
      <c r="M330" s="1" t="s">
        <v>146</v>
      </c>
      <c r="N330" s="1" t="s">
        <v>1196</v>
      </c>
      <c r="O330" s="1" t="s">
        <v>30</v>
      </c>
      <c r="P330" s="1" t="s">
        <v>34</v>
      </c>
      <c r="Q330" s="1" t="s">
        <v>1197</v>
      </c>
      <c r="R330" s="1">
        <v>786.74400000000003</v>
      </c>
      <c r="S330" s="1">
        <v>4</v>
      </c>
      <c r="T330" s="3">
        <v>0.3</v>
      </c>
      <c r="U330" s="4">
        <v>-258.5016</v>
      </c>
      <c r="V330" s="1" t="str">
        <f t="shared" si="50"/>
        <v>First Class</v>
      </c>
      <c r="W330" s="1" t="str">
        <f t="shared" si="51"/>
        <v>Consumer</v>
      </c>
      <c r="X330" s="1" t="str">
        <f t="shared" si="52"/>
        <v>Philadelphia - Pennsylvania</v>
      </c>
      <c r="Y330" s="1" t="str">
        <f t="shared" si="53"/>
        <v>Chairs</v>
      </c>
      <c r="Z330" s="1">
        <f t="shared" si="54"/>
        <v>786.74400000000003</v>
      </c>
      <c r="AA330" s="1">
        <f t="shared" si="55"/>
        <v>786.74400000000003</v>
      </c>
      <c r="AB330" s="1">
        <f t="shared" si="56"/>
        <v>3146.9760000000001</v>
      </c>
      <c r="AC330" s="4">
        <f t="shared" si="57"/>
        <v>2202.8831999999998</v>
      </c>
      <c r="AD330" s="1" t="s">
        <v>2014</v>
      </c>
      <c r="AE330" s="1" t="str">
        <f t="shared" si="58"/>
        <v>2016</v>
      </c>
      <c r="AF330" s="1" t="str">
        <f t="shared" si="59"/>
        <v>141544</v>
      </c>
    </row>
    <row r="331" spans="1:32" x14ac:dyDescent="0.3">
      <c r="A331" s="1">
        <v>330</v>
      </c>
      <c r="B331" s="1" t="s">
        <v>1189</v>
      </c>
      <c r="C331" s="2">
        <v>42612</v>
      </c>
      <c r="D331" s="2">
        <v>42614</v>
      </c>
      <c r="E331" s="1" t="s">
        <v>186</v>
      </c>
      <c r="F331" s="1" t="s">
        <v>1190</v>
      </c>
      <c r="G331" s="1" t="s">
        <v>1191</v>
      </c>
      <c r="H331" s="1" t="s">
        <v>24</v>
      </c>
      <c r="I331" s="1" t="s">
        <v>25</v>
      </c>
      <c r="J331" s="1" t="s">
        <v>144</v>
      </c>
      <c r="K331" s="1" t="s">
        <v>145</v>
      </c>
      <c r="L331" s="1">
        <v>19143</v>
      </c>
      <c r="M331" s="1" t="s">
        <v>146</v>
      </c>
      <c r="N331" s="1" t="s">
        <v>1198</v>
      </c>
      <c r="O331" s="1" t="s">
        <v>44</v>
      </c>
      <c r="P331" s="1" t="s">
        <v>45</v>
      </c>
      <c r="Q331" s="1" t="s">
        <v>1199</v>
      </c>
      <c r="R331" s="1">
        <v>100.24</v>
      </c>
      <c r="S331" s="1">
        <v>10</v>
      </c>
      <c r="T331" s="3">
        <v>0.2</v>
      </c>
      <c r="U331" s="4">
        <v>33.831000000000003</v>
      </c>
      <c r="V331" s="1" t="str">
        <f t="shared" si="50"/>
        <v>First Class</v>
      </c>
      <c r="W331" s="1" t="str">
        <f t="shared" si="51"/>
        <v>Consumer</v>
      </c>
      <c r="X331" s="1" t="str">
        <f t="shared" si="52"/>
        <v>Philadelphia - Pennsylvania</v>
      </c>
      <c r="Y331" s="1" t="str">
        <f t="shared" si="53"/>
        <v>Labels</v>
      </c>
      <c r="Z331" s="1">
        <f t="shared" si="54"/>
        <v>100.24</v>
      </c>
      <c r="AA331" s="1">
        <f t="shared" si="55"/>
        <v>100.24</v>
      </c>
      <c r="AB331" s="1">
        <f t="shared" si="56"/>
        <v>1002.4</v>
      </c>
      <c r="AC331" s="4">
        <f t="shared" si="57"/>
        <v>801.92000000000007</v>
      </c>
      <c r="AD331" s="1" t="s">
        <v>2014</v>
      </c>
      <c r="AE331" s="1" t="str">
        <f t="shared" si="58"/>
        <v>2016</v>
      </c>
      <c r="AF331" s="1" t="str">
        <f t="shared" si="59"/>
        <v>141544</v>
      </c>
    </row>
    <row r="332" spans="1:32" x14ac:dyDescent="0.3">
      <c r="A332" s="1">
        <v>331</v>
      </c>
      <c r="B332" s="1" t="s">
        <v>1189</v>
      </c>
      <c r="C332" s="2">
        <v>42612</v>
      </c>
      <c r="D332" s="2">
        <v>42614</v>
      </c>
      <c r="E332" s="1" t="s">
        <v>186</v>
      </c>
      <c r="F332" s="1" t="s">
        <v>1190</v>
      </c>
      <c r="G332" s="1" t="s">
        <v>1191</v>
      </c>
      <c r="H332" s="1" t="s">
        <v>24</v>
      </c>
      <c r="I332" s="1" t="s">
        <v>25</v>
      </c>
      <c r="J332" s="1" t="s">
        <v>144</v>
      </c>
      <c r="K332" s="1" t="s">
        <v>145</v>
      </c>
      <c r="L332" s="1">
        <v>19143</v>
      </c>
      <c r="M332" s="1" t="s">
        <v>146</v>
      </c>
      <c r="N332" s="1" t="s">
        <v>1200</v>
      </c>
      <c r="O332" s="1" t="s">
        <v>44</v>
      </c>
      <c r="P332" s="1" t="s">
        <v>73</v>
      </c>
      <c r="Q332" s="1" t="s">
        <v>1201</v>
      </c>
      <c r="R332" s="1">
        <v>37.764000000000003</v>
      </c>
      <c r="S332" s="1">
        <v>6</v>
      </c>
      <c r="T332" s="3">
        <v>0.7</v>
      </c>
      <c r="U332" s="4">
        <v>-27.6936</v>
      </c>
      <c r="V332" s="1" t="str">
        <f t="shared" si="50"/>
        <v>First Class</v>
      </c>
      <c r="W332" s="1" t="str">
        <f t="shared" si="51"/>
        <v>Consumer</v>
      </c>
      <c r="X332" s="1" t="str">
        <f t="shared" si="52"/>
        <v>Philadelphia - Pennsylvania</v>
      </c>
      <c r="Y332" s="1" t="str">
        <f t="shared" si="53"/>
        <v>Binders</v>
      </c>
      <c r="Z332" s="1">
        <f t="shared" si="54"/>
        <v>37.764000000000003</v>
      </c>
      <c r="AA332" s="1">
        <f t="shared" si="55"/>
        <v>37.764000000000003</v>
      </c>
      <c r="AB332" s="1">
        <f t="shared" si="56"/>
        <v>226.584</v>
      </c>
      <c r="AC332" s="4">
        <f t="shared" si="57"/>
        <v>67.975200000000015</v>
      </c>
      <c r="AD332" s="1" t="s">
        <v>2014</v>
      </c>
      <c r="AE332" s="1" t="str">
        <f t="shared" si="58"/>
        <v>2016</v>
      </c>
      <c r="AF332" s="1" t="str">
        <f t="shared" si="59"/>
        <v>141544</v>
      </c>
    </row>
    <row r="333" spans="1:32" x14ac:dyDescent="0.3">
      <c r="A333" s="1">
        <v>332</v>
      </c>
      <c r="B333" s="1" t="s">
        <v>1202</v>
      </c>
      <c r="C333" s="2">
        <v>42485</v>
      </c>
      <c r="D333" s="2">
        <v>42489</v>
      </c>
      <c r="E333" s="1" t="s">
        <v>21</v>
      </c>
      <c r="F333" s="1" t="s">
        <v>1203</v>
      </c>
      <c r="G333" s="1" t="s">
        <v>1204</v>
      </c>
      <c r="H333" s="1" t="s">
        <v>24</v>
      </c>
      <c r="I333" s="1" t="s">
        <v>25</v>
      </c>
      <c r="J333" s="1" t="s">
        <v>144</v>
      </c>
      <c r="K333" s="1" t="s">
        <v>145</v>
      </c>
      <c r="L333" s="1">
        <v>19134</v>
      </c>
      <c r="M333" s="1" t="s">
        <v>146</v>
      </c>
      <c r="N333" s="1" t="s">
        <v>1205</v>
      </c>
      <c r="O333" s="1" t="s">
        <v>69</v>
      </c>
      <c r="P333" s="1" t="s">
        <v>70</v>
      </c>
      <c r="Q333" s="1" t="s">
        <v>1206</v>
      </c>
      <c r="R333" s="1">
        <v>82.8</v>
      </c>
      <c r="S333" s="1">
        <v>2</v>
      </c>
      <c r="T333" s="3">
        <v>0.4</v>
      </c>
      <c r="U333" s="4">
        <v>-20.7</v>
      </c>
      <c r="V333" s="1" t="str">
        <f t="shared" si="50"/>
        <v>Second Class</v>
      </c>
      <c r="W333" s="1" t="str">
        <f t="shared" si="51"/>
        <v>Consumer</v>
      </c>
      <c r="X333" s="1" t="str">
        <f t="shared" si="52"/>
        <v>Philadelphia - Pennsylvania</v>
      </c>
      <c r="Y333" s="1" t="str">
        <f t="shared" si="53"/>
        <v>Phones</v>
      </c>
      <c r="Z333" s="1">
        <f t="shared" si="54"/>
        <v>82.8</v>
      </c>
      <c r="AA333" s="1">
        <f t="shared" si="55"/>
        <v>82.8</v>
      </c>
      <c r="AB333" s="1">
        <f t="shared" si="56"/>
        <v>165.6</v>
      </c>
      <c r="AC333" s="4">
        <f t="shared" si="57"/>
        <v>99.36</v>
      </c>
      <c r="AD333" s="1" t="s">
        <v>2014</v>
      </c>
      <c r="AE333" s="1" t="str">
        <f t="shared" si="58"/>
        <v>2016</v>
      </c>
      <c r="AF333" s="1" t="str">
        <f t="shared" si="59"/>
        <v>150147</v>
      </c>
    </row>
    <row r="334" spans="1:32" x14ac:dyDescent="0.3">
      <c r="A334" s="1">
        <v>333</v>
      </c>
      <c r="B334" s="1" t="s">
        <v>1202</v>
      </c>
      <c r="C334" s="2">
        <v>42485</v>
      </c>
      <c r="D334" s="2">
        <v>42489</v>
      </c>
      <c r="E334" s="1" t="s">
        <v>21</v>
      </c>
      <c r="F334" s="1" t="s">
        <v>1203</v>
      </c>
      <c r="G334" s="1" t="s">
        <v>1204</v>
      </c>
      <c r="H334" s="1" t="s">
        <v>24</v>
      </c>
      <c r="I334" s="1" t="s">
        <v>25</v>
      </c>
      <c r="J334" s="1" t="s">
        <v>144</v>
      </c>
      <c r="K334" s="1" t="s">
        <v>145</v>
      </c>
      <c r="L334" s="1">
        <v>19134</v>
      </c>
      <c r="M334" s="1" t="s">
        <v>146</v>
      </c>
      <c r="N334" s="1" t="s">
        <v>1207</v>
      </c>
      <c r="O334" s="1" t="s">
        <v>44</v>
      </c>
      <c r="P334" s="1" t="s">
        <v>73</v>
      </c>
      <c r="Q334" s="1" t="s">
        <v>1208</v>
      </c>
      <c r="R334" s="1">
        <v>20.724</v>
      </c>
      <c r="S334" s="1">
        <v>2</v>
      </c>
      <c r="T334" s="3">
        <v>0.7</v>
      </c>
      <c r="U334" s="4">
        <v>-13.816000000000001</v>
      </c>
      <c r="V334" s="1" t="str">
        <f t="shared" si="50"/>
        <v>Second Class</v>
      </c>
      <c r="W334" s="1" t="str">
        <f t="shared" si="51"/>
        <v>Consumer</v>
      </c>
      <c r="X334" s="1" t="str">
        <f t="shared" si="52"/>
        <v>Philadelphia - Pennsylvania</v>
      </c>
      <c r="Y334" s="1" t="str">
        <f t="shared" si="53"/>
        <v>Binders</v>
      </c>
      <c r="Z334" s="1">
        <f t="shared" si="54"/>
        <v>20.724</v>
      </c>
      <c r="AA334" s="1">
        <f t="shared" si="55"/>
        <v>20.724</v>
      </c>
      <c r="AB334" s="1">
        <f t="shared" si="56"/>
        <v>41.448</v>
      </c>
      <c r="AC334" s="4">
        <f t="shared" si="57"/>
        <v>12.434400000000002</v>
      </c>
      <c r="AD334" s="1" t="s">
        <v>2014</v>
      </c>
      <c r="AE334" s="1" t="str">
        <f t="shared" si="58"/>
        <v>2016</v>
      </c>
      <c r="AF334" s="1" t="str">
        <f t="shared" si="59"/>
        <v>150147</v>
      </c>
    </row>
    <row r="335" spans="1:32" x14ac:dyDescent="0.3">
      <c r="A335" s="1">
        <v>334</v>
      </c>
      <c r="B335" s="1" t="s">
        <v>1202</v>
      </c>
      <c r="C335" s="2">
        <v>42485</v>
      </c>
      <c r="D335" s="2">
        <v>42489</v>
      </c>
      <c r="E335" s="1" t="s">
        <v>21</v>
      </c>
      <c r="F335" s="1" t="s">
        <v>1203</v>
      </c>
      <c r="G335" s="1" t="s">
        <v>1204</v>
      </c>
      <c r="H335" s="1" t="s">
        <v>24</v>
      </c>
      <c r="I335" s="1" t="s">
        <v>25</v>
      </c>
      <c r="J335" s="1" t="s">
        <v>144</v>
      </c>
      <c r="K335" s="1" t="s">
        <v>145</v>
      </c>
      <c r="L335" s="1">
        <v>19134</v>
      </c>
      <c r="M335" s="1" t="s">
        <v>146</v>
      </c>
      <c r="N335" s="1" t="s">
        <v>1209</v>
      </c>
      <c r="O335" s="1" t="s">
        <v>44</v>
      </c>
      <c r="P335" s="1" t="s">
        <v>73</v>
      </c>
      <c r="Q335" s="1" t="s">
        <v>1210</v>
      </c>
      <c r="R335" s="1">
        <v>4.8959999999999999</v>
      </c>
      <c r="S335" s="1">
        <v>3</v>
      </c>
      <c r="T335" s="3">
        <v>0.7</v>
      </c>
      <c r="U335" s="4">
        <v>-3.4272</v>
      </c>
      <c r="V335" s="1" t="str">
        <f t="shared" si="50"/>
        <v>Second Class</v>
      </c>
      <c r="W335" s="1" t="str">
        <f t="shared" si="51"/>
        <v>Consumer</v>
      </c>
      <c r="X335" s="1" t="str">
        <f t="shared" si="52"/>
        <v>Philadelphia - Pennsylvania</v>
      </c>
      <c r="Y335" s="1" t="str">
        <f t="shared" si="53"/>
        <v>Binders</v>
      </c>
      <c r="Z335" s="1">
        <f t="shared" si="54"/>
        <v>4.8959999999999999</v>
      </c>
      <c r="AA335" s="1">
        <f t="shared" si="55"/>
        <v>4.8959999999999999</v>
      </c>
      <c r="AB335" s="1">
        <f t="shared" si="56"/>
        <v>14.687999999999999</v>
      </c>
      <c r="AC335" s="4">
        <f t="shared" si="57"/>
        <v>4.4064000000000005</v>
      </c>
      <c r="AD335" s="1" t="s">
        <v>2014</v>
      </c>
      <c r="AE335" s="1" t="str">
        <f t="shared" si="58"/>
        <v>2016</v>
      </c>
      <c r="AF335" s="1" t="str">
        <f t="shared" si="59"/>
        <v>150147</v>
      </c>
    </row>
    <row r="336" spans="1:32" x14ac:dyDescent="0.3">
      <c r="A336" s="1">
        <v>335</v>
      </c>
      <c r="B336" s="1" t="s">
        <v>1211</v>
      </c>
      <c r="C336" s="2">
        <v>42248</v>
      </c>
      <c r="D336" s="2">
        <v>42251</v>
      </c>
      <c r="E336" s="1" t="s">
        <v>21</v>
      </c>
      <c r="F336" s="1" t="s">
        <v>1212</v>
      </c>
      <c r="G336" s="1" t="s">
        <v>1213</v>
      </c>
      <c r="H336" s="1" t="s">
        <v>24</v>
      </c>
      <c r="I336" s="1" t="s">
        <v>25</v>
      </c>
      <c r="J336" s="1" t="s">
        <v>40</v>
      </c>
      <c r="K336" s="1" t="s">
        <v>41</v>
      </c>
      <c r="L336" s="1">
        <v>90045</v>
      </c>
      <c r="M336" s="1" t="s">
        <v>42</v>
      </c>
      <c r="N336" s="1" t="s">
        <v>1214</v>
      </c>
      <c r="O336" s="1" t="s">
        <v>44</v>
      </c>
      <c r="P336" s="1" t="s">
        <v>73</v>
      </c>
      <c r="Q336" s="1" t="s">
        <v>1215</v>
      </c>
      <c r="R336" s="1">
        <v>4.7519999999999998</v>
      </c>
      <c r="S336" s="1">
        <v>1</v>
      </c>
      <c r="T336" s="3">
        <v>0.2</v>
      </c>
      <c r="U336" s="4">
        <v>1.6037999999999999</v>
      </c>
      <c r="V336" s="1" t="str">
        <f t="shared" si="50"/>
        <v>Second Class</v>
      </c>
      <c r="W336" s="1" t="str">
        <f t="shared" si="51"/>
        <v>Consumer</v>
      </c>
      <c r="X336" s="1" t="str">
        <f t="shared" si="52"/>
        <v>Los Angeles - California</v>
      </c>
      <c r="Y336" s="1" t="str">
        <f t="shared" si="53"/>
        <v>Binders</v>
      </c>
      <c r="Z336" s="1">
        <f t="shared" si="54"/>
        <v>4.7519999999999998</v>
      </c>
      <c r="AA336" s="1">
        <f t="shared" si="55"/>
        <v>4.7519999999999998</v>
      </c>
      <c r="AB336" s="1">
        <f t="shared" si="56"/>
        <v>4.7519999999999998</v>
      </c>
      <c r="AC336" s="4">
        <f t="shared" si="57"/>
        <v>3.8016000000000001</v>
      </c>
      <c r="AD336" s="1" t="s">
        <v>2013</v>
      </c>
      <c r="AE336" s="1" t="str">
        <f t="shared" si="58"/>
        <v>2015</v>
      </c>
      <c r="AF336" s="1" t="str">
        <f t="shared" si="59"/>
        <v>137946</v>
      </c>
    </row>
    <row r="337" spans="1:32" x14ac:dyDescent="0.3">
      <c r="A337" s="1">
        <v>336</v>
      </c>
      <c r="B337" s="1" t="s">
        <v>1211</v>
      </c>
      <c r="C337" s="2">
        <v>42248</v>
      </c>
      <c r="D337" s="2">
        <v>42251</v>
      </c>
      <c r="E337" s="1" t="s">
        <v>21</v>
      </c>
      <c r="F337" s="1" t="s">
        <v>1212</v>
      </c>
      <c r="G337" s="1" t="s">
        <v>1213</v>
      </c>
      <c r="H337" s="1" t="s">
        <v>24</v>
      </c>
      <c r="I337" s="1" t="s">
        <v>25</v>
      </c>
      <c r="J337" s="1" t="s">
        <v>40</v>
      </c>
      <c r="K337" s="1" t="s">
        <v>41</v>
      </c>
      <c r="L337" s="1">
        <v>90045</v>
      </c>
      <c r="M337" s="1" t="s">
        <v>42</v>
      </c>
      <c r="N337" s="1" t="s">
        <v>1216</v>
      </c>
      <c r="O337" s="1" t="s">
        <v>69</v>
      </c>
      <c r="P337" s="1" t="s">
        <v>1217</v>
      </c>
      <c r="Q337" s="1" t="s">
        <v>1218</v>
      </c>
      <c r="R337" s="1">
        <v>959.98400000000004</v>
      </c>
      <c r="S337" s="1">
        <v>2</v>
      </c>
      <c r="T337" s="3">
        <v>0.2</v>
      </c>
      <c r="U337" s="4">
        <v>335.99439999999998</v>
      </c>
      <c r="V337" s="1" t="str">
        <f t="shared" si="50"/>
        <v>Second Class</v>
      </c>
      <c r="W337" s="1" t="str">
        <f t="shared" si="51"/>
        <v>Consumer</v>
      </c>
      <c r="X337" s="1" t="str">
        <f t="shared" si="52"/>
        <v>Los Angeles - California</v>
      </c>
      <c r="Y337" s="1" t="str">
        <f t="shared" si="53"/>
        <v>Copiers</v>
      </c>
      <c r="Z337" s="1">
        <f t="shared" si="54"/>
        <v>959.98400000000004</v>
      </c>
      <c r="AA337" s="1">
        <f t="shared" si="55"/>
        <v>959.98400000000004</v>
      </c>
      <c r="AB337" s="1">
        <f t="shared" si="56"/>
        <v>1919.9680000000001</v>
      </c>
      <c r="AC337" s="4">
        <f t="shared" si="57"/>
        <v>1535.9744000000001</v>
      </c>
      <c r="AD337" s="1" t="s">
        <v>2013</v>
      </c>
      <c r="AE337" s="1" t="str">
        <f t="shared" si="58"/>
        <v>2015</v>
      </c>
      <c r="AF337" s="1" t="str">
        <f t="shared" si="59"/>
        <v>137946</v>
      </c>
    </row>
    <row r="338" spans="1:32" x14ac:dyDescent="0.3">
      <c r="A338" s="1">
        <v>337</v>
      </c>
      <c r="B338" s="1" t="s">
        <v>1211</v>
      </c>
      <c r="C338" s="2">
        <v>42248</v>
      </c>
      <c r="D338" s="2">
        <v>42251</v>
      </c>
      <c r="E338" s="1" t="s">
        <v>21</v>
      </c>
      <c r="F338" s="1" t="s">
        <v>1212</v>
      </c>
      <c r="G338" s="1" t="s">
        <v>1213</v>
      </c>
      <c r="H338" s="1" t="s">
        <v>24</v>
      </c>
      <c r="I338" s="1" t="s">
        <v>25</v>
      </c>
      <c r="J338" s="1" t="s">
        <v>40</v>
      </c>
      <c r="K338" s="1" t="s">
        <v>41</v>
      </c>
      <c r="L338" s="1">
        <v>90045</v>
      </c>
      <c r="M338" s="1" t="s">
        <v>42</v>
      </c>
      <c r="N338" s="1" t="s">
        <v>1219</v>
      </c>
      <c r="O338" s="1" t="s">
        <v>44</v>
      </c>
      <c r="P338" s="1" t="s">
        <v>73</v>
      </c>
      <c r="Q338" s="1" t="s">
        <v>1220</v>
      </c>
      <c r="R338" s="1">
        <v>14.368</v>
      </c>
      <c r="S338" s="1">
        <v>4</v>
      </c>
      <c r="T338" s="3">
        <v>0.2</v>
      </c>
      <c r="U338" s="4">
        <v>4.49</v>
      </c>
      <c r="V338" s="1" t="str">
        <f t="shared" si="50"/>
        <v>Second Class</v>
      </c>
      <c r="W338" s="1" t="str">
        <f t="shared" si="51"/>
        <v>Consumer</v>
      </c>
      <c r="X338" s="1" t="str">
        <f t="shared" si="52"/>
        <v>Los Angeles - California</v>
      </c>
      <c r="Y338" s="1" t="str">
        <f t="shared" si="53"/>
        <v>Binders</v>
      </c>
      <c r="Z338" s="1">
        <f t="shared" si="54"/>
        <v>14.368</v>
      </c>
      <c r="AA338" s="1">
        <f t="shared" si="55"/>
        <v>14.368</v>
      </c>
      <c r="AB338" s="1">
        <f t="shared" si="56"/>
        <v>57.472000000000001</v>
      </c>
      <c r="AC338" s="4">
        <f t="shared" si="57"/>
        <v>45.977600000000002</v>
      </c>
      <c r="AD338" s="1" t="s">
        <v>2013</v>
      </c>
      <c r="AE338" s="1" t="str">
        <f t="shared" si="58"/>
        <v>2015</v>
      </c>
      <c r="AF338" s="1" t="str">
        <f t="shared" si="59"/>
        <v>137946</v>
      </c>
    </row>
    <row r="339" spans="1:32" x14ac:dyDescent="0.3">
      <c r="A339" s="1">
        <v>338</v>
      </c>
      <c r="B339" s="1" t="s">
        <v>1221</v>
      </c>
      <c r="C339" s="2">
        <v>41832</v>
      </c>
      <c r="D339" s="2">
        <v>41837</v>
      </c>
      <c r="E339" s="1" t="s">
        <v>48</v>
      </c>
      <c r="F339" s="1" t="s">
        <v>1222</v>
      </c>
      <c r="G339" s="1" t="s">
        <v>1223</v>
      </c>
      <c r="H339" s="1" t="s">
        <v>39</v>
      </c>
      <c r="I339" s="1" t="s">
        <v>25</v>
      </c>
      <c r="J339" s="1" t="s">
        <v>125</v>
      </c>
      <c r="K339" s="1" t="s">
        <v>41</v>
      </c>
      <c r="L339" s="1">
        <v>94122</v>
      </c>
      <c r="M339" s="1" t="s">
        <v>42</v>
      </c>
      <c r="N339" s="1" t="s">
        <v>1224</v>
      </c>
      <c r="O339" s="1" t="s">
        <v>44</v>
      </c>
      <c r="P339" s="1" t="s">
        <v>73</v>
      </c>
      <c r="Q339" s="1" t="s">
        <v>1225</v>
      </c>
      <c r="R339" s="1">
        <v>7.7119999999999997</v>
      </c>
      <c r="S339" s="1">
        <v>2</v>
      </c>
      <c r="T339" s="3">
        <v>0.2</v>
      </c>
      <c r="U339" s="4">
        <v>2.7955999999999999</v>
      </c>
      <c r="V339" s="1" t="str">
        <f t="shared" si="50"/>
        <v>Standard Class</v>
      </c>
      <c r="W339" s="1" t="str">
        <f t="shared" si="51"/>
        <v>Corporate</v>
      </c>
      <c r="X339" s="1" t="str">
        <f t="shared" si="52"/>
        <v>San Francisco - California</v>
      </c>
      <c r="Y339" s="1" t="str">
        <f t="shared" si="53"/>
        <v>Binders</v>
      </c>
      <c r="Z339" s="1">
        <f t="shared" si="54"/>
        <v>7.7119999999999997</v>
      </c>
      <c r="AA339" s="1">
        <f t="shared" si="55"/>
        <v>7.7119999999999997</v>
      </c>
      <c r="AB339" s="1">
        <f t="shared" si="56"/>
        <v>15.423999999999999</v>
      </c>
      <c r="AC339" s="4">
        <f t="shared" si="57"/>
        <v>12.3392</v>
      </c>
      <c r="AD339" s="1" t="s">
        <v>2013</v>
      </c>
      <c r="AE339" s="1" t="str">
        <f t="shared" si="58"/>
        <v>2014</v>
      </c>
      <c r="AF339" s="1" t="str">
        <f t="shared" si="59"/>
        <v>129924</v>
      </c>
    </row>
    <row r="340" spans="1:32" x14ac:dyDescent="0.3">
      <c r="A340" s="1">
        <v>339</v>
      </c>
      <c r="B340" s="1" t="s">
        <v>1221</v>
      </c>
      <c r="C340" s="2">
        <v>41832</v>
      </c>
      <c r="D340" s="2">
        <v>41837</v>
      </c>
      <c r="E340" s="1" t="s">
        <v>48</v>
      </c>
      <c r="F340" s="1" t="s">
        <v>1222</v>
      </c>
      <c r="G340" s="1" t="s">
        <v>1223</v>
      </c>
      <c r="H340" s="1" t="s">
        <v>39</v>
      </c>
      <c r="I340" s="1" t="s">
        <v>25</v>
      </c>
      <c r="J340" s="1" t="s">
        <v>125</v>
      </c>
      <c r="K340" s="1" t="s">
        <v>41</v>
      </c>
      <c r="L340" s="1">
        <v>94122</v>
      </c>
      <c r="M340" s="1" t="s">
        <v>42</v>
      </c>
      <c r="N340" s="1" t="s">
        <v>1226</v>
      </c>
      <c r="O340" s="1" t="s">
        <v>30</v>
      </c>
      <c r="P340" s="1" t="s">
        <v>54</v>
      </c>
      <c r="Q340" s="1" t="s">
        <v>1227</v>
      </c>
      <c r="R340" s="1">
        <v>698.35199999999998</v>
      </c>
      <c r="S340" s="1">
        <v>3</v>
      </c>
      <c r="T340" s="3">
        <v>0.2</v>
      </c>
      <c r="U340" s="4">
        <v>-17.4588</v>
      </c>
      <c r="V340" s="1" t="str">
        <f t="shared" si="50"/>
        <v>Standard Class</v>
      </c>
      <c r="W340" s="1" t="str">
        <f t="shared" si="51"/>
        <v>Corporate</v>
      </c>
      <c r="X340" s="1" t="str">
        <f t="shared" si="52"/>
        <v>San Francisco - California</v>
      </c>
      <c r="Y340" s="1" t="str">
        <f t="shared" si="53"/>
        <v>Tables</v>
      </c>
      <c r="Z340" s="1">
        <f t="shared" si="54"/>
        <v>698.35199999999998</v>
      </c>
      <c r="AA340" s="1">
        <f t="shared" si="55"/>
        <v>698.35199999999998</v>
      </c>
      <c r="AB340" s="1">
        <f t="shared" si="56"/>
        <v>2095.056</v>
      </c>
      <c r="AC340" s="4">
        <f t="shared" si="57"/>
        <v>1676.0448000000001</v>
      </c>
      <c r="AD340" s="1" t="s">
        <v>2013</v>
      </c>
      <c r="AE340" s="1" t="str">
        <f t="shared" si="58"/>
        <v>2014</v>
      </c>
      <c r="AF340" s="1" t="str">
        <f t="shared" si="59"/>
        <v>129924</v>
      </c>
    </row>
    <row r="341" spans="1:32" x14ac:dyDescent="0.3">
      <c r="A341" s="1">
        <v>340</v>
      </c>
      <c r="B341" s="1" t="s">
        <v>1228</v>
      </c>
      <c r="C341" s="2">
        <v>42177</v>
      </c>
      <c r="D341" s="2">
        <v>42181</v>
      </c>
      <c r="E341" s="1" t="s">
        <v>21</v>
      </c>
      <c r="F341" s="1" t="s">
        <v>916</v>
      </c>
      <c r="G341" s="1" t="s">
        <v>917</v>
      </c>
      <c r="H341" s="1" t="s">
        <v>24</v>
      </c>
      <c r="I341" s="1" t="s">
        <v>25</v>
      </c>
      <c r="J341" s="1" t="s">
        <v>1229</v>
      </c>
      <c r="K341" s="1" t="s">
        <v>119</v>
      </c>
      <c r="L341" s="1">
        <v>84041</v>
      </c>
      <c r="M341" s="1" t="s">
        <v>42</v>
      </c>
      <c r="N341" s="1" t="s">
        <v>1230</v>
      </c>
      <c r="O341" s="1" t="s">
        <v>44</v>
      </c>
      <c r="P341" s="1" t="s">
        <v>267</v>
      </c>
      <c r="Q341" s="1" t="s">
        <v>1231</v>
      </c>
      <c r="R341" s="1">
        <v>4.96</v>
      </c>
      <c r="S341" s="1">
        <v>4</v>
      </c>
      <c r="T341" s="3">
        <v>0</v>
      </c>
      <c r="U341" s="4">
        <v>2.3311999999999999</v>
      </c>
      <c r="V341" s="1" t="str">
        <f t="shared" si="50"/>
        <v>Second Class</v>
      </c>
      <c r="W341" s="1" t="str">
        <f t="shared" si="51"/>
        <v>Consumer</v>
      </c>
      <c r="X341" s="1" t="str">
        <f t="shared" si="52"/>
        <v>Layton - Utah</v>
      </c>
      <c r="Y341" s="1" t="str">
        <f t="shared" si="53"/>
        <v>Fasteners</v>
      </c>
      <c r="Z341" s="1">
        <f t="shared" si="54"/>
        <v>4.96</v>
      </c>
      <c r="AA341" s="1">
        <f t="shared" si="55"/>
        <v>4.96</v>
      </c>
      <c r="AB341" s="1">
        <f t="shared" si="56"/>
        <v>19.84</v>
      </c>
      <c r="AC341" s="4">
        <f t="shared" si="57"/>
        <v>19.84</v>
      </c>
      <c r="AD341" s="1" t="s">
        <v>2013</v>
      </c>
      <c r="AE341" s="1" t="str">
        <f t="shared" si="58"/>
        <v>2015</v>
      </c>
      <c r="AF341" s="1" t="str">
        <f t="shared" si="59"/>
        <v>128167</v>
      </c>
    </row>
    <row r="342" spans="1:32" x14ac:dyDescent="0.3">
      <c r="A342" s="1">
        <v>341</v>
      </c>
      <c r="B342" s="1" t="s">
        <v>1232</v>
      </c>
      <c r="C342" s="2">
        <v>41742</v>
      </c>
      <c r="D342" s="2">
        <v>41746</v>
      </c>
      <c r="E342" s="1" t="s">
        <v>21</v>
      </c>
      <c r="F342" s="1" t="s">
        <v>580</v>
      </c>
      <c r="G342" s="1" t="s">
        <v>581</v>
      </c>
      <c r="H342" s="1" t="s">
        <v>39</v>
      </c>
      <c r="I342" s="1" t="s">
        <v>25</v>
      </c>
      <c r="J342" s="1" t="s">
        <v>144</v>
      </c>
      <c r="K342" s="1" t="s">
        <v>145</v>
      </c>
      <c r="L342" s="1">
        <v>19140</v>
      </c>
      <c r="M342" s="1" t="s">
        <v>146</v>
      </c>
      <c r="N342" s="1" t="s">
        <v>1233</v>
      </c>
      <c r="O342" s="1" t="s">
        <v>44</v>
      </c>
      <c r="P342" s="1" t="s">
        <v>66</v>
      </c>
      <c r="Q342" s="1" t="s">
        <v>1234</v>
      </c>
      <c r="R342" s="1">
        <v>17.856000000000002</v>
      </c>
      <c r="S342" s="1">
        <v>4</v>
      </c>
      <c r="T342" s="3">
        <v>0.2</v>
      </c>
      <c r="U342" s="4">
        <v>1.1160000000000001</v>
      </c>
      <c r="V342" s="1" t="str">
        <f t="shared" si="50"/>
        <v>Second Class</v>
      </c>
      <c r="W342" s="1" t="str">
        <f t="shared" si="51"/>
        <v>Corporate</v>
      </c>
      <c r="X342" s="1" t="str">
        <f t="shared" si="52"/>
        <v>Philadelphia - Pennsylvania</v>
      </c>
      <c r="Y342" s="1" t="str">
        <f t="shared" si="53"/>
        <v>Art</v>
      </c>
      <c r="Z342" s="1">
        <f t="shared" si="54"/>
        <v>17.856000000000002</v>
      </c>
      <c r="AA342" s="1">
        <f t="shared" si="55"/>
        <v>17.856000000000002</v>
      </c>
      <c r="AB342" s="1">
        <f t="shared" si="56"/>
        <v>71.424000000000007</v>
      </c>
      <c r="AC342" s="4">
        <f t="shared" si="57"/>
        <v>57.13920000000001</v>
      </c>
      <c r="AD342" s="1" t="s">
        <v>2013</v>
      </c>
      <c r="AE342" s="1" t="str">
        <f t="shared" si="58"/>
        <v>2014</v>
      </c>
      <c r="AF342" s="1" t="str">
        <f t="shared" si="59"/>
        <v>122336</v>
      </c>
    </row>
    <row r="343" spans="1:32" x14ac:dyDescent="0.3">
      <c r="A343" s="1">
        <v>342</v>
      </c>
      <c r="B343" s="1" t="s">
        <v>1232</v>
      </c>
      <c r="C343" s="2">
        <v>41742</v>
      </c>
      <c r="D343" s="2">
        <v>41746</v>
      </c>
      <c r="E343" s="1" t="s">
        <v>21</v>
      </c>
      <c r="F343" s="1" t="s">
        <v>580</v>
      </c>
      <c r="G343" s="1" t="s">
        <v>581</v>
      </c>
      <c r="H343" s="1" t="s">
        <v>39</v>
      </c>
      <c r="I343" s="1" t="s">
        <v>25</v>
      </c>
      <c r="J343" s="1" t="s">
        <v>144</v>
      </c>
      <c r="K343" s="1" t="s">
        <v>145</v>
      </c>
      <c r="L343" s="1">
        <v>19140</v>
      </c>
      <c r="M343" s="1" t="s">
        <v>146</v>
      </c>
      <c r="N343" s="1" t="s">
        <v>95</v>
      </c>
      <c r="O343" s="1" t="s">
        <v>44</v>
      </c>
      <c r="P343" s="1" t="s">
        <v>73</v>
      </c>
      <c r="Q343" s="1" t="s">
        <v>96</v>
      </c>
      <c r="R343" s="1">
        <v>509.97</v>
      </c>
      <c r="S343" s="1">
        <v>10</v>
      </c>
      <c r="T343" s="3">
        <v>0.7</v>
      </c>
      <c r="U343" s="4">
        <v>-407.976</v>
      </c>
      <c r="V343" s="1" t="str">
        <f t="shared" si="50"/>
        <v>Second Class</v>
      </c>
      <c r="W343" s="1" t="str">
        <f t="shared" si="51"/>
        <v>Corporate</v>
      </c>
      <c r="X343" s="1" t="str">
        <f t="shared" si="52"/>
        <v>Philadelphia - Pennsylvania</v>
      </c>
      <c r="Y343" s="1" t="str">
        <f t="shared" si="53"/>
        <v>Binders</v>
      </c>
      <c r="Z343" s="1">
        <f t="shared" si="54"/>
        <v>509.97</v>
      </c>
      <c r="AA343" s="1">
        <f t="shared" si="55"/>
        <v>509.97</v>
      </c>
      <c r="AB343" s="1">
        <f t="shared" si="56"/>
        <v>5099.7000000000007</v>
      </c>
      <c r="AC343" s="4">
        <f t="shared" si="57"/>
        <v>1529.9100000000005</v>
      </c>
      <c r="AD343" s="1" t="s">
        <v>2013</v>
      </c>
      <c r="AE343" s="1" t="str">
        <f t="shared" si="58"/>
        <v>2014</v>
      </c>
      <c r="AF343" s="1" t="str">
        <f t="shared" si="59"/>
        <v>122336</v>
      </c>
    </row>
    <row r="344" spans="1:32" x14ac:dyDescent="0.3">
      <c r="A344" s="1">
        <v>343</v>
      </c>
      <c r="B344" s="1" t="s">
        <v>1232</v>
      </c>
      <c r="C344" s="2">
        <v>41742</v>
      </c>
      <c r="D344" s="2">
        <v>41746</v>
      </c>
      <c r="E344" s="1" t="s">
        <v>21</v>
      </c>
      <c r="F344" s="1" t="s">
        <v>580</v>
      </c>
      <c r="G344" s="1" t="s">
        <v>581</v>
      </c>
      <c r="H344" s="1" t="s">
        <v>39</v>
      </c>
      <c r="I344" s="1" t="s">
        <v>25</v>
      </c>
      <c r="J344" s="1" t="s">
        <v>144</v>
      </c>
      <c r="K344" s="1" t="s">
        <v>145</v>
      </c>
      <c r="L344" s="1">
        <v>19140</v>
      </c>
      <c r="M344" s="1" t="s">
        <v>146</v>
      </c>
      <c r="N344" s="1" t="s">
        <v>560</v>
      </c>
      <c r="O344" s="1" t="s">
        <v>44</v>
      </c>
      <c r="P344" s="1" t="s">
        <v>267</v>
      </c>
      <c r="Q344" s="1" t="s">
        <v>561</v>
      </c>
      <c r="R344" s="1">
        <v>30.992000000000001</v>
      </c>
      <c r="S344" s="1">
        <v>13</v>
      </c>
      <c r="T344" s="3">
        <v>0.2</v>
      </c>
      <c r="U344" s="4">
        <v>10.0724</v>
      </c>
      <c r="V344" s="1" t="str">
        <f t="shared" si="50"/>
        <v>Second Class</v>
      </c>
      <c r="W344" s="1" t="str">
        <f t="shared" si="51"/>
        <v>Corporate</v>
      </c>
      <c r="X344" s="1" t="str">
        <f t="shared" si="52"/>
        <v>Philadelphia - Pennsylvania</v>
      </c>
      <c r="Y344" s="1" t="str">
        <f t="shared" si="53"/>
        <v>Fasteners</v>
      </c>
      <c r="Z344" s="1">
        <f t="shared" si="54"/>
        <v>30.992000000000001</v>
      </c>
      <c r="AA344" s="1">
        <f t="shared" si="55"/>
        <v>30.992000000000001</v>
      </c>
      <c r="AB344" s="1">
        <f t="shared" si="56"/>
        <v>402.89600000000002</v>
      </c>
      <c r="AC344" s="4">
        <f t="shared" si="57"/>
        <v>322.31680000000006</v>
      </c>
      <c r="AD344" s="1" t="s">
        <v>2013</v>
      </c>
      <c r="AE344" s="1" t="str">
        <f t="shared" si="58"/>
        <v>2014</v>
      </c>
      <c r="AF344" s="1" t="str">
        <f t="shared" si="59"/>
        <v>122336</v>
      </c>
    </row>
    <row r="345" spans="1:32" x14ac:dyDescent="0.3">
      <c r="A345" s="1">
        <v>344</v>
      </c>
      <c r="B345" s="1" t="s">
        <v>1232</v>
      </c>
      <c r="C345" s="2">
        <v>41742</v>
      </c>
      <c r="D345" s="2">
        <v>41746</v>
      </c>
      <c r="E345" s="1" t="s">
        <v>21</v>
      </c>
      <c r="F345" s="1" t="s">
        <v>580</v>
      </c>
      <c r="G345" s="1" t="s">
        <v>581</v>
      </c>
      <c r="H345" s="1" t="s">
        <v>39</v>
      </c>
      <c r="I345" s="1" t="s">
        <v>25</v>
      </c>
      <c r="J345" s="1" t="s">
        <v>144</v>
      </c>
      <c r="K345" s="1" t="s">
        <v>145</v>
      </c>
      <c r="L345" s="1">
        <v>19140</v>
      </c>
      <c r="M345" s="1" t="s">
        <v>146</v>
      </c>
      <c r="N345" s="1" t="s">
        <v>1235</v>
      </c>
      <c r="O345" s="1" t="s">
        <v>69</v>
      </c>
      <c r="P345" s="1" t="s">
        <v>70</v>
      </c>
      <c r="Q345" s="1" t="s">
        <v>1236</v>
      </c>
      <c r="R345" s="1">
        <v>71.927999999999997</v>
      </c>
      <c r="S345" s="1">
        <v>12</v>
      </c>
      <c r="T345" s="3">
        <v>0.4</v>
      </c>
      <c r="U345" s="4">
        <v>8.3916000000000004</v>
      </c>
      <c r="V345" s="1" t="str">
        <f t="shared" si="50"/>
        <v>Second Class</v>
      </c>
      <c r="W345" s="1" t="str">
        <f t="shared" si="51"/>
        <v>Corporate</v>
      </c>
      <c r="X345" s="1" t="str">
        <f t="shared" si="52"/>
        <v>Philadelphia - Pennsylvania</v>
      </c>
      <c r="Y345" s="1" t="str">
        <f t="shared" si="53"/>
        <v>Phones</v>
      </c>
      <c r="Z345" s="1">
        <f t="shared" si="54"/>
        <v>71.927999999999997</v>
      </c>
      <c r="AA345" s="1">
        <f t="shared" si="55"/>
        <v>71.927999999999997</v>
      </c>
      <c r="AB345" s="1">
        <f t="shared" si="56"/>
        <v>863.13599999999997</v>
      </c>
      <c r="AC345" s="4">
        <f t="shared" si="57"/>
        <v>517.88159999999993</v>
      </c>
      <c r="AD345" s="1" t="s">
        <v>2013</v>
      </c>
      <c r="AE345" s="1" t="str">
        <f t="shared" si="58"/>
        <v>2014</v>
      </c>
      <c r="AF345" s="1" t="str">
        <f t="shared" si="59"/>
        <v>122336</v>
      </c>
    </row>
    <row r="346" spans="1:32" x14ac:dyDescent="0.3">
      <c r="A346" s="1">
        <v>345</v>
      </c>
      <c r="B346" s="1" t="s">
        <v>1237</v>
      </c>
      <c r="C346" s="2">
        <v>42358</v>
      </c>
      <c r="D346" s="2">
        <v>42362</v>
      </c>
      <c r="E346" s="1" t="s">
        <v>48</v>
      </c>
      <c r="F346" s="1" t="s">
        <v>695</v>
      </c>
      <c r="G346" s="1" t="s">
        <v>696</v>
      </c>
      <c r="H346" s="1" t="s">
        <v>24</v>
      </c>
      <c r="I346" s="1" t="s">
        <v>25</v>
      </c>
      <c r="J346" s="1" t="s">
        <v>1238</v>
      </c>
      <c r="K346" s="1" t="s">
        <v>102</v>
      </c>
      <c r="L346" s="1">
        <v>78745</v>
      </c>
      <c r="M346" s="1" t="s">
        <v>103</v>
      </c>
      <c r="N346" s="1" t="s">
        <v>120</v>
      </c>
      <c r="O346" s="1" t="s">
        <v>44</v>
      </c>
      <c r="P346" s="1" t="s">
        <v>57</v>
      </c>
      <c r="Q346" s="1" t="s">
        <v>121</v>
      </c>
      <c r="R346" s="1">
        <v>88.8</v>
      </c>
      <c r="S346" s="1">
        <v>4</v>
      </c>
      <c r="T346" s="3">
        <v>0.2</v>
      </c>
      <c r="U346" s="4">
        <v>-2.2200000000000002</v>
      </c>
      <c r="V346" s="1" t="str">
        <f t="shared" si="50"/>
        <v>Standard Class</v>
      </c>
      <c r="W346" s="1" t="str">
        <f t="shared" si="51"/>
        <v>Consumer</v>
      </c>
      <c r="X346" s="1" t="str">
        <f t="shared" si="52"/>
        <v>Austin - Texas</v>
      </c>
      <c r="Y346" s="1" t="str">
        <f t="shared" si="53"/>
        <v>Storage</v>
      </c>
      <c r="Z346" s="1">
        <f t="shared" si="54"/>
        <v>88.8</v>
      </c>
      <c r="AA346" s="1">
        <f t="shared" si="55"/>
        <v>88.8</v>
      </c>
      <c r="AB346" s="1">
        <f t="shared" si="56"/>
        <v>355.2</v>
      </c>
      <c r="AC346" s="4">
        <f t="shared" si="57"/>
        <v>284.16000000000003</v>
      </c>
      <c r="AD346" s="1" t="s">
        <v>2014</v>
      </c>
      <c r="AE346" s="1" t="str">
        <f t="shared" si="58"/>
        <v>2015</v>
      </c>
      <c r="AF346" s="1" t="str">
        <f t="shared" si="59"/>
        <v>120712</v>
      </c>
    </row>
    <row r="347" spans="1:32" x14ac:dyDescent="0.3">
      <c r="A347" s="1">
        <v>346</v>
      </c>
      <c r="B347" s="1" t="s">
        <v>1239</v>
      </c>
      <c r="C347" s="2">
        <v>42901</v>
      </c>
      <c r="D347" s="2">
        <v>42905</v>
      </c>
      <c r="E347" s="1" t="s">
        <v>48</v>
      </c>
      <c r="F347" s="1" t="s">
        <v>1240</v>
      </c>
      <c r="G347" s="1" t="s">
        <v>1241</v>
      </c>
      <c r="H347" s="1" t="s">
        <v>24</v>
      </c>
      <c r="I347" s="1" t="s">
        <v>25</v>
      </c>
      <c r="J347" s="1" t="s">
        <v>125</v>
      </c>
      <c r="K347" s="1" t="s">
        <v>41</v>
      </c>
      <c r="L347" s="1">
        <v>94122</v>
      </c>
      <c r="M347" s="1" t="s">
        <v>42</v>
      </c>
      <c r="N347" s="1" t="s">
        <v>556</v>
      </c>
      <c r="O347" s="1" t="s">
        <v>69</v>
      </c>
      <c r="P347" s="1" t="s">
        <v>70</v>
      </c>
      <c r="Q347" s="1" t="s">
        <v>557</v>
      </c>
      <c r="R347" s="1">
        <v>47.975999999999999</v>
      </c>
      <c r="S347" s="1">
        <v>3</v>
      </c>
      <c r="T347" s="3">
        <v>0.2</v>
      </c>
      <c r="U347" s="4">
        <v>4.7976000000000001</v>
      </c>
      <c r="V347" s="1" t="str">
        <f t="shared" si="50"/>
        <v>Standard Class</v>
      </c>
      <c r="W347" s="1" t="str">
        <f t="shared" si="51"/>
        <v>Consumer</v>
      </c>
      <c r="X347" s="1" t="str">
        <f t="shared" si="52"/>
        <v>San Francisco - California</v>
      </c>
      <c r="Y347" s="1" t="str">
        <f t="shared" si="53"/>
        <v>Phones</v>
      </c>
      <c r="Z347" s="1">
        <f t="shared" si="54"/>
        <v>47.975999999999999</v>
      </c>
      <c r="AA347" s="1">
        <f t="shared" si="55"/>
        <v>47.975999999999999</v>
      </c>
      <c r="AB347" s="1">
        <f t="shared" si="56"/>
        <v>143.928</v>
      </c>
      <c r="AC347" s="4">
        <f t="shared" si="57"/>
        <v>115.14240000000001</v>
      </c>
      <c r="AD347" s="1" t="s">
        <v>2013</v>
      </c>
      <c r="AE347" s="1" t="str">
        <f t="shared" si="58"/>
        <v>2017</v>
      </c>
      <c r="AF347" s="1" t="str">
        <f t="shared" si="59"/>
        <v>169901</v>
      </c>
    </row>
    <row r="348" spans="1:32" x14ac:dyDescent="0.3">
      <c r="A348" s="1">
        <v>347</v>
      </c>
      <c r="B348" s="1" t="s">
        <v>1242</v>
      </c>
      <c r="C348" s="2">
        <v>42924</v>
      </c>
      <c r="D348" s="2">
        <v>42928</v>
      </c>
      <c r="E348" s="1" t="s">
        <v>48</v>
      </c>
      <c r="F348" s="1" t="s">
        <v>1243</v>
      </c>
      <c r="G348" s="1" t="s">
        <v>1244</v>
      </c>
      <c r="H348" s="1" t="s">
        <v>24</v>
      </c>
      <c r="I348" s="1" t="s">
        <v>25</v>
      </c>
      <c r="J348" s="1" t="s">
        <v>1245</v>
      </c>
      <c r="K348" s="1" t="s">
        <v>1246</v>
      </c>
      <c r="L348" s="1">
        <v>1852</v>
      </c>
      <c r="M348" s="1" t="s">
        <v>146</v>
      </c>
      <c r="N348" s="1" t="s">
        <v>782</v>
      </c>
      <c r="O348" s="1" t="s">
        <v>44</v>
      </c>
      <c r="P348" s="1" t="s">
        <v>66</v>
      </c>
      <c r="Q348" s="1" t="s">
        <v>783</v>
      </c>
      <c r="R348" s="1">
        <v>7.56</v>
      </c>
      <c r="S348" s="1">
        <v>3</v>
      </c>
      <c r="T348" s="3">
        <v>0</v>
      </c>
      <c r="U348" s="4">
        <v>3.0996000000000001</v>
      </c>
      <c r="V348" s="1" t="str">
        <f t="shared" si="50"/>
        <v>Standard Class</v>
      </c>
      <c r="W348" s="1" t="str">
        <f t="shared" si="51"/>
        <v>Consumer</v>
      </c>
      <c r="X348" s="1" t="str">
        <f t="shared" si="52"/>
        <v>Lowell - Massachusetts</v>
      </c>
      <c r="Y348" s="1" t="str">
        <f t="shared" si="53"/>
        <v>Art</v>
      </c>
      <c r="Z348" s="1">
        <f t="shared" si="54"/>
        <v>7.56</v>
      </c>
      <c r="AA348" s="1">
        <f t="shared" si="55"/>
        <v>7.56</v>
      </c>
      <c r="AB348" s="1">
        <f t="shared" si="56"/>
        <v>22.68</v>
      </c>
      <c r="AC348" s="4">
        <f t="shared" si="57"/>
        <v>22.68</v>
      </c>
      <c r="AD348" s="1" t="s">
        <v>2013</v>
      </c>
      <c r="AE348" s="1" t="str">
        <f t="shared" si="58"/>
        <v>2017</v>
      </c>
      <c r="AF348" s="1" t="str">
        <f t="shared" si="59"/>
        <v>134306</v>
      </c>
    </row>
    <row r="349" spans="1:32" x14ac:dyDescent="0.3">
      <c r="A349" s="1">
        <v>348</v>
      </c>
      <c r="B349" s="1" t="s">
        <v>1242</v>
      </c>
      <c r="C349" s="2">
        <v>42924</v>
      </c>
      <c r="D349" s="2">
        <v>42928</v>
      </c>
      <c r="E349" s="1" t="s">
        <v>48</v>
      </c>
      <c r="F349" s="1" t="s">
        <v>1243</v>
      </c>
      <c r="G349" s="1" t="s">
        <v>1244</v>
      </c>
      <c r="H349" s="1" t="s">
        <v>24</v>
      </c>
      <c r="I349" s="1" t="s">
        <v>25</v>
      </c>
      <c r="J349" s="1" t="s">
        <v>1245</v>
      </c>
      <c r="K349" s="1" t="s">
        <v>1246</v>
      </c>
      <c r="L349" s="1">
        <v>1852</v>
      </c>
      <c r="M349" s="1" t="s">
        <v>146</v>
      </c>
      <c r="N349" s="1" t="s">
        <v>183</v>
      </c>
      <c r="O349" s="1" t="s">
        <v>44</v>
      </c>
      <c r="P349" s="1" t="s">
        <v>88</v>
      </c>
      <c r="Q349" s="1" t="s">
        <v>184</v>
      </c>
      <c r="R349" s="1">
        <v>24.56</v>
      </c>
      <c r="S349" s="1">
        <v>2</v>
      </c>
      <c r="T349" s="3">
        <v>0</v>
      </c>
      <c r="U349" s="4">
        <v>11.543200000000001</v>
      </c>
      <c r="V349" s="1" t="str">
        <f t="shared" si="50"/>
        <v>Standard Class</v>
      </c>
      <c r="W349" s="1" t="str">
        <f t="shared" si="51"/>
        <v>Consumer</v>
      </c>
      <c r="X349" s="1" t="str">
        <f t="shared" si="52"/>
        <v>Lowell - Massachusetts</v>
      </c>
      <c r="Y349" s="1" t="str">
        <f t="shared" si="53"/>
        <v>Paper</v>
      </c>
      <c r="Z349" s="1">
        <f t="shared" si="54"/>
        <v>24.56</v>
      </c>
      <c r="AA349" s="1">
        <f t="shared" si="55"/>
        <v>24.56</v>
      </c>
      <c r="AB349" s="1">
        <f t="shared" si="56"/>
        <v>49.12</v>
      </c>
      <c r="AC349" s="4">
        <f t="shared" si="57"/>
        <v>49.12</v>
      </c>
      <c r="AD349" s="1" t="s">
        <v>2013</v>
      </c>
      <c r="AE349" s="1" t="str">
        <f t="shared" si="58"/>
        <v>2017</v>
      </c>
      <c r="AF349" s="1" t="str">
        <f t="shared" si="59"/>
        <v>134306</v>
      </c>
    </row>
    <row r="350" spans="1:32" x14ac:dyDescent="0.3">
      <c r="A350" s="1">
        <v>349</v>
      </c>
      <c r="B350" s="1" t="s">
        <v>1242</v>
      </c>
      <c r="C350" s="2">
        <v>42924</v>
      </c>
      <c r="D350" s="2">
        <v>42928</v>
      </c>
      <c r="E350" s="1" t="s">
        <v>48</v>
      </c>
      <c r="F350" s="1" t="s">
        <v>1243</v>
      </c>
      <c r="G350" s="1" t="s">
        <v>1244</v>
      </c>
      <c r="H350" s="1" t="s">
        <v>24</v>
      </c>
      <c r="I350" s="1" t="s">
        <v>25</v>
      </c>
      <c r="J350" s="1" t="s">
        <v>1245</v>
      </c>
      <c r="K350" s="1" t="s">
        <v>1246</v>
      </c>
      <c r="L350" s="1">
        <v>1852</v>
      </c>
      <c r="M350" s="1" t="s">
        <v>146</v>
      </c>
      <c r="N350" s="1" t="s">
        <v>1247</v>
      </c>
      <c r="O350" s="1" t="s">
        <v>44</v>
      </c>
      <c r="P350" s="1" t="s">
        <v>66</v>
      </c>
      <c r="Q350" s="1" t="s">
        <v>1248</v>
      </c>
      <c r="R350" s="1">
        <v>12.96</v>
      </c>
      <c r="S350" s="1">
        <v>2</v>
      </c>
      <c r="T350" s="3">
        <v>0</v>
      </c>
      <c r="U350" s="4">
        <v>4.1471999999999998</v>
      </c>
      <c r="V350" s="1" t="str">
        <f t="shared" si="50"/>
        <v>Standard Class</v>
      </c>
      <c r="W350" s="1" t="str">
        <f t="shared" si="51"/>
        <v>Consumer</v>
      </c>
      <c r="X350" s="1" t="str">
        <f t="shared" si="52"/>
        <v>Lowell - Massachusetts</v>
      </c>
      <c r="Y350" s="1" t="str">
        <f t="shared" si="53"/>
        <v>Art</v>
      </c>
      <c r="Z350" s="1">
        <f t="shared" si="54"/>
        <v>12.96</v>
      </c>
      <c r="AA350" s="1">
        <f t="shared" si="55"/>
        <v>12.96</v>
      </c>
      <c r="AB350" s="1">
        <f t="shared" si="56"/>
        <v>25.92</v>
      </c>
      <c r="AC350" s="4">
        <f t="shared" si="57"/>
        <v>25.92</v>
      </c>
      <c r="AD350" s="1" t="s">
        <v>2013</v>
      </c>
      <c r="AE350" s="1" t="str">
        <f t="shared" si="58"/>
        <v>2017</v>
      </c>
      <c r="AF350" s="1" t="str">
        <f t="shared" si="59"/>
        <v>134306</v>
      </c>
    </row>
    <row r="351" spans="1:32" x14ac:dyDescent="0.3">
      <c r="A351" s="1">
        <v>350</v>
      </c>
      <c r="B351" s="1" t="s">
        <v>1249</v>
      </c>
      <c r="C351" s="2">
        <v>42614</v>
      </c>
      <c r="D351" s="2">
        <v>42616</v>
      </c>
      <c r="E351" s="1" t="s">
        <v>186</v>
      </c>
      <c r="F351" s="1" t="s">
        <v>1250</v>
      </c>
      <c r="G351" s="1" t="s">
        <v>1251</v>
      </c>
      <c r="H351" s="1" t="s">
        <v>100</v>
      </c>
      <c r="I351" s="1" t="s">
        <v>25</v>
      </c>
      <c r="J351" s="1" t="s">
        <v>264</v>
      </c>
      <c r="K351" s="1" t="s">
        <v>265</v>
      </c>
      <c r="L351" s="1">
        <v>10009</v>
      </c>
      <c r="M351" s="1" t="s">
        <v>146</v>
      </c>
      <c r="N351" s="1" t="s">
        <v>968</v>
      </c>
      <c r="O351" s="1" t="s">
        <v>69</v>
      </c>
      <c r="P351" s="1" t="s">
        <v>159</v>
      </c>
      <c r="Q351" s="1" t="s">
        <v>969</v>
      </c>
      <c r="R351" s="1">
        <v>6.79</v>
      </c>
      <c r="S351" s="1">
        <v>1</v>
      </c>
      <c r="T351" s="3">
        <v>0</v>
      </c>
      <c r="U351" s="4">
        <v>2.3086000000000002</v>
      </c>
      <c r="V351" s="1" t="str">
        <f t="shared" si="50"/>
        <v>First Class</v>
      </c>
      <c r="W351" s="1" t="str">
        <f t="shared" si="51"/>
        <v>Home Office</v>
      </c>
      <c r="X351" s="1" t="str">
        <f t="shared" si="52"/>
        <v>New York City - New York</v>
      </c>
      <c r="Y351" s="1" t="str">
        <f t="shared" si="53"/>
        <v>Accessories</v>
      </c>
      <c r="Z351" s="1">
        <f t="shared" si="54"/>
        <v>6.79</v>
      </c>
      <c r="AA351" s="1">
        <f t="shared" si="55"/>
        <v>6.79</v>
      </c>
      <c r="AB351" s="1">
        <f t="shared" si="56"/>
        <v>6.79</v>
      </c>
      <c r="AC351" s="4">
        <f t="shared" si="57"/>
        <v>6.79</v>
      </c>
      <c r="AD351" s="1" t="s">
        <v>2013</v>
      </c>
      <c r="AE351" s="1" t="str">
        <f t="shared" si="58"/>
        <v>2016</v>
      </c>
      <c r="AF351" s="1" t="str">
        <f t="shared" si="59"/>
        <v>129714</v>
      </c>
    </row>
    <row r="352" spans="1:32" x14ac:dyDescent="0.3">
      <c r="A352" s="1">
        <v>351</v>
      </c>
      <c r="B352" s="1" t="s">
        <v>1249</v>
      </c>
      <c r="C352" s="2">
        <v>42614</v>
      </c>
      <c r="D352" s="2">
        <v>42616</v>
      </c>
      <c r="E352" s="1" t="s">
        <v>186</v>
      </c>
      <c r="F352" s="1" t="s">
        <v>1250</v>
      </c>
      <c r="G352" s="1" t="s">
        <v>1251</v>
      </c>
      <c r="H352" s="1" t="s">
        <v>100</v>
      </c>
      <c r="I352" s="1" t="s">
        <v>25</v>
      </c>
      <c r="J352" s="1" t="s">
        <v>264</v>
      </c>
      <c r="K352" s="1" t="s">
        <v>265</v>
      </c>
      <c r="L352" s="1">
        <v>10009</v>
      </c>
      <c r="M352" s="1" t="s">
        <v>146</v>
      </c>
      <c r="N352" s="1" t="s">
        <v>1252</v>
      </c>
      <c r="O352" s="1" t="s">
        <v>44</v>
      </c>
      <c r="P352" s="1" t="s">
        <v>88</v>
      </c>
      <c r="Q352" s="1" t="s">
        <v>1253</v>
      </c>
      <c r="R352" s="1">
        <v>24.56</v>
      </c>
      <c r="S352" s="1">
        <v>2</v>
      </c>
      <c r="T352" s="3">
        <v>0</v>
      </c>
      <c r="U352" s="4">
        <v>11.543200000000001</v>
      </c>
      <c r="V352" s="1" t="str">
        <f t="shared" si="50"/>
        <v>First Class</v>
      </c>
      <c r="W352" s="1" t="str">
        <f t="shared" si="51"/>
        <v>Home Office</v>
      </c>
      <c r="X352" s="1" t="str">
        <f t="shared" si="52"/>
        <v>New York City - New York</v>
      </c>
      <c r="Y352" s="1" t="str">
        <f t="shared" si="53"/>
        <v>Paper</v>
      </c>
      <c r="Z352" s="1">
        <f t="shared" si="54"/>
        <v>24.56</v>
      </c>
      <c r="AA352" s="1">
        <f t="shared" si="55"/>
        <v>24.56</v>
      </c>
      <c r="AB352" s="1">
        <f t="shared" si="56"/>
        <v>49.12</v>
      </c>
      <c r="AC352" s="4">
        <f t="shared" si="57"/>
        <v>49.12</v>
      </c>
      <c r="AD352" s="1" t="s">
        <v>2013</v>
      </c>
      <c r="AE352" s="1" t="str">
        <f t="shared" si="58"/>
        <v>2016</v>
      </c>
      <c r="AF352" s="1" t="str">
        <f t="shared" si="59"/>
        <v>129714</v>
      </c>
    </row>
    <row r="353" spans="1:32" x14ac:dyDescent="0.3">
      <c r="A353" s="1">
        <v>352</v>
      </c>
      <c r="B353" s="1" t="s">
        <v>1249</v>
      </c>
      <c r="C353" s="2">
        <v>42614</v>
      </c>
      <c r="D353" s="2">
        <v>42616</v>
      </c>
      <c r="E353" s="1" t="s">
        <v>186</v>
      </c>
      <c r="F353" s="1" t="s">
        <v>1250</v>
      </c>
      <c r="G353" s="1" t="s">
        <v>1251</v>
      </c>
      <c r="H353" s="1" t="s">
        <v>100</v>
      </c>
      <c r="I353" s="1" t="s">
        <v>25</v>
      </c>
      <c r="J353" s="1" t="s">
        <v>264</v>
      </c>
      <c r="K353" s="1" t="s">
        <v>265</v>
      </c>
      <c r="L353" s="1">
        <v>10009</v>
      </c>
      <c r="M353" s="1" t="s">
        <v>146</v>
      </c>
      <c r="N353" s="1" t="s">
        <v>1254</v>
      </c>
      <c r="O353" s="1" t="s">
        <v>44</v>
      </c>
      <c r="P353" s="1" t="s">
        <v>73</v>
      </c>
      <c r="Q353" s="1" t="s">
        <v>1255</v>
      </c>
      <c r="R353" s="1">
        <v>3.048</v>
      </c>
      <c r="S353" s="1">
        <v>1</v>
      </c>
      <c r="T353" s="3">
        <v>0.2</v>
      </c>
      <c r="U353" s="4">
        <v>1.0668</v>
      </c>
      <c r="V353" s="1" t="str">
        <f t="shared" si="50"/>
        <v>First Class</v>
      </c>
      <c r="W353" s="1" t="str">
        <f t="shared" si="51"/>
        <v>Home Office</v>
      </c>
      <c r="X353" s="1" t="str">
        <f t="shared" si="52"/>
        <v>New York City - New York</v>
      </c>
      <c r="Y353" s="1" t="str">
        <f t="shared" si="53"/>
        <v>Binders</v>
      </c>
      <c r="Z353" s="1">
        <f t="shared" si="54"/>
        <v>3.048</v>
      </c>
      <c r="AA353" s="1">
        <f t="shared" si="55"/>
        <v>3.048</v>
      </c>
      <c r="AB353" s="1">
        <f t="shared" si="56"/>
        <v>3.048</v>
      </c>
      <c r="AC353" s="4">
        <f t="shared" si="57"/>
        <v>2.4384000000000001</v>
      </c>
      <c r="AD353" s="1" t="s">
        <v>2013</v>
      </c>
      <c r="AE353" s="1" t="str">
        <f t="shared" si="58"/>
        <v>2016</v>
      </c>
      <c r="AF353" s="1" t="str">
        <f t="shared" si="59"/>
        <v>129714</v>
      </c>
    </row>
    <row r="354" spans="1:32" x14ac:dyDescent="0.3">
      <c r="A354" s="1">
        <v>353</v>
      </c>
      <c r="B354" s="1" t="s">
        <v>1249</v>
      </c>
      <c r="C354" s="2">
        <v>42614</v>
      </c>
      <c r="D354" s="2">
        <v>42616</v>
      </c>
      <c r="E354" s="1" t="s">
        <v>186</v>
      </c>
      <c r="F354" s="1" t="s">
        <v>1250</v>
      </c>
      <c r="G354" s="1" t="s">
        <v>1251</v>
      </c>
      <c r="H354" s="1" t="s">
        <v>100</v>
      </c>
      <c r="I354" s="1" t="s">
        <v>25</v>
      </c>
      <c r="J354" s="1" t="s">
        <v>264</v>
      </c>
      <c r="K354" s="1" t="s">
        <v>265</v>
      </c>
      <c r="L354" s="1">
        <v>10009</v>
      </c>
      <c r="M354" s="1" t="s">
        <v>146</v>
      </c>
      <c r="N354" s="1" t="s">
        <v>1252</v>
      </c>
      <c r="O354" s="1" t="s">
        <v>44</v>
      </c>
      <c r="P354" s="1" t="s">
        <v>88</v>
      </c>
      <c r="Q354" s="1" t="s">
        <v>1253</v>
      </c>
      <c r="R354" s="1">
        <v>49.12</v>
      </c>
      <c r="S354" s="1">
        <v>4</v>
      </c>
      <c r="T354" s="3">
        <v>0</v>
      </c>
      <c r="U354" s="4">
        <v>23.086400000000001</v>
      </c>
      <c r="V354" s="1" t="str">
        <f t="shared" si="50"/>
        <v>First Class</v>
      </c>
      <c r="W354" s="1" t="str">
        <f t="shared" si="51"/>
        <v>Home Office</v>
      </c>
      <c r="X354" s="1" t="str">
        <f t="shared" si="52"/>
        <v>New York City - New York</v>
      </c>
      <c r="Y354" s="1" t="str">
        <f t="shared" si="53"/>
        <v>Paper</v>
      </c>
      <c r="Z354" s="1">
        <f t="shared" si="54"/>
        <v>49.12</v>
      </c>
      <c r="AA354" s="1">
        <f t="shared" si="55"/>
        <v>49.12</v>
      </c>
      <c r="AB354" s="1">
        <f t="shared" si="56"/>
        <v>196.48</v>
      </c>
      <c r="AC354" s="4">
        <f t="shared" si="57"/>
        <v>196.48</v>
      </c>
      <c r="AD354" s="1" t="s">
        <v>2013</v>
      </c>
      <c r="AE354" s="1" t="str">
        <f t="shared" si="58"/>
        <v>2016</v>
      </c>
      <c r="AF354" s="1" t="str">
        <f t="shared" si="59"/>
        <v>129714</v>
      </c>
    </row>
    <row r="355" spans="1:32" x14ac:dyDescent="0.3">
      <c r="A355" s="1">
        <v>354</v>
      </c>
      <c r="B355" s="1" t="s">
        <v>1249</v>
      </c>
      <c r="C355" s="2">
        <v>42614</v>
      </c>
      <c r="D355" s="2">
        <v>42616</v>
      </c>
      <c r="E355" s="1" t="s">
        <v>186</v>
      </c>
      <c r="F355" s="1" t="s">
        <v>1250</v>
      </c>
      <c r="G355" s="1" t="s">
        <v>1251</v>
      </c>
      <c r="H355" s="1" t="s">
        <v>100</v>
      </c>
      <c r="I355" s="1" t="s">
        <v>25</v>
      </c>
      <c r="J355" s="1" t="s">
        <v>264</v>
      </c>
      <c r="K355" s="1" t="s">
        <v>265</v>
      </c>
      <c r="L355" s="1">
        <v>10009</v>
      </c>
      <c r="M355" s="1" t="s">
        <v>146</v>
      </c>
      <c r="N355" s="1" t="s">
        <v>1256</v>
      </c>
      <c r="O355" s="1" t="s">
        <v>44</v>
      </c>
      <c r="P355" s="1" t="s">
        <v>73</v>
      </c>
      <c r="Q355" s="1" t="s">
        <v>1257</v>
      </c>
      <c r="R355" s="1">
        <v>4355.1679999999997</v>
      </c>
      <c r="S355" s="1">
        <v>4</v>
      </c>
      <c r="T355" s="3">
        <v>0.2</v>
      </c>
      <c r="U355" s="4">
        <v>1415.4295999999999</v>
      </c>
      <c r="V355" s="1" t="str">
        <f t="shared" si="50"/>
        <v>First Class</v>
      </c>
      <c r="W355" s="1" t="str">
        <f t="shared" si="51"/>
        <v>Home Office</v>
      </c>
      <c r="X355" s="1" t="str">
        <f t="shared" si="52"/>
        <v>New York City - New York</v>
      </c>
      <c r="Y355" s="1" t="str">
        <f t="shared" si="53"/>
        <v>Binders</v>
      </c>
      <c r="Z355" s="1">
        <f t="shared" si="54"/>
        <v>4355.1679999999997</v>
      </c>
      <c r="AA355" s="1">
        <f t="shared" si="55"/>
        <v>4355.1679999999997</v>
      </c>
      <c r="AB355" s="1">
        <f t="shared" si="56"/>
        <v>17420.671999999999</v>
      </c>
      <c r="AC355" s="4">
        <f t="shared" si="57"/>
        <v>13936.5376</v>
      </c>
      <c r="AD355" s="1" t="s">
        <v>2013</v>
      </c>
      <c r="AE355" s="1" t="str">
        <f t="shared" si="58"/>
        <v>2016</v>
      </c>
      <c r="AF355" s="1" t="str">
        <f t="shared" si="59"/>
        <v>129714</v>
      </c>
    </row>
    <row r="356" spans="1:32" x14ac:dyDescent="0.3">
      <c r="A356" s="1">
        <v>355</v>
      </c>
      <c r="B356" s="1" t="s">
        <v>1258</v>
      </c>
      <c r="C356" s="2">
        <v>42468</v>
      </c>
      <c r="D356" s="2">
        <v>42473</v>
      </c>
      <c r="E356" s="1" t="s">
        <v>48</v>
      </c>
      <c r="F356" s="1" t="s">
        <v>1259</v>
      </c>
      <c r="G356" s="1" t="s">
        <v>1260</v>
      </c>
      <c r="H356" s="1" t="s">
        <v>24</v>
      </c>
      <c r="I356" s="1" t="s">
        <v>25</v>
      </c>
      <c r="J356" s="1" t="s">
        <v>264</v>
      </c>
      <c r="K356" s="1" t="s">
        <v>265</v>
      </c>
      <c r="L356" s="1">
        <v>10035</v>
      </c>
      <c r="M356" s="1" t="s">
        <v>146</v>
      </c>
      <c r="N356" s="1" t="s">
        <v>1261</v>
      </c>
      <c r="O356" s="1" t="s">
        <v>30</v>
      </c>
      <c r="P356" s="1" t="s">
        <v>31</v>
      </c>
      <c r="Q356" s="1" t="s">
        <v>1262</v>
      </c>
      <c r="R356" s="1">
        <v>388.70400000000001</v>
      </c>
      <c r="S356" s="1">
        <v>6</v>
      </c>
      <c r="T356" s="3">
        <v>0.2</v>
      </c>
      <c r="U356" s="4">
        <v>-4.8587999999999996</v>
      </c>
      <c r="V356" s="1" t="str">
        <f t="shared" si="50"/>
        <v>Standard Class</v>
      </c>
      <c r="W356" s="1" t="str">
        <f t="shared" si="51"/>
        <v>Consumer</v>
      </c>
      <c r="X356" s="1" t="str">
        <f t="shared" si="52"/>
        <v>New York City - New York</v>
      </c>
      <c r="Y356" s="1" t="str">
        <f t="shared" si="53"/>
        <v>Bookcases</v>
      </c>
      <c r="Z356" s="1">
        <f t="shared" si="54"/>
        <v>388.70400000000001</v>
      </c>
      <c r="AA356" s="1">
        <f t="shared" si="55"/>
        <v>388.70400000000001</v>
      </c>
      <c r="AB356" s="1">
        <f t="shared" si="56"/>
        <v>2332.2240000000002</v>
      </c>
      <c r="AC356" s="4">
        <f t="shared" si="57"/>
        <v>1865.7792000000002</v>
      </c>
      <c r="AD356" s="1" t="s">
        <v>2013</v>
      </c>
      <c r="AE356" s="1" t="str">
        <f t="shared" si="58"/>
        <v>2016</v>
      </c>
      <c r="AF356" s="1" t="str">
        <f t="shared" si="59"/>
        <v>138520</v>
      </c>
    </row>
    <row r="357" spans="1:32" x14ac:dyDescent="0.3">
      <c r="A357" s="1">
        <v>356</v>
      </c>
      <c r="B357" s="1" t="s">
        <v>1258</v>
      </c>
      <c r="C357" s="2">
        <v>42468</v>
      </c>
      <c r="D357" s="2">
        <v>42473</v>
      </c>
      <c r="E357" s="1" t="s">
        <v>48</v>
      </c>
      <c r="F357" s="1" t="s">
        <v>1259</v>
      </c>
      <c r="G357" s="1" t="s">
        <v>1260</v>
      </c>
      <c r="H357" s="1" t="s">
        <v>24</v>
      </c>
      <c r="I357" s="1" t="s">
        <v>25</v>
      </c>
      <c r="J357" s="1" t="s">
        <v>264</v>
      </c>
      <c r="K357" s="1" t="s">
        <v>265</v>
      </c>
      <c r="L357" s="1">
        <v>10035</v>
      </c>
      <c r="M357" s="1" t="s">
        <v>146</v>
      </c>
      <c r="N357" s="1" t="s">
        <v>1263</v>
      </c>
      <c r="O357" s="1" t="s">
        <v>44</v>
      </c>
      <c r="P357" s="1" t="s">
        <v>171</v>
      </c>
      <c r="Q357" s="1" t="s">
        <v>1264</v>
      </c>
      <c r="R357" s="1">
        <v>8.26</v>
      </c>
      <c r="S357" s="1">
        <v>2</v>
      </c>
      <c r="T357" s="3">
        <v>0</v>
      </c>
      <c r="U357" s="4">
        <v>3.7995999999999999</v>
      </c>
      <c r="V357" s="1" t="str">
        <f t="shared" si="50"/>
        <v>Standard Class</v>
      </c>
      <c r="W357" s="1" t="str">
        <f t="shared" si="51"/>
        <v>Consumer</v>
      </c>
      <c r="X357" s="1" t="str">
        <f t="shared" si="52"/>
        <v>New York City - New York</v>
      </c>
      <c r="Y357" s="1" t="str">
        <f t="shared" si="53"/>
        <v>Envelopes</v>
      </c>
      <c r="Z357" s="1">
        <f t="shared" si="54"/>
        <v>8.26</v>
      </c>
      <c r="AA357" s="1">
        <f t="shared" si="55"/>
        <v>8.26</v>
      </c>
      <c r="AB357" s="1">
        <f t="shared" si="56"/>
        <v>16.52</v>
      </c>
      <c r="AC357" s="4">
        <f t="shared" si="57"/>
        <v>16.52</v>
      </c>
      <c r="AD357" s="1" t="s">
        <v>2013</v>
      </c>
      <c r="AE357" s="1" t="str">
        <f t="shared" si="58"/>
        <v>2016</v>
      </c>
      <c r="AF357" s="1" t="str">
        <f t="shared" si="59"/>
        <v>138520</v>
      </c>
    </row>
    <row r="358" spans="1:32" x14ac:dyDescent="0.3">
      <c r="A358" s="1">
        <v>357</v>
      </c>
      <c r="B358" s="1" t="s">
        <v>1258</v>
      </c>
      <c r="C358" s="2">
        <v>42468</v>
      </c>
      <c r="D358" s="2">
        <v>42473</v>
      </c>
      <c r="E358" s="1" t="s">
        <v>48</v>
      </c>
      <c r="F358" s="1" t="s">
        <v>1259</v>
      </c>
      <c r="G358" s="1" t="s">
        <v>1260</v>
      </c>
      <c r="H358" s="1" t="s">
        <v>24</v>
      </c>
      <c r="I358" s="1" t="s">
        <v>25</v>
      </c>
      <c r="J358" s="1" t="s">
        <v>264</v>
      </c>
      <c r="K358" s="1" t="s">
        <v>265</v>
      </c>
      <c r="L358" s="1">
        <v>10035</v>
      </c>
      <c r="M358" s="1" t="s">
        <v>146</v>
      </c>
      <c r="N358" s="1" t="s">
        <v>1265</v>
      </c>
      <c r="O358" s="1" t="s">
        <v>44</v>
      </c>
      <c r="P358" s="1" t="s">
        <v>66</v>
      </c>
      <c r="Q358" s="1" t="s">
        <v>1266</v>
      </c>
      <c r="R358" s="1">
        <v>17.04</v>
      </c>
      <c r="S358" s="1">
        <v>4</v>
      </c>
      <c r="T358" s="3">
        <v>0</v>
      </c>
      <c r="U358" s="4">
        <v>6.9863999999999997</v>
      </c>
      <c r="V358" s="1" t="str">
        <f t="shared" si="50"/>
        <v>Standard Class</v>
      </c>
      <c r="W358" s="1" t="str">
        <f t="shared" si="51"/>
        <v>Consumer</v>
      </c>
      <c r="X358" s="1" t="str">
        <f t="shared" si="52"/>
        <v>New York City - New York</v>
      </c>
      <c r="Y358" s="1" t="str">
        <f t="shared" si="53"/>
        <v>Art</v>
      </c>
      <c r="Z358" s="1">
        <f t="shared" si="54"/>
        <v>17.04</v>
      </c>
      <c r="AA358" s="1">
        <f t="shared" si="55"/>
        <v>17.04</v>
      </c>
      <c r="AB358" s="1">
        <f t="shared" si="56"/>
        <v>68.16</v>
      </c>
      <c r="AC358" s="4">
        <f t="shared" si="57"/>
        <v>68.16</v>
      </c>
      <c r="AD358" s="1" t="s">
        <v>2013</v>
      </c>
      <c r="AE358" s="1" t="str">
        <f t="shared" si="58"/>
        <v>2016</v>
      </c>
      <c r="AF358" s="1" t="str">
        <f t="shared" si="59"/>
        <v>138520</v>
      </c>
    </row>
    <row r="359" spans="1:32" x14ac:dyDescent="0.3">
      <c r="A359" s="1">
        <v>358</v>
      </c>
      <c r="B359" s="1" t="s">
        <v>1258</v>
      </c>
      <c r="C359" s="2">
        <v>42468</v>
      </c>
      <c r="D359" s="2">
        <v>42473</v>
      </c>
      <c r="E359" s="1" t="s">
        <v>48</v>
      </c>
      <c r="F359" s="1" t="s">
        <v>1259</v>
      </c>
      <c r="G359" s="1" t="s">
        <v>1260</v>
      </c>
      <c r="H359" s="1" t="s">
        <v>24</v>
      </c>
      <c r="I359" s="1" t="s">
        <v>25</v>
      </c>
      <c r="J359" s="1" t="s">
        <v>264</v>
      </c>
      <c r="K359" s="1" t="s">
        <v>265</v>
      </c>
      <c r="L359" s="1">
        <v>10035</v>
      </c>
      <c r="M359" s="1" t="s">
        <v>146</v>
      </c>
      <c r="N359" s="1" t="s">
        <v>1267</v>
      </c>
      <c r="O359" s="1" t="s">
        <v>44</v>
      </c>
      <c r="P359" s="1" t="s">
        <v>88</v>
      </c>
      <c r="Q359" s="1" t="s">
        <v>1268</v>
      </c>
      <c r="R359" s="1">
        <v>34.4</v>
      </c>
      <c r="S359" s="1">
        <v>5</v>
      </c>
      <c r="T359" s="3">
        <v>0</v>
      </c>
      <c r="U359" s="4">
        <v>15.824</v>
      </c>
      <c r="V359" s="1" t="str">
        <f t="shared" si="50"/>
        <v>Standard Class</v>
      </c>
      <c r="W359" s="1" t="str">
        <f t="shared" si="51"/>
        <v>Consumer</v>
      </c>
      <c r="X359" s="1" t="str">
        <f t="shared" si="52"/>
        <v>New York City - New York</v>
      </c>
      <c r="Y359" s="1" t="str">
        <f t="shared" si="53"/>
        <v>Paper</v>
      </c>
      <c r="Z359" s="1">
        <f t="shared" si="54"/>
        <v>34.4</v>
      </c>
      <c r="AA359" s="1">
        <f t="shared" si="55"/>
        <v>34.4</v>
      </c>
      <c r="AB359" s="1">
        <f t="shared" si="56"/>
        <v>172</v>
      </c>
      <c r="AC359" s="4">
        <f t="shared" si="57"/>
        <v>172</v>
      </c>
      <c r="AD359" s="1" t="s">
        <v>2013</v>
      </c>
      <c r="AE359" s="1" t="str">
        <f t="shared" si="58"/>
        <v>2016</v>
      </c>
      <c r="AF359" s="1" t="str">
        <f t="shared" si="59"/>
        <v>138520</v>
      </c>
    </row>
    <row r="360" spans="1:32" x14ac:dyDescent="0.3">
      <c r="A360" s="1">
        <v>359</v>
      </c>
      <c r="B360" s="1" t="s">
        <v>1269</v>
      </c>
      <c r="C360" s="2">
        <v>42483</v>
      </c>
      <c r="D360" s="2">
        <v>42488</v>
      </c>
      <c r="E360" s="1" t="s">
        <v>48</v>
      </c>
      <c r="F360" s="1" t="s">
        <v>819</v>
      </c>
      <c r="G360" s="1" t="s">
        <v>820</v>
      </c>
      <c r="H360" s="1" t="s">
        <v>39</v>
      </c>
      <c r="I360" s="1" t="s">
        <v>25</v>
      </c>
      <c r="J360" s="1" t="s">
        <v>465</v>
      </c>
      <c r="K360" s="1" t="s">
        <v>86</v>
      </c>
      <c r="L360" s="1">
        <v>28205</v>
      </c>
      <c r="M360" s="1" t="s">
        <v>28</v>
      </c>
      <c r="N360" s="1" t="s">
        <v>802</v>
      </c>
      <c r="O360" s="1" t="s">
        <v>44</v>
      </c>
      <c r="P360" s="1" t="s">
        <v>88</v>
      </c>
      <c r="Q360" s="1" t="s">
        <v>803</v>
      </c>
      <c r="R360" s="1">
        <v>36.24</v>
      </c>
      <c r="S360" s="1">
        <v>5</v>
      </c>
      <c r="T360" s="3">
        <v>0.2</v>
      </c>
      <c r="U360" s="4">
        <v>11.324999999999999</v>
      </c>
      <c r="V360" s="1" t="str">
        <f t="shared" si="50"/>
        <v>Standard Class</v>
      </c>
      <c r="W360" s="1" t="str">
        <f t="shared" si="51"/>
        <v>Corporate</v>
      </c>
      <c r="X360" s="1" t="str">
        <f t="shared" si="52"/>
        <v>Charlotte - North Carolina</v>
      </c>
      <c r="Y360" s="1" t="str">
        <f t="shared" si="53"/>
        <v>Paper</v>
      </c>
      <c r="Z360" s="1">
        <f t="shared" si="54"/>
        <v>36.24</v>
      </c>
      <c r="AA360" s="1">
        <f t="shared" si="55"/>
        <v>36.24</v>
      </c>
      <c r="AB360" s="1">
        <f t="shared" si="56"/>
        <v>181.20000000000002</v>
      </c>
      <c r="AC360" s="4">
        <f t="shared" si="57"/>
        <v>144.96</v>
      </c>
      <c r="AD360" s="1" t="s">
        <v>2013</v>
      </c>
      <c r="AE360" s="1" t="str">
        <f t="shared" si="58"/>
        <v>2016</v>
      </c>
      <c r="AF360" s="1" t="str">
        <f t="shared" si="59"/>
        <v>130001</v>
      </c>
    </row>
    <row r="361" spans="1:32" x14ac:dyDescent="0.3">
      <c r="A361" s="1">
        <v>360</v>
      </c>
      <c r="B361" s="1" t="s">
        <v>1270</v>
      </c>
      <c r="C361" s="2">
        <v>42802</v>
      </c>
      <c r="D361" s="2">
        <v>42805</v>
      </c>
      <c r="E361" s="1" t="s">
        <v>186</v>
      </c>
      <c r="F361" s="1" t="s">
        <v>1271</v>
      </c>
      <c r="G361" s="1" t="s">
        <v>1272</v>
      </c>
      <c r="H361" s="1" t="s">
        <v>39</v>
      </c>
      <c r="I361" s="1" t="s">
        <v>25</v>
      </c>
      <c r="J361" s="1" t="s">
        <v>495</v>
      </c>
      <c r="K361" s="1" t="s">
        <v>1273</v>
      </c>
      <c r="L361" s="1">
        <v>31907</v>
      </c>
      <c r="M361" s="1" t="s">
        <v>28</v>
      </c>
      <c r="N361" s="1" t="s">
        <v>1274</v>
      </c>
      <c r="O361" s="1" t="s">
        <v>44</v>
      </c>
      <c r="P361" s="1" t="s">
        <v>76</v>
      </c>
      <c r="Q361" s="1" t="s">
        <v>1275</v>
      </c>
      <c r="R361" s="1">
        <v>647.84</v>
      </c>
      <c r="S361" s="1">
        <v>8</v>
      </c>
      <c r="T361" s="3">
        <v>0</v>
      </c>
      <c r="U361" s="4">
        <v>168.4384</v>
      </c>
      <c r="V361" s="1" t="str">
        <f t="shared" si="50"/>
        <v>First Class</v>
      </c>
      <c r="W361" s="1" t="str">
        <f t="shared" si="51"/>
        <v>Corporate</v>
      </c>
      <c r="X361" s="1" t="str">
        <f t="shared" si="52"/>
        <v>Columbus - Georgia</v>
      </c>
      <c r="Y361" s="1" t="str">
        <f t="shared" si="53"/>
        <v>Appliances</v>
      </c>
      <c r="Z361" s="1">
        <f t="shared" si="54"/>
        <v>647.84</v>
      </c>
      <c r="AA361" s="1">
        <f t="shared" si="55"/>
        <v>647.84</v>
      </c>
      <c r="AB361" s="1">
        <f t="shared" si="56"/>
        <v>5182.72</v>
      </c>
      <c r="AC361" s="4">
        <f t="shared" si="57"/>
        <v>5182.72</v>
      </c>
      <c r="AD361" s="1" t="s">
        <v>2013</v>
      </c>
      <c r="AE361" s="1" t="str">
        <f t="shared" si="58"/>
        <v>2017</v>
      </c>
      <c r="AF361" s="1" t="str">
        <f t="shared" si="59"/>
        <v>155698</v>
      </c>
    </row>
    <row r="362" spans="1:32" x14ac:dyDescent="0.3">
      <c r="A362" s="1">
        <v>361</v>
      </c>
      <c r="B362" s="1" t="s">
        <v>1270</v>
      </c>
      <c r="C362" s="2">
        <v>42802</v>
      </c>
      <c r="D362" s="2">
        <v>42805</v>
      </c>
      <c r="E362" s="1" t="s">
        <v>186</v>
      </c>
      <c r="F362" s="1" t="s">
        <v>1271</v>
      </c>
      <c r="G362" s="1" t="s">
        <v>1272</v>
      </c>
      <c r="H362" s="1" t="s">
        <v>39</v>
      </c>
      <c r="I362" s="1" t="s">
        <v>25</v>
      </c>
      <c r="J362" s="1" t="s">
        <v>495</v>
      </c>
      <c r="K362" s="1" t="s">
        <v>1273</v>
      </c>
      <c r="L362" s="1">
        <v>31907</v>
      </c>
      <c r="M362" s="1" t="s">
        <v>28</v>
      </c>
      <c r="N362" s="1" t="s">
        <v>1276</v>
      </c>
      <c r="O362" s="1" t="s">
        <v>44</v>
      </c>
      <c r="P362" s="1" t="s">
        <v>45</v>
      </c>
      <c r="Q362" s="1" t="s">
        <v>1277</v>
      </c>
      <c r="R362" s="1">
        <v>20.7</v>
      </c>
      <c r="S362" s="1">
        <v>2</v>
      </c>
      <c r="T362" s="3">
        <v>0</v>
      </c>
      <c r="U362" s="4">
        <v>9.9359999999999999</v>
      </c>
      <c r="V362" s="1" t="str">
        <f t="shared" si="50"/>
        <v>First Class</v>
      </c>
      <c r="W362" s="1" t="str">
        <f t="shared" si="51"/>
        <v>Corporate</v>
      </c>
      <c r="X362" s="1" t="str">
        <f t="shared" si="52"/>
        <v>Columbus - Georgia</v>
      </c>
      <c r="Y362" s="1" t="str">
        <f t="shared" si="53"/>
        <v>Labels</v>
      </c>
      <c r="Z362" s="1">
        <f t="shared" si="54"/>
        <v>20.7</v>
      </c>
      <c r="AA362" s="1">
        <f t="shared" si="55"/>
        <v>20.7</v>
      </c>
      <c r="AB362" s="1">
        <f t="shared" si="56"/>
        <v>41.4</v>
      </c>
      <c r="AC362" s="4">
        <f t="shared" si="57"/>
        <v>41.4</v>
      </c>
      <c r="AD362" s="1" t="s">
        <v>2013</v>
      </c>
      <c r="AE362" s="1" t="str">
        <f t="shared" si="58"/>
        <v>2017</v>
      </c>
      <c r="AF362" s="1" t="str">
        <f t="shared" si="59"/>
        <v>155698</v>
      </c>
    </row>
    <row r="363" spans="1:32" x14ac:dyDescent="0.3">
      <c r="A363" s="1">
        <v>362</v>
      </c>
      <c r="B363" s="1" t="s">
        <v>1278</v>
      </c>
      <c r="C363" s="2">
        <v>43003</v>
      </c>
      <c r="D363" s="2">
        <v>43009</v>
      </c>
      <c r="E363" s="1" t="s">
        <v>48</v>
      </c>
      <c r="F363" s="1" t="s">
        <v>1279</v>
      </c>
      <c r="G363" s="1" t="s">
        <v>1280</v>
      </c>
      <c r="H363" s="1" t="s">
        <v>24</v>
      </c>
      <c r="I363" s="1" t="s">
        <v>25</v>
      </c>
      <c r="J363" s="1" t="s">
        <v>264</v>
      </c>
      <c r="K363" s="1" t="s">
        <v>265</v>
      </c>
      <c r="L363" s="1">
        <v>10009</v>
      </c>
      <c r="M363" s="1" t="s">
        <v>146</v>
      </c>
      <c r="N363" s="1" t="s">
        <v>1276</v>
      </c>
      <c r="O363" s="1" t="s">
        <v>44</v>
      </c>
      <c r="P363" s="1" t="s">
        <v>45</v>
      </c>
      <c r="Q363" s="1" t="s">
        <v>1277</v>
      </c>
      <c r="R363" s="1">
        <v>20.7</v>
      </c>
      <c r="S363" s="1">
        <v>2</v>
      </c>
      <c r="T363" s="3">
        <v>0</v>
      </c>
      <c r="U363" s="4">
        <v>9.9359999999999999</v>
      </c>
      <c r="V363" s="1" t="str">
        <f t="shared" si="50"/>
        <v>Standard Class</v>
      </c>
      <c r="W363" s="1" t="str">
        <f t="shared" si="51"/>
        <v>Consumer</v>
      </c>
      <c r="X363" s="1" t="str">
        <f t="shared" si="52"/>
        <v>New York City - New York</v>
      </c>
      <c r="Y363" s="1" t="str">
        <f t="shared" si="53"/>
        <v>Labels</v>
      </c>
      <c r="Z363" s="1">
        <f t="shared" si="54"/>
        <v>20.7</v>
      </c>
      <c r="AA363" s="1">
        <f t="shared" si="55"/>
        <v>20.7</v>
      </c>
      <c r="AB363" s="1">
        <f t="shared" si="56"/>
        <v>41.4</v>
      </c>
      <c r="AC363" s="4">
        <f t="shared" si="57"/>
        <v>41.4</v>
      </c>
      <c r="AD363" s="1" t="s">
        <v>2013</v>
      </c>
      <c r="AE363" s="1" t="str">
        <f t="shared" si="58"/>
        <v>2017</v>
      </c>
      <c r="AF363" s="1" t="str">
        <f t="shared" si="59"/>
        <v>144904</v>
      </c>
    </row>
    <row r="364" spans="1:32" x14ac:dyDescent="0.3">
      <c r="A364" s="1">
        <v>363</v>
      </c>
      <c r="B364" s="1" t="s">
        <v>1278</v>
      </c>
      <c r="C364" s="2">
        <v>43003</v>
      </c>
      <c r="D364" s="2">
        <v>43009</v>
      </c>
      <c r="E364" s="1" t="s">
        <v>48</v>
      </c>
      <c r="F364" s="1" t="s">
        <v>1279</v>
      </c>
      <c r="G364" s="1" t="s">
        <v>1280</v>
      </c>
      <c r="H364" s="1" t="s">
        <v>24</v>
      </c>
      <c r="I364" s="1" t="s">
        <v>25</v>
      </c>
      <c r="J364" s="1" t="s">
        <v>264</v>
      </c>
      <c r="K364" s="1" t="s">
        <v>265</v>
      </c>
      <c r="L364" s="1">
        <v>10009</v>
      </c>
      <c r="M364" s="1" t="s">
        <v>146</v>
      </c>
      <c r="N364" s="1" t="s">
        <v>1281</v>
      </c>
      <c r="O364" s="1" t="s">
        <v>30</v>
      </c>
      <c r="P364" s="1" t="s">
        <v>34</v>
      </c>
      <c r="Q364" s="1" t="s">
        <v>1282</v>
      </c>
      <c r="R364" s="1">
        <v>488.64600000000002</v>
      </c>
      <c r="S364" s="1">
        <v>3</v>
      </c>
      <c r="T364" s="3">
        <v>0.1</v>
      </c>
      <c r="U364" s="4">
        <v>86.870400000000004</v>
      </c>
      <c r="V364" s="1" t="str">
        <f t="shared" si="50"/>
        <v>Standard Class</v>
      </c>
      <c r="W364" s="1" t="str">
        <f t="shared" si="51"/>
        <v>Consumer</v>
      </c>
      <c r="X364" s="1" t="str">
        <f t="shared" si="52"/>
        <v>New York City - New York</v>
      </c>
      <c r="Y364" s="1" t="str">
        <f t="shared" si="53"/>
        <v>Chairs</v>
      </c>
      <c r="Z364" s="1">
        <f t="shared" si="54"/>
        <v>488.64600000000002</v>
      </c>
      <c r="AA364" s="1">
        <f t="shared" si="55"/>
        <v>488.64600000000002</v>
      </c>
      <c r="AB364" s="1">
        <f t="shared" si="56"/>
        <v>1465.9380000000001</v>
      </c>
      <c r="AC364" s="4">
        <f t="shared" si="57"/>
        <v>1319.3442000000002</v>
      </c>
      <c r="AD364" s="1" t="s">
        <v>2013</v>
      </c>
      <c r="AE364" s="1" t="str">
        <f t="shared" si="58"/>
        <v>2017</v>
      </c>
      <c r="AF364" s="1" t="str">
        <f t="shared" si="59"/>
        <v>144904</v>
      </c>
    </row>
    <row r="365" spans="1:32" x14ac:dyDescent="0.3">
      <c r="A365" s="1">
        <v>364</v>
      </c>
      <c r="B365" s="1" t="s">
        <v>1278</v>
      </c>
      <c r="C365" s="2">
        <v>43003</v>
      </c>
      <c r="D365" s="2">
        <v>43009</v>
      </c>
      <c r="E365" s="1" t="s">
        <v>48</v>
      </c>
      <c r="F365" s="1" t="s">
        <v>1279</v>
      </c>
      <c r="G365" s="1" t="s">
        <v>1280</v>
      </c>
      <c r="H365" s="1" t="s">
        <v>24</v>
      </c>
      <c r="I365" s="1" t="s">
        <v>25</v>
      </c>
      <c r="J365" s="1" t="s">
        <v>264</v>
      </c>
      <c r="K365" s="1" t="s">
        <v>265</v>
      </c>
      <c r="L365" s="1">
        <v>10009</v>
      </c>
      <c r="M365" s="1" t="s">
        <v>146</v>
      </c>
      <c r="N365" s="1" t="s">
        <v>1283</v>
      </c>
      <c r="O365" s="1" t="s">
        <v>44</v>
      </c>
      <c r="P365" s="1" t="s">
        <v>66</v>
      </c>
      <c r="Q365" s="1" t="s">
        <v>1284</v>
      </c>
      <c r="R365" s="1">
        <v>5.56</v>
      </c>
      <c r="S365" s="1">
        <v>2</v>
      </c>
      <c r="T365" s="3">
        <v>0</v>
      </c>
      <c r="U365" s="4">
        <v>1.4456</v>
      </c>
      <c r="V365" s="1" t="str">
        <f t="shared" si="50"/>
        <v>Standard Class</v>
      </c>
      <c r="W365" s="1" t="str">
        <f t="shared" si="51"/>
        <v>Consumer</v>
      </c>
      <c r="X365" s="1" t="str">
        <f t="shared" si="52"/>
        <v>New York City - New York</v>
      </c>
      <c r="Y365" s="1" t="str">
        <f t="shared" si="53"/>
        <v>Art</v>
      </c>
      <c r="Z365" s="1">
        <f t="shared" si="54"/>
        <v>5.56</v>
      </c>
      <c r="AA365" s="1">
        <f t="shared" si="55"/>
        <v>5.56</v>
      </c>
      <c r="AB365" s="1">
        <f t="shared" si="56"/>
        <v>11.12</v>
      </c>
      <c r="AC365" s="4">
        <f t="shared" si="57"/>
        <v>11.12</v>
      </c>
      <c r="AD365" s="1" t="s">
        <v>2013</v>
      </c>
      <c r="AE365" s="1" t="str">
        <f t="shared" si="58"/>
        <v>2017</v>
      </c>
      <c r="AF365" s="1" t="str">
        <f t="shared" si="59"/>
        <v>144904</v>
      </c>
    </row>
    <row r="366" spans="1:32" x14ac:dyDescent="0.3">
      <c r="A366" s="1">
        <v>365</v>
      </c>
      <c r="B366" s="1" t="s">
        <v>1278</v>
      </c>
      <c r="C366" s="2">
        <v>43003</v>
      </c>
      <c r="D366" s="2">
        <v>43009</v>
      </c>
      <c r="E366" s="1" t="s">
        <v>48</v>
      </c>
      <c r="F366" s="1" t="s">
        <v>1279</v>
      </c>
      <c r="G366" s="1" t="s">
        <v>1280</v>
      </c>
      <c r="H366" s="1" t="s">
        <v>24</v>
      </c>
      <c r="I366" s="1" t="s">
        <v>25</v>
      </c>
      <c r="J366" s="1" t="s">
        <v>264</v>
      </c>
      <c r="K366" s="1" t="s">
        <v>265</v>
      </c>
      <c r="L366" s="1">
        <v>10009</v>
      </c>
      <c r="M366" s="1" t="s">
        <v>146</v>
      </c>
      <c r="N366" s="1" t="s">
        <v>1285</v>
      </c>
      <c r="O366" s="1" t="s">
        <v>30</v>
      </c>
      <c r="P366" s="1" t="s">
        <v>63</v>
      </c>
      <c r="Q366" s="1" t="s">
        <v>1286</v>
      </c>
      <c r="R366" s="1">
        <v>47.12</v>
      </c>
      <c r="S366" s="1">
        <v>8</v>
      </c>
      <c r="T366" s="3">
        <v>0</v>
      </c>
      <c r="U366" s="4">
        <v>20.732800000000001</v>
      </c>
      <c r="V366" s="1" t="str">
        <f t="shared" si="50"/>
        <v>Standard Class</v>
      </c>
      <c r="W366" s="1" t="str">
        <f t="shared" si="51"/>
        <v>Consumer</v>
      </c>
      <c r="X366" s="1" t="str">
        <f t="shared" si="52"/>
        <v>New York City - New York</v>
      </c>
      <c r="Y366" s="1" t="str">
        <f t="shared" si="53"/>
        <v>Furnishings</v>
      </c>
      <c r="Z366" s="1">
        <f t="shared" si="54"/>
        <v>47.12</v>
      </c>
      <c r="AA366" s="1">
        <f t="shared" si="55"/>
        <v>47.12</v>
      </c>
      <c r="AB366" s="1">
        <f t="shared" si="56"/>
        <v>376.96</v>
      </c>
      <c r="AC366" s="4">
        <f t="shared" si="57"/>
        <v>376.96</v>
      </c>
      <c r="AD366" s="1" t="s">
        <v>2013</v>
      </c>
      <c r="AE366" s="1" t="str">
        <f t="shared" si="58"/>
        <v>2017</v>
      </c>
      <c r="AF366" s="1" t="str">
        <f t="shared" si="59"/>
        <v>144904</v>
      </c>
    </row>
    <row r="367" spans="1:32" x14ac:dyDescent="0.3">
      <c r="A367" s="1">
        <v>366</v>
      </c>
      <c r="B367" s="1" t="s">
        <v>1287</v>
      </c>
      <c r="C367" s="2">
        <v>41906</v>
      </c>
      <c r="D367" s="2">
        <v>41911</v>
      </c>
      <c r="E367" s="1" t="s">
        <v>48</v>
      </c>
      <c r="F367" s="1" t="s">
        <v>1288</v>
      </c>
      <c r="G367" s="1" t="s">
        <v>1289</v>
      </c>
      <c r="H367" s="1" t="s">
        <v>24</v>
      </c>
      <c r="I367" s="1" t="s">
        <v>25</v>
      </c>
      <c r="J367" s="1" t="s">
        <v>125</v>
      </c>
      <c r="K367" s="1" t="s">
        <v>41</v>
      </c>
      <c r="L367" s="1">
        <v>94109</v>
      </c>
      <c r="M367" s="1" t="s">
        <v>42</v>
      </c>
      <c r="N367" s="1" t="s">
        <v>237</v>
      </c>
      <c r="O367" s="1" t="s">
        <v>44</v>
      </c>
      <c r="P367" s="1" t="s">
        <v>57</v>
      </c>
      <c r="Q367" s="1" t="s">
        <v>238</v>
      </c>
      <c r="R367" s="1">
        <v>211.96</v>
      </c>
      <c r="S367" s="1">
        <v>4</v>
      </c>
      <c r="T367" s="3">
        <v>0</v>
      </c>
      <c r="U367" s="4">
        <v>8.4784000000000006</v>
      </c>
      <c r="V367" s="1" t="str">
        <f t="shared" si="50"/>
        <v>Standard Class</v>
      </c>
      <c r="W367" s="1" t="str">
        <f t="shared" si="51"/>
        <v>Consumer</v>
      </c>
      <c r="X367" s="1" t="str">
        <f t="shared" si="52"/>
        <v>San Francisco - California</v>
      </c>
      <c r="Y367" s="1" t="str">
        <f t="shared" si="53"/>
        <v>Storage</v>
      </c>
      <c r="Z367" s="1">
        <f t="shared" si="54"/>
        <v>211.96</v>
      </c>
      <c r="AA367" s="1">
        <f t="shared" si="55"/>
        <v>211.96</v>
      </c>
      <c r="AB367" s="1">
        <f t="shared" si="56"/>
        <v>847.84</v>
      </c>
      <c r="AC367" s="4">
        <f t="shared" si="57"/>
        <v>847.84</v>
      </c>
      <c r="AD367" s="1" t="s">
        <v>2013</v>
      </c>
      <c r="AE367" s="1" t="str">
        <f t="shared" si="58"/>
        <v>2014</v>
      </c>
      <c r="AF367" s="1" t="str">
        <f t="shared" si="59"/>
        <v>123344</v>
      </c>
    </row>
    <row r="368" spans="1:32" x14ac:dyDescent="0.3">
      <c r="A368" s="1">
        <v>367</v>
      </c>
      <c r="B368" s="1" t="s">
        <v>1290</v>
      </c>
      <c r="C368" s="2">
        <v>42664</v>
      </c>
      <c r="D368" s="2">
        <v>42664</v>
      </c>
      <c r="E368" s="1" t="s">
        <v>1291</v>
      </c>
      <c r="F368" s="1" t="s">
        <v>1292</v>
      </c>
      <c r="G368" s="1" t="s">
        <v>1293</v>
      </c>
      <c r="H368" s="1" t="s">
        <v>39</v>
      </c>
      <c r="I368" s="1" t="s">
        <v>25</v>
      </c>
      <c r="J368" s="1" t="s">
        <v>1294</v>
      </c>
      <c r="K368" s="1" t="s">
        <v>747</v>
      </c>
      <c r="L368" s="1">
        <v>6040</v>
      </c>
      <c r="M368" s="1" t="s">
        <v>146</v>
      </c>
      <c r="N368" s="1" t="s">
        <v>1295</v>
      </c>
      <c r="O368" s="1" t="s">
        <v>44</v>
      </c>
      <c r="P368" s="1" t="s">
        <v>73</v>
      </c>
      <c r="Q368" s="1" t="s">
        <v>1296</v>
      </c>
      <c r="R368" s="1">
        <v>23.2</v>
      </c>
      <c r="S368" s="1">
        <v>4</v>
      </c>
      <c r="T368" s="3">
        <v>0</v>
      </c>
      <c r="U368" s="4">
        <v>10.44</v>
      </c>
      <c r="V368" s="1" t="str">
        <f t="shared" si="50"/>
        <v>Same Day</v>
      </c>
      <c r="W368" s="1" t="str">
        <f t="shared" si="51"/>
        <v>Corporate</v>
      </c>
      <c r="X368" s="1" t="str">
        <f t="shared" si="52"/>
        <v>Manchester - Connecticut</v>
      </c>
      <c r="Y368" s="1" t="str">
        <f t="shared" si="53"/>
        <v>Binders</v>
      </c>
      <c r="Z368" s="1">
        <f t="shared" si="54"/>
        <v>23.2</v>
      </c>
      <c r="AA368" s="1">
        <f t="shared" si="55"/>
        <v>23.2</v>
      </c>
      <c r="AB368" s="1">
        <f t="shared" si="56"/>
        <v>92.8</v>
      </c>
      <c r="AC368" s="4">
        <f t="shared" si="57"/>
        <v>92.8</v>
      </c>
      <c r="AD368" s="1" t="s">
        <v>2013</v>
      </c>
      <c r="AE368" s="1" t="str">
        <f t="shared" si="58"/>
        <v>2016</v>
      </c>
      <c r="AF368" s="1" t="str">
        <f t="shared" si="59"/>
        <v>155516</v>
      </c>
    </row>
    <row r="369" spans="1:32" x14ac:dyDescent="0.3">
      <c r="A369" s="1">
        <v>368</v>
      </c>
      <c r="B369" s="1" t="s">
        <v>1290</v>
      </c>
      <c r="C369" s="2">
        <v>42664</v>
      </c>
      <c r="D369" s="2">
        <v>42664</v>
      </c>
      <c r="E369" s="1" t="s">
        <v>1291</v>
      </c>
      <c r="F369" s="1" t="s">
        <v>1292</v>
      </c>
      <c r="G369" s="1" t="s">
        <v>1293</v>
      </c>
      <c r="H369" s="1" t="s">
        <v>39</v>
      </c>
      <c r="I369" s="1" t="s">
        <v>25</v>
      </c>
      <c r="J369" s="1" t="s">
        <v>1294</v>
      </c>
      <c r="K369" s="1" t="s">
        <v>747</v>
      </c>
      <c r="L369" s="1">
        <v>6040</v>
      </c>
      <c r="M369" s="1" t="s">
        <v>146</v>
      </c>
      <c r="N369" s="1" t="s">
        <v>1297</v>
      </c>
      <c r="O369" s="1" t="s">
        <v>44</v>
      </c>
      <c r="P369" s="1" t="s">
        <v>577</v>
      </c>
      <c r="Q369" s="1" t="s">
        <v>1298</v>
      </c>
      <c r="R369" s="1">
        <v>7.36</v>
      </c>
      <c r="S369" s="1">
        <v>2</v>
      </c>
      <c r="T369" s="3">
        <v>0</v>
      </c>
      <c r="U369" s="4">
        <v>0.1472</v>
      </c>
      <c r="V369" s="1" t="str">
        <f t="shared" si="50"/>
        <v>Same Day</v>
      </c>
      <c r="W369" s="1" t="str">
        <f t="shared" si="51"/>
        <v>Corporate</v>
      </c>
      <c r="X369" s="1" t="str">
        <f t="shared" si="52"/>
        <v>Manchester - Connecticut</v>
      </c>
      <c r="Y369" s="1" t="str">
        <f t="shared" si="53"/>
        <v>Supplies</v>
      </c>
      <c r="Z369" s="1">
        <f t="shared" si="54"/>
        <v>7.36</v>
      </c>
      <c r="AA369" s="1">
        <f t="shared" si="55"/>
        <v>7.36</v>
      </c>
      <c r="AB369" s="1">
        <f t="shared" si="56"/>
        <v>14.72</v>
      </c>
      <c r="AC369" s="4">
        <f t="shared" si="57"/>
        <v>14.72</v>
      </c>
      <c r="AD369" s="1" t="s">
        <v>2013</v>
      </c>
      <c r="AE369" s="1" t="str">
        <f t="shared" si="58"/>
        <v>2016</v>
      </c>
      <c r="AF369" s="1" t="str">
        <f t="shared" si="59"/>
        <v>155516</v>
      </c>
    </row>
    <row r="370" spans="1:32" x14ac:dyDescent="0.3">
      <c r="A370" s="1">
        <v>369</v>
      </c>
      <c r="B370" s="1" t="s">
        <v>1290</v>
      </c>
      <c r="C370" s="2">
        <v>42664</v>
      </c>
      <c r="D370" s="2">
        <v>42664</v>
      </c>
      <c r="E370" s="1" t="s">
        <v>1291</v>
      </c>
      <c r="F370" s="1" t="s">
        <v>1292</v>
      </c>
      <c r="G370" s="1" t="s">
        <v>1293</v>
      </c>
      <c r="H370" s="1" t="s">
        <v>39</v>
      </c>
      <c r="I370" s="1" t="s">
        <v>25</v>
      </c>
      <c r="J370" s="1" t="s">
        <v>1294</v>
      </c>
      <c r="K370" s="1" t="s">
        <v>747</v>
      </c>
      <c r="L370" s="1">
        <v>6040</v>
      </c>
      <c r="M370" s="1" t="s">
        <v>146</v>
      </c>
      <c r="N370" s="1" t="s">
        <v>1299</v>
      </c>
      <c r="O370" s="1" t="s">
        <v>44</v>
      </c>
      <c r="P370" s="1" t="s">
        <v>57</v>
      </c>
      <c r="Q370" s="1" t="s">
        <v>1300</v>
      </c>
      <c r="R370" s="1">
        <v>104.79</v>
      </c>
      <c r="S370" s="1">
        <v>7</v>
      </c>
      <c r="T370" s="3">
        <v>0</v>
      </c>
      <c r="U370" s="4">
        <v>29.341200000000001</v>
      </c>
      <c r="V370" s="1" t="str">
        <f t="shared" si="50"/>
        <v>Same Day</v>
      </c>
      <c r="W370" s="1" t="str">
        <f t="shared" si="51"/>
        <v>Corporate</v>
      </c>
      <c r="X370" s="1" t="str">
        <f t="shared" si="52"/>
        <v>Manchester - Connecticut</v>
      </c>
      <c r="Y370" s="1" t="str">
        <f t="shared" si="53"/>
        <v>Storage</v>
      </c>
      <c r="Z370" s="1">
        <f t="shared" si="54"/>
        <v>104.79</v>
      </c>
      <c r="AA370" s="1">
        <f t="shared" si="55"/>
        <v>104.79</v>
      </c>
      <c r="AB370" s="1">
        <f t="shared" si="56"/>
        <v>733.53000000000009</v>
      </c>
      <c r="AC370" s="4">
        <f t="shared" si="57"/>
        <v>733.53000000000009</v>
      </c>
      <c r="AD370" s="1" t="s">
        <v>2013</v>
      </c>
      <c r="AE370" s="1" t="str">
        <f t="shared" si="58"/>
        <v>2016</v>
      </c>
      <c r="AF370" s="1" t="str">
        <f t="shared" si="59"/>
        <v>155516</v>
      </c>
    </row>
    <row r="371" spans="1:32" x14ac:dyDescent="0.3">
      <c r="A371" s="1">
        <v>370</v>
      </c>
      <c r="B371" s="1" t="s">
        <v>1290</v>
      </c>
      <c r="C371" s="2">
        <v>42664</v>
      </c>
      <c r="D371" s="2">
        <v>42664</v>
      </c>
      <c r="E371" s="1" t="s">
        <v>1291</v>
      </c>
      <c r="F371" s="1" t="s">
        <v>1292</v>
      </c>
      <c r="G371" s="1" t="s">
        <v>1293</v>
      </c>
      <c r="H371" s="1" t="s">
        <v>39</v>
      </c>
      <c r="I371" s="1" t="s">
        <v>25</v>
      </c>
      <c r="J371" s="1" t="s">
        <v>1294</v>
      </c>
      <c r="K371" s="1" t="s">
        <v>747</v>
      </c>
      <c r="L371" s="1">
        <v>6040</v>
      </c>
      <c r="M371" s="1" t="s">
        <v>146</v>
      </c>
      <c r="N371" s="1" t="s">
        <v>199</v>
      </c>
      <c r="O371" s="1" t="s">
        <v>30</v>
      </c>
      <c r="P371" s="1" t="s">
        <v>31</v>
      </c>
      <c r="Q371" s="1" t="s">
        <v>200</v>
      </c>
      <c r="R371" s="1">
        <v>1043.92</v>
      </c>
      <c r="S371" s="1">
        <v>4</v>
      </c>
      <c r="T371" s="3">
        <v>0</v>
      </c>
      <c r="U371" s="4">
        <v>271.41919999999999</v>
      </c>
      <c r="V371" s="1" t="str">
        <f t="shared" si="50"/>
        <v>Same Day</v>
      </c>
      <c r="W371" s="1" t="str">
        <f t="shared" si="51"/>
        <v>Corporate</v>
      </c>
      <c r="X371" s="1" t="str">
        <f t="shared" si="52"/>
        <v>Manchester - Connecticut</v>
      </c>
      <c r="Y371" s="1" t="str">
        <f t="shared" si="53"/>
        <v>Bookcases</v>
      </c>
      <c r="Z371" s="1">
        <f t="shared" si="54"/>
        <v>1043.92</v>
      </c>
      <c r="AA371" s="1">
        <f t="shared" si="55"/>
        <v>1043.92</v>
      </c>
      <c r="AB371" s="1">
        <f t="shared" si="56"/>
        <v>4175.68</v>
      </c>
      <c r="AC371" s="4">
        <f t="shared" si="57"/>
        <v>4175.68</v>
      </c>
      <c r="AD371" s="1" t="s">
        <v>2013</v>
      </c>
      <c r="AE371" s="1" t="str">
        <f t="shared" si="58"/>
        <v>2016</v>
      </c>
      <c r="AF371" s="1" t="str">
        <f t="shared" si="59"/>
        <v>155516</v>
      </c>
    </row>
    <row r="372" spans="1:32" x14ac:dyDescent="0.3">
      <c r="A372" s="1">
        <v>371</v>
      </c>
      <c r="B372" s="1" t="s">
        <v>1301</v>
      </c>
      <c r="C372" s="2">
        <v>42884</v>
      </c>
      <c r="D372" s="2">
        <v>42890</v>
      </c>
      <c r="E372" s="1" t="s">
        <v>48</v>
      </c>
      <c r="F372" s="1" t="s">
        <v>1302</v>
      </c>
      <c r="G372" s="1" t="s">
        <v>1303</v>
      </c>
      <c r="H372" s="1" t="s">
        <v>24</v>
      </c>
      <c r="I372" s="1" t="s">
        <v>25</v>
      </c>
      <c r="J372" s="1" t="s">
        <v>1304</v>
      </c>
      <c r="K372" s="1" t="s">
        <v>102</v>
      </c>
      <c r="L372" s="1">
        <v>78550</v>
      </c>
      <c r="M372" s="1" t="s">
        <v>103</v>
      </c>
      <c r="N372" s="1" t="s">
        <v>1305</v>
      </c>
      <c r="O372" s="1" t="s">
        <v>44</v>
      </c>
      <c r="P372" s="1" t="s">
        <v>88</v>
      </c>
      <c r="Q372" s="1" t="s">
        <v>1306</v>
      </c>
      <c r="R372" s="1">
        <v>25.92</v>
      </c>
      <c r="S372" s="1">
        <v>5</v>
      </c>
      <c r="T372" s="3">
        <v>0.2</v>
      </c>
      <c r="U372" s="4">
        <v>9.3960000000000008</v>
      </c>
      <c r="V372" s="1" t="str">
        <f t="shared" si="50"/>
        <v>Standard Class</v>
      </c>
      <c r="W372" s="1" t="str">
        <f t="shared" si="51"/>
        <v>Consumer</v>
      </c>
      <c r="X372" s="1" t="str">
        <f t="shared" si="52"/>
        <v>Harlingen - Texas</v>
      </c>
      <c r="Y372" s="1" t="str">
        <f t="shared" si="53"/>
        <v>Paper</v>
      </c>
      <c r="Z372" s="1">
        <f t="shared" si="54"/>
        <v>25.92</v>
      </c>
      <c r="AA372" s="1">
        <f t="shared" si="55"/>
        <v>25.92</v>
      </c>
      <c r="AB372" s="1">
        <f t="shared" si="56"/>
        <v>129.60000000000002</v>
      </c>
      <c r="AC372" s="4">
        <f t="shared" si="57"/>
        <v>103.68000000000002</v>
      </c>
      <c r="AD372" s="1" t="s">
        <v>2013</v>
      </c>
      <c r="AE372" s="1" t="str">
        <f t="shared" si="58"/>
        <v>2017</v>
      </c>
      <c r="AF372" s="1" t="str">
        <f t="shared" si="59"/>
        <v>104745</v>
      </c>
    </row>
    <row r="373" spans="1:32" x14ac:dyDescent="0.3">
      <c r="A373" s="1">
        <v>372</v>
      </c>
      <c r="B373" s="1" t="s">
        <v>1301</v>
      </c>
      <c r="C373" s="2">
        <v>42884</v>
      </c>
      <c r="D373" s="2">
        <v>42890</v>
      </c>
      <c r="E373" s="1"/>
      <c r="F373" s="1" t="s">
        <v>1302</v>
      </c>
      <c r="G373" s="1" t="s">
        <v>1303</v>
      </c>
      <c r="H373" s="1" t="s">
        <v>24</v>
      </c>
      <c r="I373" s="1" t="s">
        <v>25</v>
      </c>
      <c r="J373" s="1" t="s">
        <v>1304</v>
      </c>
      <c r="K373" s="1" t="s">
        <v>102</v>
      </c>
      <c r="L373" s="1">
        <v>78550</v>
      </c>
      <c r="M373" s="1" t="s">
        <v>103</v>
      </c>
      <c r="N373" s="1" t="s">
        <v>1307</v>
      </c>
      <c r="O373" s="1" t="s">
        <v>44</v>
      </c>
      <c r="P373" s="1" t="s">
        <v>57</v>
      </c>
      <c r="Q373" s="1" t="s">
        <v>1308</v>
      </c>
      <c r="R373" s="1">
        <v>53.423999999999999</v>
      </c>
      <c r="S373" s="1">
        <v>3</v>
      </c>
      <c r="T373" s="3">
        <v>0.2</v>
      </c>
      <c r="U373" s="4">
        <v>4.6745999999999999</v>
      </c>
      <c r="V373" s="1" t="str">
        <f t="shared" si="50"/>
        <v>UNKNOWN</v>
      </c>
      <c r="W373" s="1" t="str">
        <f t="shared" si="51"/>
        <v>Consumer</v>
      </c>
      <c r="X373" s="1" t="str">
        <f t="shared" si="52"/>
        <v>Harlingen - Texas</v>
      </c>
      <c r="Y373" s="1" t="str">
        <f t="shared" si="53"/>
        <v>Storage</v>
      </c>
      <c r="Z373" s="1">
        <f t="shared" si="54"/>
        <v>53.423999999999999</v>
      </c>
      <c r="AA373" s="1">
        <f t="shared" si="55"/>
        <v>53.423999999999999</v>
      </c>
      <c r="AB373" s="1">
        <f t="shared" si="56"/>
        <v>160.27199999999999</v>
      </c>
      <c r="AC373" s="4">
        <f t="shared" si="57"/>
        <v>128.2176</v>
      </c>
      <c r="AD373" s="1" t="s">
        <v>2013</v>
      </c>
      <c r="AE373" s="1" t="str">
        <f t="shared" si="58"/>
        <v>2017</v>
      </c>
      <c r="AF373" s="1" t="str">
        <f t="shared" si="59"/>
        <v>104745</v>
      </c>
    </row>
    <row r="374" spans="1:32" x14ac:dyDescent="0.3">
      <c r="A374" s="1">
        <v>373</v>
      </c>
      <c r="B374" s="1" t="s">
        <v>1309</v>
      </c>
      <c r="C374" s="2">
        <v>41843</v>
      </c>
      <c r="D374" s="2">
        <v>41847</v>
      </c>
      <c r="E374" s="1" t="s">
        <v>48</v>
      </c>
      <c r="F374" s="1" t="s">
        <v>1310</v>
      </c>
      <c r="G374" s="1" t="s">
        <v>1311</v>
      </c>
      <c r="H374" s="1" t="s">
        <v>24</v>
      </c>
      <c r="I374" s="1" t="s">
        <v>25</v>
      </c>
      <c r="J374" s="1" t="s">
        <v>1312</v>
      </c>
      <c r="K374" s="1" t="s">
        <v>308</v>
      </c>
      <c r="L374" s="1">
        <v>85705</v>
      </c>
      <c r="M374" s="1" t="s">
        <v>42</v>
      </c>
      <c r="N374" s="1" t="s">
        <v>1209</v>
      </c>
      <c r="O374" s="1" t="s">
        <v>44</v>
      </c>
      <c r="P374" s="1" t="s">
        <v>73</v>
      </c>
      <c r="Q374" s="1" t="s">
        <v>1210</v>
      </c>
      <c r="R374" s="1">
        <v>8.16</v>
      </c>
      <c r="S374" s="1">
        <v>5</v>
      </c>
      <c r="T374" s="3">
        <v>0.7</v>
      </c>
      <c r="U374" s="4">
        <v>-5.7119999999999997</v>
      </c>
      <c r="V374" s="1" t="str">
        <f t="shared" si="50"/>
        <v>Standard Class</v>
      </c>
      <c r="W374" s="1" t="str">
        <f t="shared" si="51"/>
        <v>Consumer</v>
      </c>
      <c r="X374" s="1" t="str">
        <f t="shared" si="52"/>
        <v>Tucson - Arizona</v>
      </c>
      <c r="Y374" s="1" t="str">
        <f t="shared" si="53"/>
        <v>Binders</v>
      </c>
      <c r="Z374" s="1">
        <f t="shared" si="54"/>
        <v>8.16</v>
      </c>
      <c r="AA374" s="1">
        <f t="shared" si="55"/>
        <v>8.16</v>
      </c>
      <c r="AB374" s="1">
        <f t="shared" si="56"/>
        <v>40.799999999999997</v>
      </c>
      <c r="AC374" s="4">
        <f t="shared" si="57"/>
        <v>12.24</v>
      </c>
      <c r="AD374" s="1" t="s">
        <v>2014</v>
      </c>
      <c r="AE374" s="1" t="str">
        <f t="shared" si="58"/>
        <v>2014</v>
      </c>
      <c r="AF374" s="1" t="str">
        <f t="shared" si="59"/>
        <v>119137</v>
      </c>
    </row>
    <row r="375" spans="1:32" x14ac:dyDescent="0.3">
      <c r="A375" s="1">
        <v>374</v>
      </c>
      <c r="B375" s="1" t="s">
        <v>1309</v>
      </c>
      <c r="C375" s="2">
        <v>41843</v>
      </c>
      <c r="D375" s="2">
        <v>41847</v>
      </c>
      <c r="E375" s="1" t="s">
        <v>48</v>
      </c>
      <c r="F375" s="1" t="s">
        <v>1310</v>
      </c>
      <c r="G375" s="1" t="s">
        <v>1311</v>
      </c>
      <c r="H375" s="1" t="s">
        <v>24</v>
      </c>
      <c r="I375" s="1" t="s">
        <v>25</v>
      </c>
      <c r="J375" s="1" t="s">
        <v>1312</v>
      </c>
      <c r="K375" s="1" t="s">
        <v>308</v>
      </c>
      <c r="L375" s="1">
        <v>85705</v>
      </c>
      <c r="M375" s="1" t="s">
        <v>42</v>
      </c>
      <c r="N375" s="1" t="s">
        <v>1313</v>
      </c>
      <c r="O375" s="1" t="s">
        <v>69</v>
      </c>
      <c r="P375" s="1" t="s">
        <v>159</v>
      </c>
      <c r="Q375" s="1" t="s">
        <v>1314</v>
      </c>
      <c r="R375" s="1">
        <v>1023.936</v>
      </c>
      <c r="S375" s="1">
        <v>8</v>
      </c>
      <c r="T375" s="3">
        <v>0.2</v>
      </c>
      <c r="U375" s="4">
        <v>179.18879999999999</v>
      </c>
      <c r="V375" s="1" t="str">
        <f t="shared" si="50"/>
        <v>Standard Class</v>
      </c>
      <c r="W375" s="1" t="str">
        <f t="shared" si="51"/>
        <v>Consumer</v>
      </c>
      <c r="X375" s="1" t="str">
        <f t="shared" si="52"/>
        <v>Tucson - Arizona</v>
      </c>
      <c r="Y375" s="1" t="str">
        <f t="shared" si="53"/>
        <v>Accessories</v>
      </c>
      <c r="Z375" s="1">
        <f t="shared" si="54"/>
        <v>1023.936</v>
      </c>
      <c r="AA375" s="1">
        <f t="shared" si="55"/>
        <v>1023.936</v>
      </c>
      <c r="AB375" s="1">
        <f t="shared" si="56"/>
        <v>8191.4880000000003</v>
      </c>
      <c r="AC375" s="4">
        <f t="shared" si="57"/>
        <v>6553.1904000000004</v>
      </c>
      <c r="AD375" s="1" t="s">
        <v>2014</v>
      </c>
      <c r="AE375" s="1" t="str">
        <f t="shared" si="58"/>
        <v>2014</v>
      </c>
      <c r="AF375" s="1" t="str">
        <f t="shared" si="59"/>
        <v>119137</v>
      </c>
    </row>
    <row r="376" spans="1:32" x14ac:dyDescent="0.3">
      <c r="A376" s="1">
        <v>375</v>
      </c>
      <c r="B376" s="1" t="s">
        <v>1309</v>
      </c>
      <c r="C376" s="2">
        <v>41843</v>
      </c>
      <c r="D376" s="2">
        <v>41847</v>
      </c>
      <c r="E376" s="1" t="s">
        <v>48</v>
      </c>
      <c r="F376" s="1" t="s">
        <v>1310</v>
      </c>
      <c r="G376" s="1" t="s">
        <v>1311</v>
      </c>
      <c r="H376" s="1" t="s">
        <v>24</v>
      </c>
      <c r="I376" s="1" t="s">
        <v>25</v>
      </c>
      <c r="J376" s="1" t="s">
        <v>1312</v>
      </c>
      <c r="K376" s="1" t="s">
        <v>308</v>
      </c>
      <c r="L376" s="1">
        <v>85705</v>
      </c>
      <c r="M376" s="1" t="s">
        <v>42</v>
      </c>
      <c r="N376" s="1" t="s">
        <v>1315</v>
      </c>
      <c r="O376" s="1" t="s">
        <v>44</v>
      </c>
      <c r="P376" s="1" t="s">
        <v>66</v>
      </c>
      <c r="Q376" s="1" t="s">
        <v>1316</v>
      </c>
      <c r="R376" s="1">
        <v>9.24</v>
      </c>
      <c r="S376" s="1">
        <v>1</v>
      </c>
      <c r="T376" s="3">
        <v>0.2</v>
      </c>
      <c r="U376" s="4">
        <v>0.92400000000000004</v>
      </c>
      <c r="V376" s="1" t="str">
        <f t="shared" si="50"/>
        <v>Standard Class</v>
      </c>
      <c r="W376" s="1" t="str">
        <f t="shared" si="51"/>
        <v>Consumer</v>
      </c>
      <c r="X376" s="1" t="str">
        <f t="shared" si="52"/>
        <v>Tucson - Arizona</v>
      </c>
      <c r="Y376" s="1" t="str">
        <f t="shared" si="53"/>
        <v>Art</v>
      </c>
      <c r="Z376" s="1">
        <f t="shared" si="54"/>
        <v>9.24</v>
      </c>
      <c r="AA376" s="1">
        <f t="shared" si="55"/>
        <v>9.24</v>
      </c>
      <c r="AB376" s="1">
        <f t="shared" si="56"/>
        <v>9.24</v>
      </c>
      <c r="AC376" s="4">
        <f t="shared" si="57"/>
        <v>7.3920000000000003</v>
      </c>
      <c r="AD376" s="1" t="s">
        <v>2014</v>
      </c>
      <c r="AE376" s="1" t="str">
        <f t="shared" si="58"/>
        <v>2014</v>
      </c>
      <c r="AF376" s="1" t="str">
        <f t="shared" si="59"/>
        <v>119137</v>
      </c>
    </row>
    <row r="377" spans="1:32" x14ac:dyDescent="0.3">
      <c r="A377" s="1">
        <v>376</v>
      </c>
      <c r="B377" s="1" t="s">
        <v>1309</v>
      </c>
      <c r="C377" s="2">
        <v>41843</v>
      </c>
      <c r="D377" s="2">
        <v>41847</v>
      </c>
      <c r="E377" s="1" t="s">
        <v>48</v>
      </c>
      <c r="F377" s="1" t="s">
        <v>1310</v>
      </c>
      <c r="G377" s="1" t="s">
        <v>1311</v>
      </c>
      <c r="H377" s="1" t="s">
        <v>24</v>
      </c>
      <c r="I377" s="1" t="s">
        <v>25</v>
      </c>
      <c r="J377" s="1" t="s">
        <v>1312</v>
      </c>
      <c r="K377" s="1" t="s">
        <v>308</v>
      </c>
      <c r="L377" s="1">
        <v>85705</v>
      </c>
      <c r="M377" s="1" t="s">
        <v>42</v>
      </c>
      <c r="N377" s="1" t="s">
        <v>1317</v>
      </c>
      <c r="O377" s="1" t="s">
        <v>69</v>
      </c>
      <c r="P377" s="1" t="s">
        <v>159</v>
      </c>
      <c r="Q377" s="1" t="s">
        <v>1318</v>
      </c>
      <c r="R377" s="1">
        <v>479.04</v>
      </c>
      <c r="S377" s="1">
        <v>10</v>
      </c>
      <c r="T377" s="3">
        <v>0.2</v>
      </c>
      <c r="U377" s="4">
        <v>-29.94</v>
      </c>
      <c r="V377" s="1" t="str">
        <f t="shared" si="50"/>
        <v>Standard Class</v>
      </c>
      <c r="W377" s="1" t="str">
        <f t="shared" si="51"/>
        <v>Consumer</v>
      </c>
      <c r="X377" s="1" t="str">
        <f t="shared" si="52"/>
        <v>Tucson - Arizona</v>
      </c>
      <c r="Y377" s="1" t="str">
        <f t="shared" si="53"/>
        <v>Accessories</v>
      </c>
      <c r="Z377" s="1">
        <f t="shared" si="54"/>
        <v>479.04</v>
      </c>
      <c r="AA377" s="1">
        <f t="shared" si="55"/>
        <v>479.04</v>
      </c>
      <c r="AB377" s="1">
        <f t="shared" si="56"/>
        <v>4790.4000000000005</v>
      </c>
      <c r="AC377" s="4">
        <f t="shared" si="57"/>
        <v>3832.3200000000006</v>
      </c>
      <c r="AD377" s="1" t="s">
        <v>2014</v>
      </c>
      <c r="AE377" s="1" t="str">
        <f t="shared" si="58"/>
        <v>2014</v>
      </c>
      <c r="AF377" s="1" t="str">
        <f t="shared" si="59"/>
        <v>119137</v>
      </c>
    </row>
    <row r="378" spans="1:32" x14ac:dyDescent="0.3">
      <c r="A378" s="1">
        <v>377</v>
      </c>
      <c r="B378" s="1" t="s">
        <v>1319</v>
      </c>
      <c r="C378" s="2">
        <v>42641</v>
      </c>
      <c r="D378" s="2">
        <v>42644</v>
      </c>
      <c r="E378" s="1" t="s">
        <v>186</v>
      </c>
      <c r="F378" s="1" t="s">
        <v>1320</v>
      </c>
      <c r="G378" s="1" t="s">
        <v>1321</v>
      </c>
      <c r="H378" s="1" t="s">
        <v>39</v>
      </c>
      <c r="I378" s="1" t="s">
        <v>25</v>
      </c>
      <c r="J378" s="1" t="s">
        <v>1322</v>
      </c>
      <c r="K378" s="1" t="s">
        <v>209</v>
      </c>
      <c r="L378" s="1">
        <v>62301</v>
      </c>
      <c r="M378" s="1" t="s">
        <v>103</v>
      </c>
      <c r="N378" s="1" t="s">
        <v>1323</v>
      </c>
      <c r="O378" s="1" t="s">
        <v>44</v>
      </c>
      <c r="P378" s="1" t="s">
        <v>88</v>
      </c>
      <c r="Q378" s="1" t="s">
        <v>1324</v>
      </c>
      <c r="R378" s="1">
        <v>99.135999999999996</v>
      </c>
      <c r="S378" s="1">
        <v>4</v>
      </c>
      <c r="T378" s="3">
        <v>0.2</v>
      </c>
      <c r="U378" s="4">
        <v>30.98</v>
      </c>
      <c r="V378" s="1" t="str">
        <f t="shared" si="50"/>
        <v>First Class</v>
      </c>
      <c r="W378" s="1" t="str">
        <f t="shared" si="51"/>
        <v>Corporate</v>
      </c>
      <c r="X378" s="1" t="str">
        <f t="shared" si="52"/>
        <v>Quincy - Illinois</v>
      </c>
      <c r="Y378" s="1" t="str">
        <f t="shared" si="53"/>
        <v>Paper</v>
      </c>
      <c r="Z378" s="1">
        <f t="shared" si="54"/>
        <v>99.135999999999996</v>
      </c>
      <c r="AA378" s="1">
        <f t="shared" si="55"/>
        <v>99.135999999999996</v>
      </c>
      <c r="AB378" s="1">
        <f t="shared" si="56"/>
        <v>396.54399999999998</v>
      </c>
      <c r="AC378" s="4">
        <f t="shared" si="57"/>
        <v>317.23520000000002</v>
      </c>
      <c r="AD378" s="1" t="s">
        <v>2014</v>
      </c>
      <c r="AE378" s="1" t="str">
        <f t="shared" si="58"/>
        <v>2016</v>
      </c>
      <c r="AF378" s="1" t="str">
        <f t="shared" si="59"/>
        <v>134656</v>
      </c>
    </row>
    <row r="379" spans="1:32" x14ac:dyDescent="0.3">
      <c r="A379" s="1">
        <v>378</v>
      </c>
      <c r="B379" s="1" t="s">
        <v>1325</v>
      </c>
      <c r="C379" s="2">
        <v>42974</v>
      </c>
      <c r="D379" s="2">
        <v>42979</v>
      </c>
      <c r="E379" s="1" t="s">
        <v>48</v>
      </c>
      <c r="F379" s="1" t="s">
        <v>1326</v>
      </c>
      <c r="G379" s="1" t="s">
        <v>1327</v>
      </c>
      <c r="H379" s="1" t="s">
        <v>39</v>
      </c>
      <c r="I379" s="1" t="s">
        <v>25</v>
      </c>
      <c r="J379" s="1" t="s">
        <v>611</v>
      </c>
      <c r="K379" s="1" t="s">
        <v>1246</v>
      </c>
      <c r="L379" s="1">
        <v>2038</v>
      </c>
      <c r="M379" s="1" t="s">
        <v>146</v>
      </c>
      <c r="N379" s="1" t="s">
        <v>1328</v>
      </c>
      <c r="O379" s="1" t="s">
        <v>30</v>
      </c>
      <c r="P379" s="1" t="s">
        <v>54</v>
      </c>
      <c r="Q379" s="1" t="s">
        <v>1329</v>
      </c>
      <c r="R379" s="1">
        <v>1488.424</v>
      </c>
      <c r="S379" s="1">
        <v>7</v>
      </c>
      <c r="T379" s="3">
        <v>0.3</v>
      </c>
      <c r="U379" s="4">
        <v>-297.6848</v>
      </c>
      <c r="V379" s="1" t="str">
        <f t="shared" si="50"/>
        <v>Standard Class</v>
      </c>
      <c r="W379" s="1" t="str">
        <f t="shared" si="51"/>
        <v>Corporate</v>
      </c>
      <c r="X379" s="1" t="str">
        <f t="shared" si="52"/>
        <v>Franklin - Massachusetts</v>
      </c>
      <c r="Y379" s="1" t="str">
        <f t="shared" si="53"/>
        <v>Tables</v>
      </c>
      <c r="Z379" s="1">
        <f t="shared" si="54"/>
        <v>1488.424</v>
      </c>
      <c r="AA379" s="1">
        <f t="shared" si="55"/>
        <v>1488.424</v>
      </c>
      <c r="AB379" s="1">
        <f t="shared" si="56"/>
        <v>10418.968000000001</v>
      </c>
      <c r="AC379" s="4">
        <f t="shared" si="57"/>
        <v>7293.2776000000003</v>
      </c>
      <c r="AD379" s="1" t="s">
        <v>2014</v>
      </c>
      <c r="AE379" s="1" t="str">
        <f t="shared" si="58"/>
        <v>2017</v>
      </c>
      <c r="AF379" s="1" t="str">
        <f t="shared" si="59"/>
        <v>134481</v>
      </c>
    </row>
    <row r="380" spans="1:32" x14ac:dyDescent="0.3">
      <c r="A380" s="1">
        <v>379</v>
      </c>
      <c r="B380" s="1" t="s">
        <v>1330</v>
      </c>
      <c r="C380" s="2">
        <v>42122</v>
      </c>
      <c r="D380" s="2">
        <v>42129</v>
      </c>
      <c r="E380" s="1" t="s">
        <v>48</v>
      </c>
      <c r="F380" s="1" t="s">
        <v>1331</v>
      </c>
      <c r="G380" s="1" t="s">
        <v>1332</v>
      </c>
      <c r="H380" s="1" t="s">
        <v>24</v>
      </c>
      <c r="I380" s="1" t="s">
        <v>25</v>
      </c>
      <c r="J380" s="1" t="s">
        <v>182</v>
      </c>
      <c r="K380" s="1" t="s">
        <v>102</v>
      </c>
      <c r="L380" s="1">
        <v>77095</v>
      </c>
      <c r="M380" s="1" t="s">
        <v>103</v>
      </c>
      <c r="N380" s="1" t="s">
        <v>1333</v>
      </c>
      <c r="O380" s="1" t="s">
        <v>44</v>
      </c>
      <c r="P380" s="1" t="s">
        <v>76</v>
      </c>
      <c r="Q380" s="1" t="s">
        <v>1334</v>
      </c>
      <c r="R380" s="1">
        <v>8.6519999999999992</v>
      </c>
      <c r="S380" s="1">
        <v>3</v>
      </c>
      <c r="T380" s="3">
        <v>0.8</v>
      </c>
      <c r="U380" s="4">
        <v>-20.3322</v>
      </c>
      <c r="V380" s="1" t="str">
        <f t="shared" si="50"/>
        <v>Standard Class</v>
      </c>
      <c r="W380" s="1" t="str">
        <f t="shared" si="51"/>
        <v>Consumer</v>
      </c>
      <c r="X380" s="1" t="str">
        <f t="shared" si="52"/>
        <v>Houston - Texas</v>
      </c>
      <c r="Y380" s="1" t="str">
        <f t="shared" si="53"/>
        <v>Appliances</v>
      </c>
      <c r="Z380" s="1">
        <f t="shared" si="54"/>
        <v>8.6519999999999992</v>
      </c>
      <c r="AA380" s="1">
        <f t="shared" si="55"/>
        <v>8.6519999999999992</v>
      </c>
      <c r="AB380" s="1">
        <f t="shared" si="56"/>
        <v>25.955999999999996</v>
      </c>
      <c r="AC380" s="4">
        <f t="shared" si="57"/>
        <v>5.1911999999999985</v>
      </c>
      <c r="AD380" s="1" t="s">
        <v>2013</v>
      </c>
      <c r="AE380" s="1" t="str">
        <f t="shared" si="58"/>
        <v>2015</v>
      </c>
      <c r="AF380" s="1" t="str">
        <f t="shared" si="59"/>
        <v>130792</v>
      </c>
    </row>
    <row r="381" spans="1:32" x14ac:dyDescent="0.3">
      <c r="A381" s="1">
        <v>380</v>
      </c>
      <c r="B381" s="1" t="s">
        <v>1330</v>
      </c>
      <c r="C381" s="2">
        <v>42122</v>
      </c>
      <c r="D381" s="2">
        <v>42129</v>
      </c>
      <c r="E381" s="1" t="s">
        <v>48</v>
      </c>
      <c r="F381" s="1" t="s">
        <v>1331</v>
      </c>
      <c r="G381" s="1" t="s">
        <v>1332</v>
      </c>
      <c r="H381" s="1" t="s">
        <v>24</v>
      </c>
      <c r="I381" s="1" t="s">
        <v>25</v>
      </c>
      <c r="J381" s="1" t="s">
        <v>182</v>
      </c>
      <c r="K381" s="1" t="s">
        <v>102</v>
      </c>
      <c r="L381" s="1">
        <v>77095</v>
      </c>
      <c r="M381" s="1" t="s">
        <v>103</v>
      </c>
      <c r="N381" s="1" t="s">
        <v>1335</v>
      </c>
      <c r="O381" s="1" t="s">
        <v>44</v>
      </c>
      <c r="P381" s="1" t="s">
        <v>57</v>
      </c>
      <c r="Q381" s="1" t="s">
        <v>1336</v>
      </c>
      <c r="R381" s="1">
        <v>23.832000000000001</v>
      </c>
      <c r="S381" s="1">
        <v>3</v>
      </c>
      <c r="T381" s="3">
        <v>0.2</v>
      </c>
      <c r="U381" s="4">
        <v>2.6810999999999998</v>
      </c>
      <c r="V381" s="1" t="str">
        <f t="shared" si="50"/>
        <v>Standard Class</v>
      </c>
      <c r="W381" s="1" t="str">
        <f t="shared" si="51"/>
        <v>Consumer</v>
      </c>
      <c r="X381" s="1" t="str">
        <f t="shared" si="52"/>
        <v>Houston - Texas</v>
      </c>
      <c r="Y381" s="1" t="str">
        <f t="shared" si="53"/>
        <v>Storage</v>
      </c>
      <c r="Z381" s="1">
        <f t="shared" si="54"/>
        <v>23.832000000000001</v>
      </c>
      <c r="AA381" s="1">
        <f t="shared" si="55"/>
        <v>23.832000000000001</v>
      </c>
      <c r="AB381" s="1">
        <f t="shared" si="56"/>
        <v>71.496000000000009</v>
      </c>
      <c r="AC381" s="4">
        <f t="shared" si="57"/>
        <v>57.19680000000001</v>
      </c>
      <c r="AD381" s="1" t="s">
        <v>2013</v>
      </c>
      <c r="AE381" s="1" t="str">
        <f t="shared" si="58"/>
        <v>2015</v>
      </c>
      <c r="AF381" s="1" t="str">
        <f t="shared" si="59"/>
        <v>130792</v>
      </c>
    </row>
    <row r="382" spans="1:32" x14ac:dyDescent="0.3">
      <c r="A382" s="1">
        <v>381</v>
      </c>
      <c r="B382" s="1" t="s">
        <v>1330</v>
      </c>
      <c r="C382" s="2">
        <v>42122</v>
      </c>
      <c r="D382" s="2">
        <v>42129</v>
      </c>
      <c r="E382" s="1" t="s">
        <v>48</v>
      </c>
      <c r="F382" s="1" t="s">
        <v>1331</v>
      </c>
      <c r="G382" s="1" t="s">
        <v>1332</v>
      </c>
      <c r="H382" s="1" t="s">
        <v>24</v>
      </c>
      <c r="I382" s="1" t="s">
        <v>25</v>
      </c>
      <c r="J382" s="1" t="s">
        <v>182</v>
      </c>
      <c r="K382" s="1" t="s">
        <v>102</v>
      </c>
      <c r="L382" s="1">
        <v>77095</v>
      </c>
      <c r="M382" s="1" t="s">
        <v>103</v>
      </c>
      <c r="N382" s="1" t="s">
        <v>1337</v>
      </c>
      <c r="O382" s="1" t="s">
        <v>44</v>
      </c>
      <c r="P382" s="1" t="s">
        <v>73</v>
      </c>
      <c r="Q382" s="1" t="s">
        <v>1338</v>
      </c>
      <c r="R382" s="1">
        <v>12.176</v>
      </c>
      <c r="S382" s="1">
        <v>4</v>
      </c>
      <c r="T382" s="3">
        <v>0.8</v>
      </c>
      <c r="U382" s="4">
        <v>-18.872800000000002</v>
      </c>
      <c r="V382" s="1" t="str">
        <f t="shared" si="50"/>
        <v>Standard Class</v>
      </c>
      <c r="W382" s="1" t="str">
        <f t="shared" si="51"/>
        <v>Consumer</v>
      </c>
      <c r="X382" s="1" t="str">
        <f t="shared" si="52"/>
        <v>Houston - Texas</v>
      </c>
      <c r="Y382" s="1" t="str">
        <f t="shared" si="53"/>
        <v>Binders</v>
      </c>
      <c r="Z382" s="1">
        <f t="shared" si="54"/>
        <v>12.176</v>
      </c>
      <c r="AA382" s="1">
        <f t="shared" si="55"/>
        <v>12.176</v>
      </c>
      <c r="AB382" s="1">
        <f t="shared" si="56"/>
        <v>48.704000000000001</v>
      </c>
      <c r="AC382" s="4">
        <f t="shared" si="57"/>
        <v>9.7407999999999983</v>
      </c>
      <c r="AD382" s="1" t="s">
        <v>2013</v>
      </c>
      <c r="AE382" s="1" t="str">
        <f t="shared" si="58"/>
        <v>2015</v>
      </c>
      <c r="AF382" s="1" t="str">
        <f t="shared" si="59"/>
        <v>130792</v>
      </c>
    </row>
    <row r="383" spans="1:32" x14ac:dyDescent="0.3">
      <c r="A383" s="1">
        <v>382</v>
      </c>
      <c r="B383" s="1" t="s">
        <v>1339</v>
      </c>
      <c r="C383" s="2">
        <v>42671</v>
      </c>
      <c r="D383" s="2">
        <v>42672</v>
      </c>
      <c r="E383" s="1" t="s">
        <v>186</v>
      </c>
      <c r="F383" s="1" t="s">
        <v>1340</v>
      </c>
      <c r="G383" s="1" t="s">
        <v>1341</v>
      </c>
      <c r="H383" s="1" t="s">
        <v>39</v>
      </c>
      <c r="I383" s="1" t="s">
        <v>25</v>
      </c>
      <c r="J383" s="1" t="s">
        <v>125</v>
      </c>
      <c r="K383" s="1" t="s">
        <v>41</v>
      </c>
      <c r="L383" s="1">
        <v>94109</v>
      </c>
      <c r="M383" s="1" t="s">
        <v>42</v>
      </c>
      <c r="N383" s="1" t="s">
        <v>1342</v>
      </c>
      <c r="O383" s="1" t="s">
        <v>44</v>
      </c>
      <c r="P383" s="1" t="s">
        <v>88</v>
      </c>
      <c r="Q383" s="1" t="s">
        <v>1343</v>
      </c>
      <c r="R383" s="1">
        <v>50.96</v>
      </c>
      <c r="S383" s="1">
        <v>7</v>
      </c>
      <c r="T383" s="3">
        <v>0</v>
      </c>
      <c r="U383" s="4">
        <v>25.48</v>
      </c>
      <c r="V383" s="1" t="str">
        <f t="shared" si="50"/>
        <v>First Class</v>
      </c>
      <c r="W383" s="1" t="str">
        <f t="shared" si="51"/>
        <v>Corporate</v>
      </c>
      <c r="X383" s="1" t="str">
        <f t="shared" si="52"/>
        <v>San Francisco - California</v>
      </c>
      <c r="Y383" s="1" t="str">
        <f t="shared" si="53"/>
        <v>Paper</v>
      </c>
      <c r="Z383" s="1">
        <f t="shared" si="54"/>
        <v>50.96</v>
      </c>
      <c r="AA383" s="1">
        <f t="shared" si="55"/>
        <v>50.96</v>
      </c>
      <c r="AB383" s="1">
        <f t="shared" si="56"/>
        <v>356.72</v>
      </c>
      <c r="AC383" s="4">
        <f t="shared" si="57"/>
        <v>356.72</v>
      </c>
      <c r="AD383" s="1" t="s">
        <v>2013</v>
      </c>
      <c r="AE383" s="1" t="str">
        <f t="shared" si="58"/>
        <v>2016</v>
      </c>
      <c r="AF383" s="1" t="str">
        <f t="shared" si="59"/>
        <v>134775</v>
      </c>
    </row>
    <row r="384" spans="1:32" x14ac:dyDescent="0.3">
      <c r="A384" s="1">
        <v>383</v>
      </c>
      <c r="B384" s="1" t="s">
        <v>1339</v>
      </c>
      <c r="C384" s="2">
        <v>42671</v>
      </c>
      <c r="D384" s="2">
        <v>42672</v>
      </c>
      <c r="E384" s="1" t="s">
        <v>186</v>
      </c>
      <c r="F384" s="1" t="s">
        <v>1340</v>
      </c>
      <c r="G384" s="1" t="s">
        <v>1341</v>
      </c>
      <c r="H384" s="1" t="s">
        <v>39</v>
      </c>
      <c r="I384" s="1" t="s">
        <v>25</v>
      </c>
      <c r="J384" s="1" t="s">
        <v>125</v>
      </c>
      <c r="K384" s="1" t="s">
        <v>41</v>
      </c>
      <c r="L384" s="1">
        <v>94109</v>
      </c>
      <c r="M384" s="1" t="s">
        <v>42</v>
      </c>
      <c r="N384" s="1" t="s">
        <v>1344</v>
      </c>
      <c r="O384" s="1" t="s">
        <v>44</v>
      </c>
      <c r="P384" s="1" t="s">
        <v>73</v>
      </c>
      <c r="Q384" s="1" t="s">
        <v>1345</v>
      </c>
      <c r="R384" s="1">
        <v>49.536000000000001</v>
      </c>
      <c r="S384" s="1">
        <v>3</v>
      </c>
      <c r="T384" s="3">
        <v>0.2</v>
      </c>
      <c r="U384" s="4">
        <v>17.337599999999998</v>
      </c>
      <c r="V384" s="1" t="str">
        <f t="shared" si="50"/>
        <v>First Class</v>
      </c>
      <c r="W384" s="1" t="str">
        <f t="shared" si="51"/>
        <v>Corporate</v>
      </c>
      <c r="X384" s="1" t="str">
        <f t="shared" si="52"/>
        <v>San Francisco - California</v>
      </c>
      <c r="Y384" s="1" t="str">
        <f t="shared" si="53"/>
        <v>Binders</v>
      </c>
      <c r="Z384" s="1">
        <f t="shared" si="54"/>
        <v>49.536000000000001</v>
      </c>
      <c r="AA384" s="1">
        <f t="shared" si="55"/>
        <v>49.536000000000001</v>
      </c>
      <c r="AB384" s="1">
        <f t="shared" si="56"/>
        <v>148.608</v>
      </c>
      <c r="AC384" s="4">
        <f t="shared" si="57"/>
        <v>118.88640000000001</v>
      </c>
      <c r="AD384" s="1" t="s">
        <v>2013</v>
      </c>
      <c r="AE384" s="1" t="str">
        <f t="shared" si="58"/>
        <v>2016</v>
      </c>
      <c r="AF384" s="1" t="str">
        <f t="shared" si="59"/>
        <v>134775</v>
      </c>
    </row>
    <row r="385" spans="1:32" x14ac:dyDescent="0.3">
      <c r="A385" s="1">
        <v>384</v>
      </c>
      <c r="B385" s="1" t="s">
        <v>1346</v>
      </c>
      <c r="C385" s="2">
        <v>42181</v>
      </c>
      <c r="D385" s="2">
        <v>42184</v>
      </c>
      <c r="E385" s="1" t="s">
        <v>21</v>
      </c>
      <c r="F385" s="1" t="s">
        <v>1347</v>
      </c>
      <c r="G385" s="1" t="s">
        <v>1348</v>
      </c>
      <c r="H385" s="1" t="s">
        <v>39</v>
      </c>
      <c r="I385" s="1" t="s">
        <v>25</v>
      </c>
      <c r="J385" s="1" t="s">
        <v>1114</v>
      </c>
      <c r="K385" s="1" t="s">
        <v>236</v>
      </c>
      <c r="L385" s="1">
        <v>48180</v>
      </c>
      <c r="M385" s="1" t="s">
        <v>103</v>
      </c>
      <c r="N385" s="1" t="s">
        <v>1349</v>
      </c>
      <c r="O385" s="1" t="s">
        <v>69</v>
      </c>
      <c r="P385" s="1" t="s">
        <v>159</v>
      </c>
      <c r="Q385" s="1" t="s">
        <v>1350</v>
      </c>
      <c r="R385" s="1">
        <v>41.9</v>
      </c>
      <c r="S385" s="1">
        <v>2</v>
      </c>
      <c r="T385" s="3">
        <v>0</v>
      </c>
      <c r="U385" s="4">
        <v>8.7989999999999995</v>
      </c>
      <c r="V385" s="1" t="str">
        <f t="shared" si="50"/>
        <v>Second Class</v>
      </c>
      <c r="W385" s="1" t="str">
        <f t="shared" si="51"/>
        <v>Corporate</v>
      </c>
      <c r="X385" s="1" t="str">
        <f t="shared" si="52"/>
        <v>Taylor - Michigan</v>
      </c>
      <c r="Y385" s="1" t="str">
        <f t="shared" si="53"/>
        <v>Accessories</v>
      </c>
      <c r="Z385" s="1">
        <f t="shared" si="54"/>
        <v>41.9</v>
      </c>
      <c r="AA385" s="1">
        <f t="shared" si="55"/>
        <v>41.9</v>
      </c>
      <c r="AB385" s="1">
        <f t="shared" si="56"/>
        <v>83.8</v>
      </c>
      <c r="AC385" s="4">
        <f t="shared" si="57"/>
        <v>83.8</v>
      </c>
      <c r="AD385" s="1" t="s">
        <v>2013</v>
      </c>
      <c r="AE385" s="1" t="str">
        <f t="shared" si="58"/>
        <v>2015</v>
      </c>
      <c r="AF385" s="1" t="str">
        <f t="shared" si="59"/>
        <v>125395</v>
      </c>
    </row>
    <row r="386" spans="1:32" x14ac:dyDescent="0.3">
      <c r="A386" s="1">
        <v>385</v>
      </c>
      <c r="B386" s="1" t="s">
        <v>1351</v>
      </c>
      <c r="C386" s="2">
        <v>42335</v>
      </c>
      <c r="D386" s="2">
        <v>42340</v>
      </c>
      <c r="E386" s="1" t="s">
        <v>48</v>
      </c>
      <c r="F386" s="1" t="s">
        <v>1352</v>
      </c>
      <c r="G386" s="1" t="s">
        <v>1353</v>
      </c>
      <c r="H386" s="1" t="s">
        <v>24</v>
      </c>
      <c r="I386" s="1" t="s">
        <v>25</v>
      </c>
      <c r="J386" s="1" t="s">
        <v>1354</v>
      </c>
      <c r="K386" s="1" t="s">
        <v>52</v>
      </c>
      <c r="L386" s="1">
        <v>33024</v>
      </c>
      <c r="M386" s="1" t="s">
        <v>28</v>
      </c>
      <c r="N386" s="1" t="s">
        <v>1355</v>
      </c>
      <c r="O386" s="1" t="s">
        <v>30</v>
      </c>
      <c r="P386" s="1" t="s">
        <v>54</v>
      </c>
      <c r="Q386" s="1" t="s">
        <v>1356</v>
      </c>
      <c r="R386" s="1">
        <v>375.45749999999998</v>
      </c>
      <c r="S386" s="1">
        <v>3</v>
      </c>
      <c r="T386" s="3">
        <v>0.45</v>
      </c>
      <c r="U386" s="4">
        <v>-157.0095</v>
      </c>
      <c r="V386" s="1" t="str">
        <f t="shared" ref="V386:V449" si="60">IF(ISBLANK(E386),"UNKNOWN",E386)</f>
        <v>Standard Class</v>
      </c>
      <c r="W386" s="1" t="str">
        <f t="shared" ref="W386:W449" si="61">IF(ISBLANK(H386),"UNKNOWN",H386)</f>
        <v>Consumer</v>
      </c>
      <c r="X386" s="1" t="str">
        <f t="shared" ref="X386:X449" si="62">CONCATENATE(J386," - ",K386)</f>
        <v>Pembroke Pines - Florida</v>
      </c>
      <c r="Y386" s="1" t="str">
        <f t="shared" ref="Y386:Y449" si="63">IF(ISBLANK(P386),"UNKNOWN",P386)</f>
        <v>Tables</v>
      </c>
      <c r="Z386" s="1">
        <f t="shared" ref="Z386:Z449" si="64">IF(ISBLANK(R386),ROUND(AVERAGEIF($O$2:$O$600,O386,$R$2:$R$29),0),R386)</f>
        <v>375.45749999999998</v>
      </c>
      <c r="AA386" s="1">
        <f t="shared" ref="AA386:AA449" si="65">IF(ISBLANK(R386),ROUND(AVERAGEIF($Y$2:$Y$600,Y386,$R$2:$R$29),0),R386)</f>
        <v>375.45749999999998</v>
      </c>
      <c r="AB386" s="1">
        <f t="shared" ref="AB386:AB449" si="66">AA386*S386</f>
        <v>1126.3724999999999</v>
      </c>
      <c r="AC386" s="4">
        <f t="shared" si="57"/>
        <v>619.50487499999997</v>
      </c>
      <c r="AD386" s="1" t="s">
        <v>2014</v>
      </c>
      <c r="AE386" s="1" t="str">
        <f t="shared" si="58"/>
        <v>2015</v>
      </c>
      <c r="AF386" s="1" t="str">
        <f t="shared" si="59"/>
        <v>168935</v>
      </c>
    </row>
    <row r="387" spans="1:32" x14ac:dyDescent="0.3">
      <c r="A387" s="1">
        <v>386</v>
      </c>
      <c r="B387" s="1" t="s">
        <v>1351</v>
      </c>
      <c r="C387" s="2">
        <v>42335</v>
      </c>
      <c r="D387" s="2">
        <v>42340</v>
      </c>
      <c r="E387" s="1" t="s">
        <v>48</v>
      </c>
      <c r="F387" s="1" t="s">
        <v>1352</v>
      </c>
      <c r="G387" s="1" t="s">
        <v>1353</v>
      </c>
      <c r="H387" s="1" t="s">
        <v>24</v>
      </c>
      <c r="I387" s="1" t="s">
        <v>25</v>
      </c>
      <c r="J387" s="1" t="s">
        <v>1354</v>
      </c>
      <c r="K387" s="1" t="s">
        <v>52</v>
      </c>
      <c r="L387" s="1">
        <v>33024</v>
      </c>
      <c r="M387" s="1" t="s">
        <v>28</v>
      </c>
      <c r="N387" s="1" t="s">
        <v>1357</v>
      </c>
      <c r="O387" s="1" t="s">
        <v>69</v>
      </c>
      <c r="P387" s="1" t="s">
        <v>159</v>
      </c>
      <c r="Q387" s="1" t="s">
        <v>1358</v>
      </c>
      <c r="R387" s="1">
        <v>83.975999999999999</v>
      </c>
      <c r="S387" s="1">
        <v>3</v>
      </c>
      <c r="T387" s="3">
        <v>0.2</v>
      </c>
      <c r="U387" s="4">
        <v>-1.0497000000000001</v>
      </c>
      <c r="V387" s="1" t="str">
        <f t="shared" si="60"/>
        <v>Standard Class</v>
      </c>
      <c r="W387" s="1" t="str">
        <f t="shared" si="61"/>
        <v>Consumer</v>
      </c>
      <c r="X387" s="1" t="str">
        <f t="shared" si="62"/>
        <v>Pembroke Pines - Florida</v>
      </c>
      <c r="Y387" s="1" t="str">
        <f t="shared" si="63"/>
        <v>Accessories</v>
      </c>
      <c r="Z387" s="1">
        <f t="shared" si="64"/>
        <v>83.975999999999999</v>
      </c>
      <c r="AA387" s="1">
        <f t="shared" si="65"/>
        <v>83.975999999999999</v>
      </c>
      <c r="AB387" s="1">
        <f t="shared" si="66"/>
        <v>251.928</v>
      </c>
      <c r="AC387" s="4">
        <f t="shared" ref="AC387:AC450" si="67">AB387*(1-T387)</f>
        <v>201.54240000000001</v>
      </c>
      <c r="AD387" s="1" t="s">
        <v>2014</v>
      </c>
      <c r="AE387" s="1" t="str">
        <f t="shared" ref="AE387:AE450" si="68">MID(B387,4,4)</f>
        <v>2015</v>
      </c>
      <c r="AF387" s="1" t="str">
        <f t="shared" ref="AF387:AF450" si="69">RIGHT(B387,6)</f>
        <v>168935</v>
      </c>
    </row>
    <row r="388" spans="1:32" x14ac:dyDescent="0.3">
      <c r="A388" s="1">
        <v>387</v>
      </c>
      <c r="B388" s="1" t="s">
        <v>1359</v>
      </c>
      <c r="C388" s="2">
        <v>42341</v>
      </c>
      <c r="D388" s="2">
        <v>42345</v>
      </c>
      <c r="E388" s="1" t="s">
        <v>48</v>
      </c>
      <c r="F388" s="1" t="s">
        <v>1360</v>
      </c>
      <c r="G388" s="1" t="s">
        <v>1361</v>
      </c>
      <c r="H388" s="1" t="s">
        <v>39</v>
      </c>
      <c r="I388" s="1" t="s">
        <v>25</v>
      </c>
      <c r="J388" s="1" t="s">
        <v>144</v>
      </c>
      <c r="K388" s="1" t="s">
        <v>145</v>
      </c>
      <c r="L388" s="1">
        <v>19140</v>
      </c>
      <c r="M388" s="1" t="s">
        <v>146</v>
      </c>
      <c r="N388" s="1" t="s">
        <v>1362</v>
      </c>
      <c r="O388" s="1" t="s">
        <v>69</v>
      </c>
      <c r="P388" s="1" t="s">
        <v>682</v>
      </c>
      <c r="Q388" s="1" t="s">
        <v>1363</v>
      </c>
      <c r="R388" s="1">
        <v>482.34</v>
      </c>
      <c r="S388" s="1">
        <v>4</v>
      </c>
      <c r="T388" s="3">
        <v>0.7</v>
      </c>
      <c r="U388" s="4">
        <v>-337.63799999999998</v>
      </c>
      <c r="V388" s="1" t="str">
        <f t="shared" si="60"/>
        <v>Standard Class</v>
      </c>
      <c r="W388" s="1" t="str">
        <f t="shared" si="61"/>
        <v>Corporate</v>
      </c>
      <c r="X388" s="1" t="str">
        <f t="shared" si="62"/>
        <v>Philadelphia - Pennsylvania</v>
      </c>
      <c r="Y388" s="1" t="str">
        <f t="shared" si="63"/>
        <v>Machines</v>
      </c>
      <c r="Z388" s="1">
        <f t="shared" si="64"/>
        <v>482.34</v>
      </c>
      <c r="AA388" s="1">
        <f t="shared" si="65"/>
        <v>482.34</v>
      </c>
      <c r="AB388" s="1">
        <f t="shared" si="66"/>
        <v>1929.36</v>
      </c>
      <c r="AC388" s="4">
        <f t="shared" si="67"/>
        <v>578.80800000000011</v>
      </c>
      <c r="AD388" s="1" t="s">
        <v>2013</v>
      </c>
      <c r="AE388" s="1" t="str">
        <f t="shared" si="68"/>
        <v>2015</v>
      </c>
      <c r="AF388" s="1" t="str">
        <f t="shared" si="69"/>
        <v>122756</v>
      </c>
    </row>
    <row r="389" spans="1:32" x14ac:dyDescent="0.3">
      <c r="A389" s="1">
        <v>388</v>
      </c>
      <c r="B389" s="1" t="s">
        <v>1359</v>
      </c>
      <c r="C389" s="2">
        <v>42341</v>
      </c>
      <c r="D389" s="2">
        <v>42345</v>
      </c>
      <c r="E389" s="1" t="s">
        <v>48</v>
      </c>
      <c r="F389" s="1" t="s">
        <v>1360</v>
      </c>
      <c r="G389" s="1" t="s">
        <v>1361</v>
      </c>
      <c r="H389" s="1" t="s">
        <v>39</v>
      </c>
      <c r="I389" s="1" t="s">
        <v>25</v>
      </c>
      <c r="J389" s="1" t="s">
        <v>144</v>
      </c>
      <c r="K389" s="1" t="s">
        <v>145</v>
      </c>
      <c r="L389" s="1">
        <v>19140</v>
      </c>
      <c r="M389" s="1" t="s">
        <v>146</v>
      </c>
      <c r="N389" s="1" t="s">
        <v>1364</v>
      </c>
      <c r="O389" s="1" t="s">
        <v>30</v>
      </c>
      <c r="P389" s="1" t="s">
        <v>63</v>
      </c>
      <c r="Q389" s="1" t="s">
        <v>1365</v>
      </c>
      <c r="R389" s="1">
        <v>2.96</v>
      </c>
      <c r="S389" s="1">
        <v>1</v>
      </c>
      <c r="T389" s="3">
        <v>0.2</v>
      </c>
      <c r="U389" s="4">
        <v>0.77700000000000002</v>
      </c>
      <c r="V389" s="1" t="str">
        <f t="shared" si="60"/>
        <v>Standard Class</v>
      </c>
      <c r="W389" s="1" t="str">
        <f t="shared" si="61"/>
        <v>Corporate</v>
      </c>
      <c r="X389" s="1" t="str">
        <f t="shared" si="62"/>
        <v>Philadelphia - Pennsylvania</v>
      </c>
      <c r="Y389" s="1" t="str">
        <f t="shared" si="63"/>
        <v>Furnishings</v>
      </c>
      <c r="Z389" s="1">
        <f t="shared" si="64"/>
        <v>2.96</v>
      </c>
      <c r="AA389" s="1">
        <f t="shared" si="65"/>
        <v>2.96</v>
      </c>
      <c r="AB389" s="1">
        <f t="shared" si="66"/>
        <v>2.96</v>
      </c>
      <c r="AC389" s="4">
        <f t="shared" si="67"/>
        <v>2.3679999999999999</v>
      </c>
      <c r="AD389" s="1" t="s">
        <v>2013</v>
      </c>
      <c r="AE389" s="1" t="str">
        <f t="shared" si="68"/>
        <v>2015</v>
      </c>
      <c r="AF389" s="1" t="str">
        <f t="shared" si="69"/>
        <v>122756</v>
      </c>
    </row>
    <row r="390" spans="1:32" x14ac:dyDescent="0.3">
      <c r="A390" s="1">
        <v>389</v>
      </c>
      <c r="B390" s="1" t="s">
        <v>1366</v>
      </c>
      <c r="C390" s="2">
        <v>41967</v>
      </c>
      <c r="D390" s="2">
        <v>41969</v>
      </c>
      <c r="E390" s="1" t="s">
        <v>186</v>
      </c>
      <c r="F390" s="1" t="s">
        <v>1367</v>
      </c>
      <c r="G390" s="1" t="s">
        <v>1368</v>
      </c>
      <c r="H390" s="1" t="s">
        <v>24</v>
      </c>
      <c r="I390" s="1" t="s">
        <v>25</v>
      </c>
      <c r="J390" s="1" t="s">
        <v>1008</v>
      </c>
      <c r="K390" s="1" t="s">
        <v>496</v>
      </c>
      <c r="L390" s="1">
        <v>45231</v>
      </c>
      <c r="M390" s="1" t="s">
        <v>146</v>
      </c>
      <c r="N390" s="1" t="s">
        <v>1369</v>
      </c>
      <c r="O390" s="1" t="s">
        <v>44</v>
      </c>
      <c r="P390" s="1" t="s">
        <v>66</v>
      </c>
      <c r="Q390" s="1" t="s">
        <v>1370</v>
      </c>
      <c r="R390" s="1">
        <v>2.6240000000000001</v>
      </c>
      <c r="S390" s="1">
        <v>1</v>
      </c>
      <c r="T390" s="3">
        <v>0.2</v>
      </c>
      <c r="U390" s="4">
        <v>0.4264</v>
      </c>
      <c r="V390" s="1" t="str">
        <f t="shared" si="60"/>
        <v>First Class</v>
      </c>
      <c r="W390" s="1" t="str">
        <f t="shared" si="61"/>
        <v>Consumer</v>
      </c>
      <c r="X390" s="1" t="str">
        <f t="shared" si="62"/>
        <v>Cincinnati - Ohio</v>
      </c>
      <c r="Y390" s="1" t="str">
        <f t="shared" si="63"/>
        <v>Art</v>
      </c>
      <c r="Z390" s="1">
        <f t="shared" si="64"/>
        <v>2.6240000000000001</v>
      </c>
      <c r="AA390" s="1">
        <f t="shared" si="65"/>
        <v>2.6240000000000001</v>
      </c>
      <c r="AB390" s="1">
        <f t="shared" si="66"/>
        <v>2.6240000000000001</v>
      </c>
      <c r="AC390" s="4">
        <f t="shared" si="67"/>
        <v>2.0992000000000002</v>
      </c>
      <c r="AD390" s="1" t="s">
        <v>2013</v>
      </c>
      <c r="AE390" s="1" t="str">
        <f t="shared" si="68"/>
        <v>2014</v>
      </c>
      <c r="AF390" s="1" t="str">
        <f t="shared" si="69"/>
        <v>115973</v>
      </c>
    </row>
    <row r="391" spans="1:32" x14ac:dyDescent="0.3">
      <c r="A391" s="1">
        <v>390</v>
      </c>
      <c r="B391" s="1" t="s">
        <v>1371</v>
      </c>
      <c r="C391" s="2">
        <v>43080</v>
      </c>
      <c r="D391" s="2">
        <v>43084</v>
      </c>
      <c r="E391" s="1" t="s">
        <v>48</v>
      </c>
      <c r="F391" s="1" t="s">
        <v>1372</v>
      </c>
      <c r="G391" s="1" t="s">
        <v>1373</v>
      </c>
      <c r="H391" s="1" t="s">
        <v>24</v>
      </c>
      <c r="I391" s="1" t="s">
        <v>25</v>
      </c>
      <c r="J391" s="1" t="s">
        <v>264</v>
      </c>
      <c r="K391" s="1" t="s">
        <v>265</v>
      </c>
      <c r="L391" s="1">
        <v>10009</v>
      </c>
      <c r="M391" s="1" t="s">
        <v>146</v>
      </c>
      <c r="N391" s="1" t="s">
        <v>1374</v>
      </c>
      <c r="O391" s="1" t="s">
        <v>44</v>
      </c>
      <c r="P391" s="1" t="s">
        <v>73</v>
      </c>
      <c r="Q391" s="1" t="s">
        <v>1375</v>
      </c>
      <c r="R391" s="1">
        <v>23.36</v>
      </c>
      <c r="S391" s="1">
        <v>4</v>
      </c>
      <c r="T391" s="3">
        <v>0.2</v>
      </c>
      <c r="U391" s="4">
        <v>7.8840000000000003</v>
      </c>
      <c r="V391" s="1" t="str">
        <f t="shared" si="60"/>
        <v>Standard Class</v>
      </c>
      <c r="W391" s="1" t="str">
        <f t="shared" si="61"/>
        <v>Consumer</v>
      </c>
      <c r="X391" s="1" t="str">
        <f t="shared" si="62"/>
        <v>New York City - New York</v>
      </c>
      <c r="Y391" s="1" t="str">
        <f t="shared" si="63"/>
        <v>Binders</v>
      </c>
      <c r="Z391" s="1">
        <f t="shared" si="64"/>
        <v>23.36</v>
      </c>
      <c r="AA391" s="1">
        <f t="shared" si="65"/>
        <v>23.36</v>
      </c>
      <c r="AB391" s="1">
        <f t="shared" si="66"/>
        <v>93.44</v>
      </c>
      <c r="AC391" s="4">
        <f t="shared" si="67"/>
        <v>74.751999999999995</v>
      </c>
      <c r="AD391" s="1" t="s">
        <v>2013</v>
      </c>
      <c r="AE391" s="1" t="str">
        <f t="shared" si="68"/>
        <v>2017</v>
      </c>
      <c r="AF391" s="1" t="str">
        <f t="shared" si="69"/>
        <v>101798</v>
      </c>
    </row>
    <row r="392" spans="1:32" x14ac:dyDescent="0.3">
      <c r="A392" s="1">
        <v>391</v>
      </c>
      <c r="B392" s="1" t="s">
        <v>1371</v>
      </c>
      <c r="C392" s="2">
        <v>43080</v>
      </c>
      <c r="D392" s="2">
        <v>43084</v>
      </c>
      <c r="E392" s="1" t="s">
        <v>48</v>
      </c>
      <c r="F392" s="1" t="s">
        <v>1372</v>
      </c>
      <c r="G392" s="1" t="s">
        <v>1373</v>
      </c>
      <c r="H392" s="1" t="s">
        <v>24</v>
      </c>
      <c r="I392" s="1" t="s">
        <v>25</v>
      </c>
      <c r="J392" s="1" t="s">
        <v>264</v>
      </c>
      <c r="K392" s="1" t="s">
        <v>265</v>
      </c>
      <c r="L392" s="1">
        <v>10009</v>
      </c>
      <c r="M392" s="1" t="s">
        <v>146</v>
      </c>
      <c r="N392" s="1" t="s">
        <v>388</v>
      </c>
      <c r="O392" s="1" t="s">
        <v>69</v>
      </c>
      <c r="P392" s="1" t="s">
        <v>159</v>
      </c>
      <c r="Q392" s="1" t="s">
        <v>389</v>
      </c>
      <c r="R392" s="1">
        <v>39.979999999999997</v>
      </c>
      <c r="S392" s="1">
        <v>2</v>
      </c>
      <c r="T392" s="3">
        <v>0</v>
      </c>
      <c r="U392" s="4">
        <v>13.5932</v>
      </c>
      <c r="V392" s="1" t="str">
        <f t="shared" si="60"/>
        <v>Standard Class</v>
      </c>
      <c r="W392" s="1" t="str">
        <f t="shared" si="61"/>
        <v>Consumer</v>
      </c>
      <c r="X392" s="1" t="str">
        <f t="shared" si="62"/>
        <v>New York City - New York</v>
      </c>
      <c r="Y392" s="1" t="str">
        <f t="shared" si="63"/>
        <v>Accessories</v>
      </c>
      <c r="Z392" s="1">
        <f t="shared" si="64"/>
        <v>39.979999999999997</v>
      </c>
      <c r="AA392" s="1">
        <f t="shared" si="65"/>
        <v>39.979999999999997</v>
      </c>
      <c r="AB392" s="1">
        <f t="shared" si="66"/>
        <v>79.959999999999994</v>
      </c>
      <c r="AC392" s="4">
        <f t="shared" si="67"/>
        <v>79.959999999999994</v>
      </c>
      <c r="AD392" s="1" t="s">
        <v>2013</v>
      </c>
      <c r="AE392" s="1" t="str">
        <f t="shared" si="68"/>
        <v>2017</v>
      </c>
      <c r="AF392" s="1" t="str">
        <f t="shared" si="69"/>
        <v>101798</v>
      </c>
    </row>
    <row r="393" spans="1:32" x14ac:dyDescent="0.3">
      <c r="A393" s="1">
        <v>392</v>
      </c>
      <c r="B393" s="1" t="s">
        <v>1376</v>
      </c>
      <c r="C393" s="2">
        <v>41903</v>
      </c>
      <c r="D393" s="2">
        <v>41905</v>
      </c>
      <c r="E393" s="1" t="s">
        <v>21</v>
      </c>
      <c r="F393" s="1" t="s">
        <v>1377</v>
      </c>
      <c r="G393" s="1" t="s">
        <v>1378</v>
      </c>
      <c r="H393" s="1" t="s">
        <v>24</v>
      </c>
      <c r="I393" s="1" t="s">
        <v>25</v>
      </c>
      <c r="J393" s="1" t="s">
        <v>1379</v>
      </c>
      <c r="K393" s="1" t="s">
        <v>94</v>
      </c>
      <c r="L393" s="1">
        <v>98198</v>
      </c>
      <c r="M393" s="1" t="s">
        <v>42</v>
      </c>
      <c r="N393" s="1" t="s">
        <v>1380</v>
      </c>
      <c r="O393" s="1" t="s">
        <v>69</v>
      </c>
      <c r="P393" s="1" t="s">
        <v>70</v>
      </c>
      <c r="Q393" s="1" t="s">
        <v>1381</v>
      </c>
      <c r="R393" s="1">
        <v>246.38399999999999</v>
      </c>
      <c r="S393" s="1">
        <v>2</v>
      </c>
      <c r="T393" s="3">
        <v>0.2</v>
      </c>
      <c r="U393" s="4">
        <v>27.7182</v>
      </c>
      <c r="V393" s="1" t="str">
        <f t="shared" si="60"/>
        <v>Second Class</v>
      </c>
      <c r="W393" s="1" t="str">
        <f t="shared" si="61"/>
        <v>Consumer</v>
      </c>
      <c r="X393" s="1" t="str">
        <f t="shared" si="62"/>
        <v>Des Moines - Washington</v>
      </c>
      <c r="Y393" s="1" t="str">
        <f t="shared" si="63"/>
        <v>Phones</v>
      </c>
      <c r="Z393" s="1">
        <f t="shared" si="64"/>
        <v>246.38399999999999</v>
      </c>
      <c r="AA393" s="1">
        <f t="shared" si="65"/>
        <v>246.38399999999999</v>
      </c>
      <c r="AB393" s="1">
        <f t="shared" si="66"/>
        <v>492.76799999999997</v>
      </c>
      <c r="AC393" s="4">
        <f t="shared" si="67"/>
        <v>394.21440000000001</v>
      </c>
      <c r="AD393" s="1" t="s">
        <v>2014</v>
      </c>
      <c r="AE393" s="1" t="str">
        <f t="shared" si="68"/>
        <v>2014</v>
      </c>
      <c r="AF393" s="1" t="str">
        <f t="shared" si="69"/>
        <v>135972</v>
      </c>
    </row>
    <row r="394" spans="1:32" x14ac:dyDescent="0.3">
      <c r="A394" s="1">
        <v>393</v>
      </c>
      <c r="B394" s="1" t="s">
        <v>1376</v>
      </c>
      <c r="C394" s="2">
        <v>41903</v>
      </c>
      <c r="D394" s="2">
        <v>41905</v>
      </c>
      <c r="E394" s="1" t="s">
        <v>21</v>
      </c>
      <c r="F394" s="1" t="s">
        <v>1377</v>
      </c>
      <c r="G394" s="1" t="s">
        <v>1378</v>
      </c>
      <c r="H394" s="1" t="s">
        <v>24</v>
      </c>
      <c r="I394" s="1" t="s">
        <v>25</v>
      </c>
      <c r="J394" s="1" t="s">
        <v>1379</v>
      </c>
      <c r="K394" s="1" t="s">
        <v>94</v>
      </c>
      <c r="L394" s="1">
        <v>98198</v>
      </c>
      <c r="M394" s="1" t="s">
        <v>42</v>
      </c>
      <c r="N394" s="1" t="s">
        <v>1382</v>
      </c>
      <c r="O394" s="1" t="s">
        <v>69</v>
      </c>
      <c r="P394" s="1" t="s">
        <v>1217</v>
      </c>
      <c r="Q394" s="1" t="s">
        <v>1383</v>
      </c>
      <c r="R394" s="1">
        <v>1799.97</v>
      </c>
      <c r="S394" s="1">
        <v>3</v>
      </c>
      <c r="T394" s="3">
        <v>0</v>
      </c>
      <c r="U394" s="4">
        <v>701.98829999999998</v>
      </c>
      <c r="V394" s="1" t="str">
        <f t="shared" si="60"/>
        <v>Second Class</v>
      </c>
      <c r="W394" s="1" t="str">
        <f t="shared" si="61"/>
        <v>Consumer</v>
      </c>
      <c r="X394" s="1" t="str">
        <f t="shared" si="62"/>
        <v>Des Moines - Washington</v>
      </c>
      <c r="Y394" s="1" t="str">
        <f t="shared" si="63"/>
        <v>Copiers</v>
      </c>
      <c r="Z394" s="1">
        <f t="shared" si="64"/>
        <v>1799.97</v>
      </c>
      <c r="AA394" s="1">
        <f t="shared" si="65"/>
        <v>1799.97</v>
      </c>
      <c r="AB394" s="1">
        <f t="shared" si="66"/>
        <v>5399.91</v>
      </c>
      <c r="AC394" s="4">
        <f t="shared" si="67"/>
        <v>5399.91</v>
      </c>
      <c r="AD394" s="1" t="s">
        <v>2014</v>
      </c>
      <c r="AE394" s="1" t="str">
        <f t="shared" si="68"/>
        <v>2014</v>
      </c>
      <c r="AF394" s="1" t="str">
        <f t="shared" si="69"/>
        <v>135972</v>
      </c>
    </row>
    <row r="395" spans="1:32" x14ac:dyDescent="0.3">
      <c r="A395" s="1">
        <v>394</v>
      </c>
      <c r="B395" s="1" t="s">
        <v>1384</v>
      </c>
      <c r="C395" s="2">
        <v>41797</v>
      </c>
      <c r="D395" s="2">
        <v>41800</v>
      </c>
      <c r="E395" s="1" t="s">
        <v>21</v>
      </c>
      <c r="F395" s="1" t="s">
        <v>1385</v>
      </c>
      <c r="G395" s="1" t="s">
        <v>1386</v>
      </c>
      <c r="H395" s="1" t="s">
        <v>39</v>
      </c>
      <c r="I395" s="1" t="s">
        <v>25</v>
      </c>
      <c r="J395" s="1" t="s">
        <v>1387</v>
      </c>
      <c r="K395" s="1" t="s">
        <v>209</v>
      </c>
      <c r="L395" s="1">
        <v>61604</v>
      </c>
      <c r="M395" s="1" t="s">
        <v>103</v>
      </c>
      <c r="N395" s="1" t="s">
        <v>1388</v>
      </c>
      <c r="O395" s="1" t="s">
        <v>44</v>
      </c>
      <c r="P395" s="1" t="s">
        <v>73</v>
      </c>
      <c r="Q395" s="1" t="s">
        <v>1389</v>
      </c>
      <c r="R395" s="1">
        <v>12.462</v>
      </c>
      <c r="S395" s="1">
        <v>3</v>
      </c>
      <c r="T395" s="3">
        <v>0.8</v>
      </c>
      <c r="U395" s="4">
        <v>-20.5623</v>
      </c>
      <c r="V395" s="1" t="str">
        <f t="shared" si="60"/>
        <v>Second Class</v>
      </c>
      <c r="W395" s="1" t="str">
        <f t="shared" si="61"/>
        <v>Corporate</v>
      </c>
      <c r="X395" s="1" t="str">
        <f t="shared" si="62"/>
        <v>Peoria - Illinois</v>
      </c>
      <c r="Y395" s="1" t="str">
        <f t="shared" si="63"/>
        <v>Binders</v>
      </c>
      <c r="Z395" s="1">
        <f t="shared" si="64"/>
        <v>12.462</v>
      </c>
      <c r="AA395" s="1">
        <f t="shared" si="65"/>
        <v>12.462</v>
      </c>
      <c r="AB395" s="1">
        <f t="shared" si="66"/>
        <v>37.385999999999996</v>
      </c>
      <c r="AC395" s="4">
        <f t="shared" si="67"/>
        <v>7.4771999999999972</v>
      </c>
      <c r="AD395" s="1" t="s">
        <v>2014</v>
      </c>
      <c r="AE395" s="1" t="str">
        <f t="shared" si="68"/>
        <v>2014</v>
      </c>
      <c r="AF395" s="1" t="str">
        <f t="shared" si="69"/>
        <v>134971</v>
      </c>
    </row>
    <row r="396" spans="1:32" x14ac:dyDescent="0.3">
      <c r="A396" s="1">
        <v>395</v>
      </c>
      <c r="B396" s="1" t="s">
        <v>1390</v>
      </c>
      <c r="C396" s="2">
        <v>42916</v>
      </c>
      <c r="D396" s="2">
        <v>42921</v>
      </c>
      <c r="E396" s="1" t="s">
        <v>48</v>
      </c>
      <c r="F396" s="1" t="s">
        <v>1391</v>
      </c>
      <c r="G396" s="1" t="s">
        <v>1392</v>
      </c>
      <c r="H396" s="1" t="s">
        <v>100</v>
      </c>
      <c r="I396" s="1" t="s">
        <v>25</v>
      </c>
      <c r="J396" s="1" t="s">
        <v>1393</v>
      </c>
      <c r="K396" s="1" t="s">
        <v>1394</v>
      </c>
      <c r="L396" s="1">
        <v>89115</v>
      </c>
      <c r="M396" s="1" t="s">
        <v>42</v>
      </c>
      <c r="N396" s="1" t="s">
        <v>1395</v>
      </c>
      <c r="O396" s="1" t="s">
        <v>44</v>
      </c>
      <c r="P396" s="1" t="s">
        <v>73</v>
      </c>
      <c r="Q396" s="1" t="s">
        <v>1396</v>
      </c>
      <c r="R396" s="1">
        <v>75.792000000000002</v>
      </c>
      <c r="S396" s="1">
        <v>3</v>
      </c>
      <c r="T396" s="3">
        <v>0.2</v>
      </c>
      <c r="U396" s="4">
        <v>25.579799999999999</v>
      </c>
      <c r="V396" s="1" t="str">
        <f t="shared" si="60"/>
        <v>Standard Class</v>
      </c>
      <c r="W396" s="1" t="str">
        <f t="shared" si="61"/>
        <v>Home Office</v>
      </c>
      <c r="X396" s="1" t="str">
        <f t="shared" si="62"/>
        <v>Las Vegas - Nevada</v>
      </c>
      <c r="Y396" s="1" t="str">
        <f t="shared" si="63"/>
        <v>Binders</v>
      </c>
      <c r="Z396" s="1">
        <f t="shared" si="64"/>
        <v>75.792000000000002</v>
      </c>
      <c r="AA396" s="1">
        <f t="shared" si="65"/>
        <v>75.792000000000002</v>
      </c>
      <c r="AB396" s="1">
        <f t="shared" si="66"/>
        <v>227.376</v>
      </c>
      <c r="AC396" s="4">
        <f t="shared" si="67"/>
        <v>181.9008</v>
      </c>
      <c r="AD396" s="1" t="s">
        <v>2013</v>
      </c>
      <c r="AE396" s="1" t="str">
        <f t="shared" si="68"/>
        <v>2017</v>
      </c>
      <c r="AF396" s="1" t="str">
        <f t="shared" si="69"/>
        <v>102946</v>
      </c>
    </row>
    <row r="397" spans="1:32" x14ac:dyDescent="0.3">
      <c r="A397" s="1">
        <v>396</v>
      </c>
      <c r="B397" s="1" t="s">
        <v>1397</v>
      </c>
      <c r="C397" s="2">
        <v>43025</v>
      </c>
      <c r="D397" s="2">
        <v>43027</v>
      </c>
      <c r="E397" s="1" t="s">
        <v>21</v>
      </c>
      <c r="F397" s="1" t="s">
        <v>1398</v>
      </c>
      <c r="G397" s="1" t="s">
        <v>1399</v>
      </c>
      <c r="H397" s="1" t="s">
        <v>39</v>
      </c>
      <c r="I397" s="1" t="s">
        <v>25</v>
      </c>
      <c r="J397" s="1" t="s">
        <v>1400</v>
      </c>
      <c r="K397" s="1" t="s">
        <v>1401</v>
      </c>
      <c r="L397" s="1">
        <v>2886</v>
      </c>
      <c r="M397" s="1" t="s">
        <v>146</v>
      </c>
      <c r="N397" s="1" t="s">
        <v>1402</v>
      </c>
      <c r="O397" s="1" t="s">
        <v>44</v>
      </c>
      <c r="P397" s="1" t="s">
        <v>57</v>
      </c>
      <c r="Q397" s="1" t="s">
        <v>1403</v>
      </c>
      <c r="R397" s="1">
        <v>49.96</v>
      </c>
      <c r="S397" s="1">
        <v>2</v>
      </c>
      <c r="T397" s="3">
        <v>0</v>
      </c>
      <c r="U397" s="4">
        <v>9.4923999999999999</v>
      </c>
      <c r="V397" s="1" t="str">
        <f t="shared" si="60"/>
        <v>Second Class</v>
      </c>
      <c r="W397" s="1" t="str">
        <f t="shared" si="61"/>
        <v>Corporate</v>
      </c>
      <c r="X397" s="1" t="str">
        <f t="shared" si="62"/>
        <v>Warwick - Rhode Island</v>
      </c>
      <c r="Y397" s="1" t="str">
        <f t="shared" si="63"/>
        <v>Storage</v>
      </c>
      <c r="Z397" s="1">
        <f t="shared" si="64"/>
        <v>49.96</v>
      </c>
      <c r="AA397" s="1">
        <f t="shared" si="65"/>
        <v>49.96</v>
      </c>
      <c r="AB397" s="1">
        <f t="shared" si="66"/>
        <v>99.92</v>
      </c>
      <c r="AC397" s="4">
        <f t="shared" si="67"/>
        <v>99.92</v>
      </c>
      <c r="AD397" s="1" t="s">
        <v>2013</v>
      </c>
      <c r="AE397" s="1" t="str">
        <f t="shared" si="68"/>
        <v>2017</v>
      </c>
      <c r="AF397" s="1" t="str">
        <f t="shared" si="69"/>
        <v>165603</v>
      </c>
    </row>
    <row r="398" spans="1:32" x14ac:dyDescent="0.3">
      <c r="A398" s="1">
        <v>397</v>
      </c>
      <c r="B398" s="1" t="s">
        <v>1397</v>
      </c>
      <c r="C398" s="2">
        <v>43025</v>
      </c>
      <c r="D398" s="2">
        <v>43027</v>
      </c>
      <c r="E398" s="1" t="s">
        <v>21</v>
      </c>
      <c r="F398" s="1" t="s">
        <v>1398</v>
      </c>
      <c r="G398" s="1" t="s">
        <v>1399</v>
      </c>
      <c r="H398" s="1" t="s">
        <v>39</v>
      </c>
      <c r="I398" s="1" t="s">
        <v>25</v>
      </c>
      <c r="J398" s="1" t="s">
        <v>1400</v>
      </c>
      <c r="K398" s="1" t="s">
        <v>1401</v>
      </c>
      <c r="L398" s="1">
        <v>2886</v>
      </c>
      <c r="M398" s="1" t="s">
        <v>146</v>
      </c>
      <c r="N398" s="1" t="s">
        <v>1404</v>
      </c>
      <c r="O398" s="1" t="s">
        <v>44</v>
      </c>
      <c r="P398" s="1" t="s">
        <v>88</v>
      </c>
      <c r="Q398" s="1" t="s">
        <v>1405</v>
      </c>
      <c r="R398" s="1">
        <v>12.96</v>
      </c>
      <c r="S398" s="1">
        <v>2</v>
      </c>
      <c r="T398" s="3">
        <v>0</v>
      </c>
      <c r="U398" s="4">
        <v>6.2207999999999997</v>
      </c>
      <c r="V398" s="1" t="str">
        <f t="shared" si="60"/>
        <v>Second Class</v>
      </c>
      <c r="W398" s="1" t="str">
        <f t="shared" si="61"/>
        <v>Corporate</v>
      </c>
      <c r="X398" s="1" t="str">
        <f t="shared" si="62"/>
        <v>Warwick - Rhode Island</v>
      </c>
      <c r="Y398" s="1" t="str">
        <f t="shared" si="63"/>
        <v>Paper</v>
      </c>
      <c r="Z398" s="1">
        <f t="shared" si="64"/>
        <v>12.96</v>
      </c>
      <c r="AA398" s="1">
        <f t="shared" si="65"/>
        <v>12.96</v>
      </c>
      <c r="AB398" s="1">
        <f t="shared" si="66"/>
        <v>25.92</v>
      </c>
      <c r="AC398" s="4">
        <f t="shared" si="67"/>
        <v>25.92</v>
      </c>
      <c r="AD398" s="1" t="s">
        <v>2013</v>
      </c>
      <c r="AE398" s="1" t="str">
        <f t="shared" si="68"/>
        <v>2017</v>
      </c>
      <c r="AF398" s="1" t="str">
        <f t="shared" si="69"/>
        <v>165603</v>
      </c>
    </row>
    <row r="399" spans="1:32" x14ac:dyDescent="0.3">
      <c r="A399" s="1">
        <v>398</v>
      </c>
      <c r="B399" s="1" t="s">
        <v>1406</v>
      </c>
      <c r="C399" s="2">
        <v>42308</v>
      </c>
      <c r="D399" s="2">
        <v>42312</v>
      </c>
      <c r="E399" s="1"/>
      <c r="F399" s="1" t="s">
        <v>98</v>
      </c>
      <c r="G399" s="1" t="s">
        <v>99</v>
      </c>
      <c r="H399" s="1" t="s">
        <v>100</v>
      </c>
      <c r="I399" s="1" t="s">
        <v>25</v>
      </c>
      <c r="J399" s="1" t="s">
        <v>326</v>
      </c>
      <c r="K399" s="1" t="s">
        <v>236</v>
      </c>
      <c r="L399" s="1">
        <v>49201</v>
      </c>
      <c r="M399" s="1" t="s">
        <v>103</v>
      </c>
      <c r="N399" s="1" t="s">
        <v>1407</v>
      </c>
      <c r="O399" s="1" t="s">
        <v>44</v>
      </c>
      <c r="P399" s="1" t="s">
        <v>577</v>
      </c>
      <c r="Q399" s="1" t="s">
        <v>1408</v>
      </c>
      <c r="R399" s="1">
        <v>70.12</v>
      </c>
      <c r="S399" s="1">
        <v>4</v>
      </c>
      <c r="T399" s="3">
        <v>0</v>
      </c>
      <c r="U399" s="4">
        <v>21.036000000000001</v>
      </c>
      <c r="V399" s="1" t="str">
        <f t="shared" si="60"/>
        <v>UNKNOWN</v>
      </c>
      <c r="W399" s="1" t="str">
        <f t="shared" si="61"/>
        <v>Home Office</v>
      </c>
      <c r="X399" s="1" t="str">
        <f t="shared" si="62"/>
        <v>Jackson - Michigan</v>
      </c>
      <c r="Y399" s="1" t="str">
        <f t="shared" si="63"/>
        <v>Supplies</v>
      </c>
      <c r="Z399" s="1">
        <f t="shared" si="64"/>
        <v>70.12</v>
      </c>
      <c r="AA399" s="1">
        <f t="shared" si="65"/>
        <v>70.12</v>
      </c>
      <c r="AB399" s="1">
        <f t="shared" si="66"/>
        <v>280.48</v>
      </c>
      <c r="AC399" s="4">
        <f t="shared" si="67"/>
        <v>280.48</v>
      </c>
      <c r="AD399" s="1" t="s">
        <v>2013</v>
      </c>
      <c r="AE399" s="1" t="str">
        <f t="shared" si="68"/>
        <v>2015</v>
      </c>
      <c r="AF399" s="1" t="str">
        <f t="shared" si="69"/>
        <v>122259</v>
      </c>
    </row>
    <row r="400" spans="1:32" x14ac:dyDescent="0.3">
      <c r="A400" s="1">
        <v>399</v>
      </c>
      <c r="B400" s="1" t="s">
        <v>1409</v>
      </c>
      <c r="C400" s="2">
        <v>42621</v>
      </c>
      <c r="D400" s="2">
        <v>42623</v>
      </c>
      <c r="E400" s="1" t="s">
        <v>21</v>
      </c>
      <c r="F400" s="1" t="s">
        <v>1410</v>
      </c>
      <c r="G400" s="1" t="s">
        <v>1411</v>
      </c>
      <c r="H400" s="1" t="s">
        <v>24</v>
      </c>
      <c r="I400" s="1" t="s">
        <v>25</v>
      </c>
      <c r="J400" s="1" t="s">
        <v>182</v>
      </c>
      <c r="K400" s="1" t="s">
        <v>102</v>
      </c>
      <c r="L400" s="1">
        <v>77036</v>
      </c>
      <c r="M400" s="1" t="s">
        <v>103</v>
      </c>
      <c r="N400" s="1" t="s">
        <v>1412</v>
      </c>
      <c r="O400" s="1" t="s">
        <v>44</v>
      </c>
      <c r="P400" s="1" t="s">
        <v>57</v>
      </c>
      <c r="Q400" s="1" t="s">
        <v>1413</v>
      </c>
      <c r="R400" s="1">
        <v>35.951999999999998</v>
      </c>
      <c r="S400" s="1">
        <v>3</v>
      </c>
      <c r="T400" s="3">
        <v>0.2</v>
      </c>
      <c r="U400" s="4">
        <v>3.5952000000000002</v>
      </c>
      <c r="V400" s="1" t="str">
        <f t="shared" si="60"/>
        <v>Second Class</v>
      </c>
      <c r="W400" s="1" t="str">
        <f t="shared" si="61"/>
        <v>Consumer</v>
      </c>
      <c r="X400" s="1" t="str">
        <f t="shared" si="62"/>
        <v>Houston - Texas</v>
      </c>
      <c r="Y400" s="1" t="str">
        <f t="shared" si="63"/>
        <v>Storage</v>
      </c>
      <c r="Z400" s="1">
        <f t="shared" si="64"/>
        <v>35.951999999999998</v>
      </c>
      <c r="AA400" s="1">
        <f t="shared" si="65"/>
        <v>35.951999999999998</v>
      </c>
      <c r="AB400" s="1">
        <f t="shared" si="66"/>
        <v>107.85599999999999</v>
      </c>
      <c r="AC400" s="4">
        <f t="shared" si="67"/>
        <v>86.284800000000004</v>
      </c>
      <c r="AD400" s="1" t="s">
        <v>2013</v>
      </c>
      <c r="AE400" s="1" t="str">
        <f t="shared" si="68"/>
        <v>2016</v>
      </c>
      <c r="AF400" s="1" t="str">
        <f t="shared" si="69"/>
        <v>108987</v>
      </c>
    </row>
    <row r="401" spans="1:32" x14ac:dyDescent="0.3">
      <c r="A401" s="1">
        <v>400</v>
      </c>
      <c r="B401" s="1" t="s">
        <v>1409</v>
      </c>
      <c r="C401" s="2">
        <v>42621</v>
      </c>
      <c r="D401" s="2">
        <v>42623</v>
      </c>
      <c r="E401" s="1" t="s">
        <v>21</v>
      </c>
      <c r="F401" s="1" t="s">
        <v>1410</v>
      </c>
      <c r="G401" s="1" t="s">
        <v>1411</v>
      </c>
      <c r="H401" s="1" t="s">
        <v>24</v>
      </c>
      <c r="I401" s="1" t="s">
        <v>25</v>
      </c>
      <c r="J401" s="1" t="s">
        <v>182</v>
      </c>
      <c r="K401" s="1" t="s">
        <v>102</v>
      </c>
      <c r="L401" s="1">
        <v>77036</v>
      </c>
      <c r="M401" s="1" t="s">
        <v>103</v>
      </c>
      <c r="N401" s="1" t="s">
        <v>164</v>
      </c>
      <c r="O401" s="1" t="s">
        <v>30</v>
      </c>
      <c r="P401" s="1" t="s">
        <v>31</v>
      </c>
      <c r="Q401" s="1" t="s">
        <v>165</v>
      </c>
      <c r="R401" s="1">
        <v>2396.2656000000002</v>
      </c>
      <c r="S401" s="1">
        <v>4</v>
      </c>
      <c r="T401" s="3">
        <v>0.32</v>
      </c>
      <c r="U401" s="4">
        <v>-317.15280000000001</v>
      </c>
      <c r="V401" s="1" t="str">
        <f t="shared" si="60"/>
        <v>Second Class</v>
      </c>
      <c r="W401" s="1" t="str">
        <f t="shared" si="61"/>
        <v>Consumer</v>
      </c>
      <c r="X401" s="1" t="str">
        <f t="shared" si="62"/>
        <v>Houston - Texas</v>
      </c>
      <c r="Y401" s="1" t="str">
        <f t="shared" si="63"/>
        <v>Bookcases</v>
      </c>
      <c r="Z401" s="1">
        <f t="shared" si="64"/>
        <v>2396.2656000000002</v>
      </c>
      <c r="AA401" s="1">
        <f t="shared" si="65"/>
        <v>2396.2656000000002</v>
      </c>
      <c r="AB401" s="1">
        <f t="shared" si="66"/>
        <v>9585.0624000000007</v>
      </c>
      <c r="AC401" s="4">
        <f t="shared" si="67"/>
        <v>6517.8424319999995</v>
      </c>
      <c r="AD401" s="1" t="s">
        <v>2013</v>
      </c>
      <c r="AE401" s="1" t="str">
        <f t="shared" si="68"/>
        <v>2016</v>
      </c>
      <c r="AF401" s="1" t="str">
        <f t="shared" si="69"/>
        <v>108987</v>
      </c>
    </row>
    <row r="402" spans="1:32" x14ac:dyDescent="0.3">
      <c r="A402" s="1">
        <v>401</v>
      </c>
      <c r="B402" s="1" t="s">
        <v>1409</v>
      </c>
      <c r="C402" s="2">
        <v>42621</v>
      </c>
      <c r="D402" s="2">
        <v>42623</v>
      </c>
      <c r="E402" s="1" t="s">
        <v>21</v>
      </c>
      <c r="F402" s="1" t="s">
        <v>1410</v>
      </c>
      <c r="G402" s="1" t="s">
        <v>1411</v>
      </c>
      <c r="H402" s="1" t="s">
        <v>24</v>
      </c>
      <c r="I402" s="1" t="s">
        <v>25</v>
      </c>
      <c r="J402" s="1" t="s">
        <v>182</v>
      </c>
      <c r="K402" s="1" t="s">
        <v>102</v>
      </c>
      <c r="L402" s="1">
        <v>77036</v>
      </c>
      <c r="M402" s="1" t="s">
        <v>103</v>
      </c>
      <c r="N402" s="1" t="s">
        <v>1414</v>
      </c>
      <c r="O402" s="1" t="s">
        <v>44</v>
      </c>
      <c r="P402" s="1" t="s">
        <v>57</v>
      </c>
      <c r="Q402" s="1" t="s">
        <v>1415</v>
      </c>
      <c r="R402" s="1">
        <v>131.136</v>
      </c>
      <c r="S402" s="1">
        <v>4</v>
      </c>
      <c r="T402" s="3">
        <v>0.2</v>
      </c>
      <c r="U402" s="4">
        <v>-32.783999999999999</v>
      </c>
      <c r="V402" s="1" t="str">
        <f t="shared" si="60"/>
        <v>Second Class</v>
      </c>
      <c r="W402" s="1" t="str">
        <f t="shared" si="61"/>
        <v>Consumer</v>
      </c>
      <c r="X402" s="1" t="str">
        <f t="shared" si="62"/>
        <v>Houston - Texas</v>
      </c>
      <c r="Y402" s="1" t="str">
        <f t="shared" si="63"/>
        <v>Storage</v>
      </c>
      <c r="Z402" s="1">
        <f t="shared" si="64"/>
        <v>131.136</v>
      </c>
      <c r="AA402" s="1">
        <f t="shared" si="65"/>
        <v>131.136</v>
      </c>
      <c r="AB402" s="1">
        <f t="shared" si="66"/>
        <v>524.54399999999998</v>
      </c>
      <c r="AC402" s="4">
        <f t="shared" si="67"/>
        <v>419.6352</v>
      </c>
      <c r="AD402" s="1" t="s">
        <v>2013</v>
      </c>
      <c r="AE402" s="1" t="str">
        <f t="shared" si="68"/>
        <v>2016</v>
      </c>
      <c r="AF402" s="1" t="str">
        <f t="shared" si="69"/>
        <v>108987</v>
      </c>
    </row>
    <row r="403" spans="1:32" x14ac:dyDescent="0.3">
      <c r="A403" s="1">
        <v>402</v>
      </c>
      <c r="B403" s="1" t="s">
        <v>1409</v>
      </c>
      <c r="C403" s="2">
        <v>42621</v>
      </c>
      <c r="D403" s="2">
        <v>42623</v>
      </c>
      <c r="E403" s="1" t="s">
        <v>21</v>
      </c>
      <c r="F403" s="1" t="s">
        <v>1410</v>
      </c>
      <c r="G403" s="1" t="s">
        <v>1411</v>
      </c>
      <c r="H403" s="1" t="s">
        <v>24</v>
      </c>
      <c r="I403" s="1" t="s">
        <v>25</v>
      </c>
      <c r="J403" s="1" t="s">
        <v>182</v>
      </c>
      <c r="K403" s="1" t="s">
        <v>102</v>
      </c>
      <c r="L403" s="1">
        <v>77036</v>
      </c>
      <c r="M403" s="1" t="s">
        <v>103</v>
      </c>
      <c r="N403" s="1" t="s">
        <v>1416</v>
      </c>
      <c r="O403" s="1" t="s">
        <v>69</v>
      </c>
      <c r="P403" s="1" t="s">
        <v>159</v>
      </c>
      <c r="Q403" s="1" t="s">
        <v>1417</v>
      </c>
      <c r="R403" s="1">
        <v>57.584000000000003</v>
      </c>
      <c r="S403" s="1">
        <v>2</v>
      </c>
      <c r="T403" s="3">
        <v>0.2</v>
      </c>
      <c r="U403" s="4">
        <v>0.7198</v>
      </c>
      <c r="V403" s="1" t="str">
        <f t="shared" si="60"/>
        <v>Second Class</v>
      </c>
      <c r="W403" s="1" t="str">
        <f t="shared" si="61"/>
        <v>Consumer</v>
      </c>
      <c r="X403" s="1" t="str">
        <f t="shared" si="62"/>
        <v>Houston - Texas</v>
      </c>
      <c r="Y403" s="1" t="str">
        <f t="shared" si="63"/>
        <v>Accessories</v>
      </c>
      <c r="Z403" s="1">
        <f t="shared" si="64"/>
        <v>57.584000000000003</v>
      </c>
      <c r="AA403" s="1">
        <f t="shared" si="65"/>
        <v>57.584000000000003</v>
      </c>
      <c r="AB403" s="1">
        <f t="shared" si="66"/>
        <v>115.16800000000001</v>
      </c>
      <c r="AC403" s="4">
        <f t="shared" si="67"/>
        <v>92.134400000000014</v>
      </c>
      <c r="AD403" s="1" t="s">
        <v>2013</v>
      </c>
      <c r="AE403" s="1" t="str">
        <f t="shared" si="68"/>
        <v>2016</v>
      </c>
      <c r="AF403" s="1" t="str">
        <f t="shared" si="69"/>
        <v>108987</v>
      </c>
    </row>
    <row r="404" spans="1:32" x14ac:dyDescent="0.3">
      <c r="A404" s="1">
        <v>403</v>
      </c>
      <c r="B404" s="1" t="s">
        <v>1418</v>
      </c>
      <c r="C404" s="2">
        <v>41997</v>
      </c>
      <c r="D404" s="2">
        <v>41999</v>
      </c>
      <c r="E404" s="1" t="s">
        <v>186</v>
      </c>
      <c r="F404" s="1" t="s">
        <v>1419</v>
      </c>
      <c r="G404" s="1" t="s">
        <v>1420</v>
      </c>
      <c r="H404" s="1" t="s">
        <v>24</v>
      </c>
      <c r="I404" s="1" t="s">
        <v>25</v>
      </c>
      <c r="J404" s="1" t="s">
        <v>1421</v>
      </c>
      <c r="K404" s="1" t="s">
        <v>52</v>
      </c>
      <c r="L404" s="1">
        <v>33180</v>
      </c>
      <c r="M404" s="1" t="s">
        <v>28</v>
      </c>
      <c r="N404" s="1" t="s">
        <v>1422</v>
      </c>
      <c r="O404" s="1" t="s">
        <v>44</v>
      </c>
      <c r="P404" s="1" t="s">
        <v>88</v>
      </c>
      <c r="Q404" s="1" t="s">
        <v>1423</v>
      </c>
      <c r="R404" s="1">
        <v>9.5679999999999996</v>
      </c>
      <c r="S404" s="1">
        <v>2</v>
      </c>
      <c r="T404" s="3">
        <v>0.2</v>
      </c>
      <c r="U404" s="4">
        <v>3.4683999999999999</v>
      </c>
      <c r="V404" s="1" t="str">
        <f t="shared" si="60"/>
        <v>First Class</v>
      </c>
      <c r="W404" s="1" t="str">
        <f t="shared" si="61"/>
        <v>Consumer</v>
      </c>
      <c r="X404" s="1" t="str">
        <f t="shared" si="62"/>
        <v>Miami - Florida</v>
      </c>
      <c r="Y404" s="1" t="str">
        <f t="shared" si="63"/>
        <v>Paper</v>
      </c>
      <c r="Z404" s="1">
        <f t="shared" si="64"/>
        <v>9.5679999999999996</v>
      </c>
      <c r="AA404" s="1">
        <f t="shared" si="65"/>
        <v>9.5679999999999996</v>
      </c>
      <c r="AB404" s="1">
        <f t="shared" si="66"/>
        <v>19.135999999999999</v>
      </c>
      <c r="AC404" s="4">
        <f t="shared" si="67"/>
        <v>15.3088</v>
      </c>
      <c r="AD404" s="1" t="s">
        <v>2013</v>
      </c>
      <c r="AE404" s="1" t="str">
        <f t="shared" si="68"/>
        <v>2014</v>
      </c>
      <c r="AF404" s="1" t="str">
        <f t="shared" si="69"/>
        <v>113166</v>
      </c>
    </row>
    <row r="405" spans="1:32" x14ac:dyDescent="0.3">
      <c r="A405" s="1">
        <v>404</v>
      </c>
      <c r="B405" s="1" t="s">
        <v>1424</v>
      </c>
      <c r="C405" s="2">
        <v>41745</v>
      </c>
      <c r="D405" s="2">
        <v>41749</v>
      </c>
      <c r="E405" s="1" t="s">
        <v>48</v>
      </c>
      <c r="F405" s="1" t="s">
        <v>627</v>
      </c>
      <c r="G405" s="1" t="s">
        <v>628</v>
      </c>
      <c r="H405" s="1" t="s">
        <v>39</v>
      </c>
      <c r="I405" s="1" t="s">
        <v>25</v>
      </c>
      <c r="J405" s="1" t="s">
        <v>519</v>
      </c>
      <c r="K405" s="1" t="s">
        <v>86</v>
      </c>
      <c r="L405" s="1">
        <v>28403</v>
      </c>
      <c r="M405" s="1" t="s">
        <v>28</v>
      </c>
      <c r="N405" s="1" t="s">
        <v>1425</v>
      </c>
      <c r="O405" s="1" t="s">
        <v>44</v>
      </c>
      <c r="P405" s="1" t="s">
        <v>66</v>
      </c>
      <c r="Q405" s="1" t="s">
        <v>1426</v>
      </c>
      <c r="R405" s="1">
        <v>39.072000000000003</v>
      </c>
      <c r="S405" s="1">
        <v>6</v>
      </c>
      <c r="T405" s="3">
        <v>0.2</v>
      </c>
      <c r="U405" s="4">
        <v>9.7680000000000007</v>
      </c>
      <c r="V405" s="1" t="str">
        <f t="shared" si="60"/>
        <v>Standard Class</v>
      </c>
      <c r="W405" s="1" t="str">
        <f t="shared" si="61"/>
        <v>Corporate</v>
      </c>
      <c r="X405" s="1" t="str">
        <f t="shared" si="62"/>
        <v>Wilmington - North Carolina</v>
      </c>
      <c r="Y405" s="1" t="str">
        <f t="shared" si="63"/>
        <v>Art</v>
      </c>
      <c r="Z405" s="1">
        <f t="shared" si="64"/>
        <v>39.072000000000003</v>
      </c>
      <c r="AA405" s="1">
        <f t="shared" si="65"/>
        <v>39.072000000000003</v>
      </c>
      <c r="AB405" s="1">
        <f t="shared" si="66"/>
        <v>234.43200000000002</v>
      </c>
      <c r="AC405" s="4">
        <f t="shared" si="67"/>
        <v>187.54560000000004</v>
      </c>
      <c r="AD405" s="1" t="s">
        <v>2013</v>
      </c>
      <c r="AE405" s="1" t="str">
        <f t="shared" si="68"/>
        <v>2014</v>
      </c>
      <c r="AF405" s="1" t="str">
        <f t="shared" si="69"/>
        <v>155208</v>
      </c>
    </row>
    <row r="406" spans="1:32" x14ac:dyDescent="0.3">
      <c r="A406" s="1">
        <v>405</v>
      </c>
      <c r="B406" s="1" t="s">
        <v>1427</v>
      </c>
      <c r="C406" s="2">
        <v>43093</v>
      </c>
      <c r="D406" s="2">
        <v>43098</v>
      </c>
      <c r="E406" s="1" t="s">
        <v>48</v>
      </c>
      <c r="F406" s="1" t="s">
        <v>1428</v>
      </c>
      <c r="G406" s="1" t="s">
        <v>1429</v>
      </c>
      <c r="H406" s="1" t="s">
        <v>24</v>
      </c>
      <c r="I406" s="1" t="s">
        <v>25</v>
      </c>
      <c r="J406" s="1" t="s">
        <v>264</v>
      </c>
      <c r="K406" s="1" t="s">
        <v>265</v>
      </c>
      <c r="L406" s="1">
        <v>10024</v>
      </c>
      <c r="M406" s="1" t="s">
        <v>146</v>
      </c>
      <c r="N406" s="1" t="s">
        <v>1430</v>
      </c>
      <c r="O406" s="1" t="s">
        <v>44</v>
      </c>
      <c r="P406" s="1" t="s">
        <v>76</v>
      </c>
      <c r="Q406" s="1" t="s">
        <v>1431</v>
      </c>
      <c r="R406" s="1">
        <v>35.909999999999997</v>
      </c>
      <c r="S406" s="1">
        <v>3</v>
      </c>
      <c r="T406" s="3">
        <v>0</v>
      </c>
      <c r="U406" s="4">
        <v>9.6957000000000004</v>
      </c>
      <c r="V406" s="1" t="str">
        <f t="shared" si="60"/>
        <v>Standard Class</v>
      </c>
      <c r="W406" s="1" t="str">
        <f t="shared" si="61"/>
        <v>Consumer</v>
      </c>
      <c r="X406" s="1" t="str">
        <f t="shared" si="62"/>
        <v>New York City - New York</v>
      </c>
      <c r="Y406" s="1" t="str">
        <f t="shared" si="63"/>
        <v>Appliances</v>
      </c>
      <c r="Z406" s="1">
        <f t="shared" si="64"/>
        <v>35.909999999999997</v>
      </c>
      <c r="AA406" s="1">
        <f t="shared" si="65"/>
        <v>35.909999999999997</v>
      </c>
      <c r="AB406" s="1">
        <f t="shared" si="66"/>
        <v>107.72999999999999</v>
      </c>
      <c r="AC406" s="4">
        <f t="shared" si="67"/>
        <v>107.72999999999999</v>
      </c>
      <c r="AD406" s="1" t="s">
        <v>2013</v>
      </c>
      <c r="AE406" s="1" t="str">
        <f t="shared" si="68"/>
        <v>2017</v>
      </c>
      <c r="AF406" s="1" t="str">
        <f t="shared" si="69"/>
        <v>117933</v>
      </c>
    </row>
    <row r="407" spans="1:32" x14ac:dyDescent="0.3">
      <c r="A407" s="1">
        <v>406</v>
      </c>
      <c r="B407" s="1" t="s">
        <v>1432</v>
      </c>
      <c r="C407" s="2">
        <v>43077</v>
      </c>
      <c r="D407" s="2">
        <v>43081</v>
      </c>
      <c r="E407" s="1" t="s">
        <v>48</v>
      </c>
      <c r="F407" s="1" t="s">
        <v>1433</v>
      </c>
      <c r="G407" s="1" t="s">
        <v>1434</v>
      </c>
      <c r="H407" s="1" t="s">
        <v>24</v>
      </c>
      <c r="I407" s="1" t="s">
        <v>25</v>
      </c>
      <c r="J407" s="1" t="s">
        <v>125</v>
      </c>
      <c r="K407" s="1" t="s">
        <v>41</v>
      </c>
      <c r="L407" s="1">
        <v>94110</v>
      </c>
      <c r="M407" s="1" t="s">
        <v>42</v>
      </c>
      <c r="N407" s="1" t="s">
        <v>1416</v>
      </c>
      <c r="O407" s="1" t="s">
        <v>69</v>
      </c>
      <c r="P407" s="1" t="s">
        <v>159</v>
      </c>
      <c r="Q407" s="1" t="s">
        <v>1417</v>
      </c>
      <c r="R407" s="1">
        <v>179.95</v>
      </c>
      <c r="S407" s="1">
        <v>5</v>
      </c>
      <c r="T407" s="3">
        <v>0</v>
      </c>
      <c r="U407" s="4">
        <v>37.789499999999997</v>
      </c>
      <c r="V407" s="1" t="str">
        <f t="shared" si="60"/>
        <v>Standard Class</v>
      </c>
      <c r="W407" s="1" t="str">
        <f t="shared" si="61"/>
        <v>Consumer</v>
      </c>
      <c r="X407" s="1" t="str">
        <f t="shared" si="62"/>
        <v>San Francisco - California</v>
      </c>
      <c r="Y407" s="1" t="str">
        <f t="shared" si="63"/>
        <v>Accessories</v>
      </c>
      <c r="Z407" s="1">
        <f t="shared" si="64"/>
        <v>179.95</v>
      </c>
      <c r="AA407" s="1">
        <f t="shared" si="65"/>
        <v>179.95</v>
      </c>
      <c r="AB407" s="1">
        <f t="shared" si="66"/>
        <v>899.75</v>
      </c>
      <c r="AC407" s="4">
        <f t="shared" si="67"/>
        <v>899.75</v>
      </c>
      <c r="AD407" s="1" t="s">
        <v>2013</v>
      </c>
      <c r="AE407" s="1" t="str">
        <f t="shared" si="68"/>
        <v>2017</v>
      </c>
      <c r="AF407" s="1" t="str">
        <f t="shared" si="69"/>
        <v>117457</v>
      </c>
    </row>
    <row r="408" spans="1:32" x14ac:dyDescent="0.3">
      <c r="A408" s="1">
        <v>407</v>
      </c>
      <c r="B408" s="1" t="s">
        <v>1432</v>
      </c>
      <c r="C408" s="2">
        <v>43077</v>
      </c>
      <c r="D408" s="2">
        <v>43081</v>
      </c>
      <c r="E408" s="1" t="s">
        <v>48</v>
      </c>
      <c r="F408" s="1" t="s">
        <v>1433</v>
      </c>
      <c r="G408" s="1" t="s">
        <v>1434</v>
      </c>
      <c r="H408" s="1" t="s">
        <v>24</v>
      </c>
      <c r="I408" s="1" t="s">
        <v>25</v>
      </c>
      <c r="J408" s="1" t="s">
        <v>125</v>
      </c>
      <c r="K408" s="1" t="s">
        <v>41</v>
      </c>
      <c r="L408" s="1">
        <v>94110</v>
      </c>
      <c r="M408" s="1" t="s">
        <v>42</v>
      </c>
      <c r="N408" s="1" t="s">
        <v>1435</v>
      </c>
      <c r="O408" s="1" t="s">
        <v>69</v>
      </c>
      <c r="P408" s="1" t="s">
        <v>1217</v>
      </c>
      <c r="Q408" s="1" t="s">
        <v>1436</v>
      </c>
      <c r="R408" s="1">
        <v>1199.9760000000001</v>
      </c>
      <c r="S408" s="1">
        <v>3</v>
      </c>
      <c r="T408" s="3">
        <v>0.2</v>
      </c>
      <c r="U408" s="4">
        <v>434.99130000000002</v>
      </c>
      <c r="V408" s="1" t="str">
        <f t="shared" si="60"/>
        <v>Standard Class</v>
      </c>
      <c r="W408" s="1" t="str">
        <f t="shared" si="61"/>
        <v>Consumer</v>
      </c>
      <c r="X408" s="1" t="str">
        <f t="shared" si="62"/>
        <v>San Francisco - California</v>
      </c>
      <c r="Y408" s="1" t="str">
        <f t="shared" si="63"/>
        <v>Copiers</v>
      </c>
      <c r="Z408" s="1">
        <f t="shared" si="64"/>
        <v>1199.9760000000001</v>
      </c>
      <c r="AA408" s="1">
        <f t="shared" si="65"/>
        <v>1199.9760000000001</v>
      </c>
      <c r="AB408" s="1">
        <f t="shared" si="66"/>
        <v>3599.9280000000003</v>
      </c>
      <c r="AC408" s="4">
        <f t="shared" si="67"/>
        <v>2879.9424000000004</v>
      </c>
      <c r="AD408" s="1" t="s">
        <v>2013</v>
      </c>
      <c r="AE408" s="1" t="str">
        <f t="shared" si="68"/>
        <v>2017</v>
      </c>
      <c r="AF408" s="1" t="str">
        <f t="shared" si="69"/>
        <v>117457</v>
      </c>
    </row>
    <row r="409" spans="1:32" x14ac:dyDescent="0.3">
      <c r="A409" s="1">
        <v>408</v>
      </c>
      <c r="B409" s="1" t="s">
        <v>1432</v>
      </c>
      <c r="C409" s="2">
        <v>43077</v>
      </c>
      <c r="D409" s="2">
        <v>43081</v>
      </c>
      <c r="E409" s="1" t="s">
        <v>48</v>
      </c>
      <c r="F409" s="1" t="s">
        <v>1433</v>
      </c>
      <c r="G409" s="1" t="s">
        <v>1434</v>
      </c>
      <c r="H409" s="1" t="s">
        <v>24</v>
      </c>
      <c r="I409" s="1" t="s">
        <v>25</v>
      </c>
      <c r="J409" s="1" t="s">
        <v>125</v>
      </c>
      <c r="K409" s="1" t="s">
        <v>41</v>
      </c>
      <c r="L409" s="1">
        <v>94110</v>
      </c>
      <c r="M409" s="1" t="s">
        <v>42</v>
      </c>
      <c r="N409" s="1" t="s">
        <v>1437</v>
      </c>
      <c r="O409" s="1" t="s">
        <v>44</v>
      </c>
      <c r="P409" s="1" t="s">
        <v>88</v>
      </c>
      <c r="Q409" s="1" t="s">
        <v>1438</v>
      </c>
      <c r="R409" s="1">
        <v>27.15</v>
      </c>
      <c r="S409" s="1">
        <v>5</v>
      </c>
      <c r="T409" s="3">
        <v>0</v>
      </c>
      <c r="U409" s="4">
        <v>13.3035</v>
      </c>
      <c r="V409" s="1" t="str">
        <f t="shared" si="60"/>
        <v>Standard Class</v>
      </c>
      <c r="W409" s="1" t="str">
        <f t="shared" si="61"/>
        <v>Consumer</v>
      </c>
      <c r="X409" s="1" t="str">
        <f t="shared" si="62"/>
        <v>San Francisco - California</v>
      </c>
      <c r="Y409" s="1" t="str">
        <f t="shared" si="63"/>
        <v>Paper</v>
      </c>
      <c r="Z409" s="1">
        <f t="shared" si="64"/>
        <v>27.15</v>
      </c>
      <c r="AA409" s="1">
        <f t="shared" si="65"/>
        <v>27.15</v>
      </c>
      <c r="AB409" s="1">
        <f t="shared" si="66"/>
        <v>135.75</v>
      </c>
      <c r="AC409" s="4">
        <f t="shared" si="67"/>
        <v>135.75</v>
      </c>
      <c r="AD409" s="1" t="s">
        <v>2013</v>
      </c>
      <c r="AE409" s="1" t="str">
        <f t="shared" si="68"/>
        <v>2017</v>
      </c>
      <c r="AF409" s="1" t="str">
        <f t="shared" si="69"/>
        <v>117457</v>
      </c>
    </row>
    <row r="410" spans="1:32" x14ac:dyDescent="0.3">
      <c r="A410" s="1">
        <v>409</v>
      </c>
      <c r="B410" s="1" t="s">
        <v>1432</v>
      </c>
      <c r="C410" s="2">
        <v>43077</v>
      </c>
      <c r="D410" s="2">
        <v>43081</v>
      </c>
      <c r="E410" s="1" t="s">
        <v>48</v>
      </c>
      <c r="F410" s="1" t="s">
        <v>1433</v>
      </c>
      <c r="G410" s="1" t="s">
        <v>1434</v>
      </c>
      <c r="H410" s="1" t="s">
        <v>24</v>
      </c>
      <c r="I410" s="1" t="s">
        <v>25</v>
      </c>
      <c r="J410" s="1" t="s">
        <v>125</v>
      </c>
      <c r="K410" s="1" t="s">
        <v>41</v>
      </c>
      <c r="L410" s="1">
        <v>94110</v>
      </c>
      <c r="M410" s="1" t="s">
        <v>42</v>
      </c>
      <c r="N410" s="1" t="s">
        <v>1439</v>
      </c>
      <c r="O410" s="1" t="s">
        <v>30</v>
      </c>
      <c r="P410" s="1" t="s">
        <v>54</v>
      </c>
      <c r="Q410" s="1" t="s">
        <v>1440</v>
      </c>
      <c r="R410" s="1">
        <v>1004.024</v>
      </c>
      <c r="S410" s="1">
        <v>7</v>
      </c>
      <c r="T410" s="3">
        <v>0.2</v>
      </c>
      <c r="U410" s="4">
        <v>-112.95269999999999</v>
      </c>
      <c r="V410" s="1" t="str">
        <f t="shared" si="60"/>
        <v>Standard Class</v>
      </c>
      <c r="W410" s="1" t="str">
        <f t="shared" si="61"/>
        <v>Consumer</v>
      </c>
      <c r="X410" s="1" t="str">
        <f t="shared" si="62"/>
        <v>San Francisco - California</v>
      </c>
      <c r="Y410" s="1" t="str">
        <f t="shared" si="63"/>
        <v>Tables</v>
      </c>
      <c r="Z410" s="1">
        <f t="shared" si="64"/>
        <v>1004.024</v>
      </c>
      <c r="AA410" s="1">
        <f t="shared" si="65"/>
        <v>1004.024</v>
      </c>
      <c r="AB410" s="1">
        <f t="shared" si="66"/>
        <v>7028.1679999999997</v>
      </c>
      <c r="AC410" s="4">
        <f t="shared" si="67"/>
        <v>5622.5344000000005</v>
      </c>
      <c r="AD410" s="1" t="s">
        <v>2013</v>
      </c>
      <c r="AE410" s="1" t="str">
        <f t="shared" si="68"/>
        <v>2017</v>
      </c>
      <c r="AF410" s="1" t="str">
        <f t="shared" si="69"/>
        <v>117457</v>
      </c>
    </row>
    <row r="411" spans="1:32" x14ac:dyDescent="0.3">
      <c r="A411" s="1">
        <v>410</v>
      </c>
      <c r="B411" s="1" t="s">
        <v>1432</v>
      </c>
      <c r="C411" s="2">
        <v>43077</v>
      </c>
      <c r="D411" s="2">
        <v>43081</v>
      </c>
      <c r="E411" s="1" t="s">
        <v>48</v>
      </c>
      <c r="F411" s="1" t="s">
        <v>1433</v>
      </c>
      <c r="G411" s="1" t="s">
        <v>1434</v>
      </c>
      <c r="H411" s="1" t="s">
        <v>24</v>
      </c>
      <c r="I411" s="1" t="s">
        <v>25</v>
      </c>
      <c r="J411" s="1" t="s">
        <v>125</v>
      </c>
      <c r="K411" s="1" t="s">
        <v>41</v>
      </c>
      <c r="L411" s="1">
        <v>94110</v>
      </c>
      <c r="M411" s="1" t="s">
        <v>42</v>
      </c>
      <c r="N411" s="1" t="s">
        <v>1441</v>
      </c>
      <c r="O411" s="1" t="s">
        <v>44</v>
      </c>
      <c r="P411" s="1" t="s">
        <v>88</v>
      </c>
      <c r="Q411" s="1" t="s">
        <v>1442</v>
      </c>
      <c r="R411" s="1">
        <v>9.68</v>
      </c>
      <c r="S411" s="1">
        <v>1</v>
      </c>
      <c r="T411" s="3">
        <v>0</v>
      </c>
      <c r="U411" s="4">
        <v>4.6463999999999999</v>
      </c>
      <c r="V411" s="1" t="str">
        <f t="shared" si="60"/>
        <v>Standard Class</v>
      </c>
      <c r="W411" s="1" t="str">
        <f t="shared" si="61"/>
        <v>Consumer</v>
      </c>
      <c r="X411" s="1" t="str">
        <f t="shared" si="62"/>
        <v>San Francisco - California</v>
      </c>
      <c r="Y411" s="1" t="str">
        <f t="shared" si="63"/>
        <v>Paper</v>
      </c>
      <c r="Z411" s="1">
        <f t="shared" si="64"/>
        <v>9.68</v>
      </c>
      <c r="AA411" s="1">
        <f t="shared" si="65"/>
        <v>9.68</v>
      </c>
      <c r="AB411" s="1">
        <f t="shared" si="66"/>
        <v>9.68</v>
      </c>
      <c r="AC411" s="4">
        <f t="shared" si="67"/>
        <v>9.68</v>
      </c>
      <c r="AD411" s="1" t="s">
        <v>2013</v>
      </c>
      <c r="AE411" s="1" t="str">
        <f t="shared" si="68"/>
        <v>2017</v>
      </c>
      <c r="AF411" s="1" t="str">
        <f t="shared" si="69"/>
        <v>117457</v>
      </c>
    </row>
    <row r="412" spans="1:32" x14ac:dyDescent="0.3">
      <c r="A412" s="1">
        <v>411</v>
      </c>
      <c r="B412" s="1" t="s">
        <v>1432</v>
      </c>
      <c r="C412" s="2">
        <v>43077</v>
      </c>
      <c r="D412" s="2">
        <v>43081</v>
      </c>
      <c r="E412" s="1" t="s">
        <v>48</v>
      </c>
      <c r="F412" s="1" t="s">
        <v>1433</v>
      </c>
      <c r="G412" s="1" t="s">
        <v>1434</v>
      </c>
      <c r="H412" s="1" t="s">
        <v>24</v>
      </c>
      <c r="I412" s="1" t="s">
        <v>25</v>
      </c>
      <c r="J412" s="1" t="s">
        <v>125</v>
      </c>
      <c r="K412" s="1" t="s">
        <v>41</v>
      </c>
      <c r="L412" s="1">
        <v>94110</v>
      </c>
      <c r="M412" s="1" t="s">
        <v>42</v>
      </c>
      <c r="N412" s="1" t="s">
        <v>1443</v>
      </c>
      <c r="O412" s="1" t="s">
        <v>44</v>
      </c>
      <c r="P412" s="1" t="s">
        <v>45</v>
      </c>
      <c r="Q412" s="1" t="s">
        <v>1444</v>
      </c>
      <c r="R412" s="1">
        <v>28.35</v>
      </c>
      <c r="S412" s="1">
        <v>9</v>
      </c>
      <c r="T412" s="3">
        <v>0</v>
      </c>
      <c r="U412" s="4">
        <v>13.608000000000001</v>
      </c>
      <c r="V412" s="1" t="str">
        <f t="shared" si="60"/>
        <v>Standard Class</v>
      </c>
      <c r="W412" s="1" t="str">
        <f t="shared" si="61"/>
        <v>Consumer</v>
      </c>
      <c r="X412" s="1" t="str">
        <f t="shared" si="62"/>
        <v>San Francisco - California</v>
      </c>
      <c r="Y412" s="1" t="str">
        <f t="shared" si="63"/>
        <v>Labels</v>
      </c>
      <c r="Z412" s="1">
        <f t="shared" si="64"/>
        <v>28.35</v>
      </c>
      <c r="AA412" s="1">
        <f t="shared" si="65"/>
        <v>28.35</v>
      </c>
      <c r="AB412" s="1">
        <f t="shared" si="66"/>
        <v>255.15</v>
      </c>
      <c r="AC412" s="4">
        <f t="shared" si="67"/>
        <v>255.15</v>
      </c>
      <c r="AD412" s="1" t="s">
        <v>2013</v>
      </c>
      <c r="AE412" s="1" t="str">
        <f t="shared" si="68"/>
        <v>2017</v>
      </c>
      <c r="AF412" s="1" t="str">
        <f t="shared" si="69"/>
        <v>117457</v>
      </c>
    </row>
    <row r="413" spans="1:32" x14ac:dyDescent="0.3">
      <c r="A413" s="1">
        <v>412</v>
      </c>
      <c r="B413" s="1" t="s">
        <v>1432</v>
      </c>
      <c r="C413" s="2">
        <v>43077</v>
      </c>
      <c r="D413" s="2">
        <v>43081</v>
      </c>
      <c r="E413" s="1" t="s">
        <v>48</v>
      </c>
      <c r="F413" s="1" t="s">
        <v>1433</v>
      </c>
      <c r="G413" s="1" t="s">
        <v>1434</v>
      </c>
      <c r="H413" s="1" t="s">
        <v>24</v>
      </c>
      <c r="I413" s="1" t="s">
        <v>25</v>
      </c>
      <c r="J413" s="1" t="s">
        <v>125</v>
      </c>
      <c r="K413" s="1" t="s">
        <v>41</v>
      </c>
      <c r="L413" s="1">
        <v>94110</v>
      </c>
      <c r="M413" s="1" t="s">
        <v>42</v>
      </c>
      <c r="N413" s="1" t="s">
        <v>1252</v>
      </c>
      <c r="O413" s="1" t="s">
        <v>44</v>
      </c>
      <c r="P413" s="1" t="s">
        <v>88</v>
      </c>
      <c r="Q413" s="1" t="s">
        <v>1445</v>
      </c>
      <c r="R413" s="1">
        <v>55.98</v>
      </c>
      <c r="S413" s="1">
        <v>1</v>
      </c>
      <c r="T413" s="3">
        <v>0</v>
      </c>
      <c r="U413" s="4">
        <v>27.430199999999999</v>
      </c>
      <c r="V413" s="1" t="str">
        <f t="shared" si="60"/>
        <v>Standard Class</v>
      </c>
      <c r="W413" s="1" t="str">
        <f t="shared" si="61"/>
        <v>Consumer</v>
      </c>
      <c r="X413" s="1" t="str">
        <f t="shared" si="62"/>
        <v>San Francisco - California</v>
      </c>
      <c r="Y413" s="1" t="str">
        <f t="shared" si="63"/>
        <v>Paper</v>
      </c>
      <c r="Z413" s="1">
        <f t="shared" si="64"/>
        <v>55.98</v>
      </c>
      <c r="AA413" s="1">
        <f t="shared" si="65"/>
        <v>55.98</v>
      </c>
      <c r="AB413" s="1">
        <f t="shared" si="66"/>
        <v>55.98</v>
      </c>
      <c r="AC413" s="4">
        <f t="shared" si="67"/>
        <v>55.98</v>
      </c>
      <c r="AD413" s="1" t="s">
        <v>2013</v>
      </c>
      <c r="AE413" s="1" t="str">
        <f t="shared" si="68"/>
        <v>2017</v>
      </c>
      <c r="AF413" s="1" t="str">
        <f t="shared" si="69"/>
        <v>117457</v>
      </c>
    </row>
    <row r="414" spans="1:32" x14ac:dyDescent="0.3">
      <c r="A414" s="1">
        <v>413</v>
      </c>
      <c r="B414" s="1" t="s">
        <v>1432</v>
      </c>
      <c r="C414" s="2">
        <v>43077</v>
      </c>
      <c r="D414" s="2">
        <v>43081</v>
      </c>
      <c r="E414" s="1" t="s">
        <v>48</v>
      </c>
      <c r="F414" s="1" t="s">
        <v>1433</v>
      </c>
      <c r="G414" s="1" t="s">
        <v>1434</v>
      </c>
      <c r="H414" s="1" t="s">
        <v>24</v>
      </c>
      <c r="I414" s="1" t="s">
        <v>25</v>
      </c>
      <c r="J414" s="1" t="s">
        <v>125</v>
      </c>
      <c r="K414" s="1" t="s">
        <v>41</v>
      </c>
      <c r="L414" s="1">
        <v>94110</v>
      </c>
      <c r="M414" s="1" t="s">
        <v>42</v>
      </c>
      <c r="N414" s="1" t="s">
        <v>1446</v>
      </c>
      <c r="O414" s="1" t="s">
        <v>30</v>
      </c>
      <c r="P414" s="1" t="s">
        <v>31</v>
      </c>
      <c r="Q414" s="1" t="s">
        <v>1447</v>
      </c>
      <c r="R414" s="1">
        <v>1336.829</v>
      </c>
      <c r="S414" s="1">
        <v>13</v>
      </c>
      <c r="T414" s="3">
        <v>0.15</v>
      </c>
      <c r="U414" s="4">
        <v>31.454799999999999</v>
      </c>
      <c r="V414" s="1" t="str">
        <f t="shared" si="60"/>
        <v>Standard Class</v>
      </c>
      <c r="W414" s="1" t="str">
        <f t="shared" si="61"/>
        <v>Consumer</v>
      </c>
      <c r="X414" s="1" t="str">
        <f t="shared" si="62"/>
        <v>San Francisco - California</v>
      </c>
      <c r="Y414" s="1" t="str">
        <f t="shared" si="63"/>
        <v>Bookcases</v>
      </c>
      <c r="Z414" s="1">
        <f t="shared" si="64"/>
        <v>1336.829</v>
      </c>
      <c r="AA414" s="1">
        <f t="shared" si="65"/>
        <v>1336.829</v>
      </c>
      <c r="AB414" s="1">
        <f t="shared" si="66"/>
        <v>17378.776999999998</v>
      </c>
      <c r="AC414" s="4">
        <f t="shared" si="67"/>
        <v>14771.960449999999</v>
      </c>
      <c r="AD414" s="1" t="s">
        <v>2013</v>
      </c>
      <c r="AE414" s="1" t="str">
        <f t="shared" si="68"/>
        <v>2017</v>
      </c>
      <c r="AF414" s="1" t="str">
        <f t="shared" si="69"/>
        <v>117457</v>
      </c>
    </row>
    <row r="415" spans="1:32" x14ac:dyDescent="0.3">
      <c r="A415" s="1">
        <v>414</v>
      </c>
      <c r="B415" s="1" t="s">
        <v>1432</v>
      </c>
      <c r="C415" s="2">
        <v>43077</v>
      </c>
      <c r="D415" s="2">
        <v>43081</v>
      </c>
      <c r="E415" s="1" t="s">
        <v>48</v>
      </c>
      <c r="F415" s="1" t="s">
        <v>1433</v>
      </c>
      <c r="G415" s="1" t="s">
        <v>1434</v>
      </c>
      <c r="H415" s="1" t="s">
        <v>24</v>
      </c>
      <c r="I415" s="1" t="s">
        <v>25</v>
      </c>
      <c r="J415" s="1" t="s">
        <v>125</v>
      </c>
      <c r="K415" s="1" t="s">
        <v>41</v>
      </c>
      <c r="L415" s="1">
        <v>94110</v>
      </c>
      <c r="M415" s="1" t="s">
        <v>42</v>
      </c>
      <c r="N415" s="1" t="s">
        <v>1448</v>
      </c>
      <c r="O415" s="1" t="s">
        <v>30</v>
      </c>
      <c r="P415" s="1" t="s">
        <v>34</v>
      </c>
      <c r="Q415" s="1" t="s">
        <v>1449</v>
      </c>
      <c r="R415" s="1">
        <v>113.568</v>
      </c>
      <c r="S415" s="1">
        <v>2</v>
      </c>
      <c r="T415" s="3">
        <v>0.2</v>
      </c>
      <c r="U415" s="4">
        <v>-18.454799999999999</v>
      </c>
      <c r="V415" s="1" t="str">
        <f t="shared" si="60"/>
        <v>Standard Class</v>
      </c>
      <c r="W415" s="1" t="str">
        <f t="shared" si="61"/>
        <v>Consumer</v>
      </c>
      <c r="X415" s="1" t="str">
        <f t="shared" si="62"/>
        <v>San Francisco - California</v>
      </c>
      <c r="Y415" s="1" t="str">
        <f t="shared" si="63"/>
        <v>Chairs</v>
      </c>
      <c r="Z415" s="1">
        <f t="shared" si="64"/>
        <v>113.568</v>
      </c>
      <c r="AA415" s="1">
        <f t="shared" si="65"/>
        <v>113.568</v>
      </c>
      <c r="AB415" s="1">
        <f t="shared" si="66"/>
        <v>227.136</v>
      </c>
      <c r="AC415" s="4">
        <f t="shared" si="67"/>
        <v>181.7088</v>
      </c>
      <c r="AD415" s="1" t="s">
        <v>2013</v>
      </c>
      <c r="AE415" s="1" t="str">
        <f t="shared" si="68"/>
        <v>2017</v>
      </c>
      <c r="AF415" s="1" t="str">
        <f t="shared" si="69"/>
        <v>117457</v>
      </c>
    </row>
    <row r="416" spans="1:32" x14ac:dyDescent="0.3">
      <c r="A416" s="1">
        <v>415</v>
      </c>
      <c r="B416" s="1" t="s">
        <v>1450</v>
      </c>
      <c r="C416" s="2">
        <v>43042</v>
      </c>
      <c r="D416" s="2">
        <v>43046</v>
      </c>
      <c r="E416" s="1" t="s">
        <v>48</v>
      </c>
      <c r="F416" s="1" t="s">
        <v>1451</v>
      </c>
      <c r="G416" s="1" t="s">
        <v>1452</v>
      </c>
      <c r="H416" s="1" t="s">
        <v>39</v>
      </c>
      <c r="I416" s="1" t="s">
        <v>25</v>
      </c>
      <c r="J416" s="1" t="s">
        <v>93</v>
      </c>
      <c r="K416" s="1" t="s">
        <v>94</v>
      </c>
      <c r="L416" s="1">
        <v>98105</v>
      </c>
      <c r="M416" s="1" t="s">
        <v>42</v>
      </c>
      <c r="N416" s="1" t="s">
        <v>1453</v>
      </c>
      <c r="O416" s="1" t="s">
        <v>44</v>
      </c>
      <c r="P416" s="1" t="s">
        <v>88</v>
      </c>
      <c r="Q416" s="1" t="s">
        <v>1454</v>
      </c>
      <c r="R416" s="1">
        <v>139.86000000000001</v>
      </c>
      <c r="S416" s="1">
        <v>7</v>
      </c>
      <c r="T416" s="3">
        <v>0</v>
      </c>
      <c r="U416" s="4">
        <v>65.734200000000001</v>
      </c>
      <c r="V416" s="1" t="str">
        <f t="shared" si="60"/>
        <v>Standard Class</v>
      </c>
      <c r="W416" s="1" t="str">
        <f t="shared" si="61"/>
        <v>Corporate</v>
      </c>
      <c r="X416" s="1" t="str">
        <f t="shared" si="62"/>
        <v>Seattle - Washington</v>
      </c>
      <c r="Y416" s="1" t="str">
        <f t="shared" si="63"/>
        <v>Paper</v>
      </c>
      <c r="Z416" s="1">
        <f t="shared" si="64"/>
        <v>139.86000000000001</v>
      </c>
      <c r="AA416" s="1">
        <f t="shared" si="65"/>
        <v>139.86000000000001</v>
      </c>
      <c r="AB416" s="1">
        <f t="shared" si="66"/>
        <v>979.0200000000001</v>
      </c>
      <c r="AC416" s="4">
        <f t="shared" si="67"/>
        <v>979.0200000000001</v>
      </c>
      <c r="AD416" s="1" t="s">
        <v>2013</v>
      </c>
      <c r="AE416" s="1" t="str">
        <f t="shared" si="68"/>
        <v>2017</v>
      </c>
      <c r="AF416" s="1" t="str">
        <f t="shared" si="69"/>
        <v>142636</v>
      </c>
    </row>
    <row r="417" spans="1:32" x14ac:dyDescent="0.3">
      <c r="A417" s="1">
        <v>416</v>
      </c>
      <c r="B417" s="1" t="s">
        <v>1450</v>
      </c>
      <c r="C417" s="2">
        <v>43042</v>
      </c>
      <c r="D417" s="2">
        <v>43046</v>
      </c>
      <c r="E417" s="1" t="s">
        <v>48</v>
      </c>
      <c r="F417" s="1" t="s">
        <v>1451</v>
      </c>
      <c r="G417" s="1" t="s">
        <v>1452</v>
      </c>
      <c r="H417" s="1" t="s">
        <v>39</v>
      </c>
      <c r="I417" s="1" t="s">
        <v>25</v>
      </c>
      <c r="J417" s="1" t="s">
        <v>93</v>
      </c>
      <c r="K417" s="1" t="s">
        <v>94</v>
      </c>
      <c r="L417" s="1">
        <v>98105</v>
      </c>
      <c r="M417" s="1" t="s">
        <v>42</v>
      </c>
      <c r="N417" s="1" t="s">
        <v>1085</v>
      </c>
      <c r="O417" s="1" t="s">
        <v>30</v>
      </c>
      <c r="P417" s="1" t="s">
        <v>34</v>
      </c>
      <c r="Q417" s="1" t="s">
        <v>1086</v>
      </c>
      <c r="R417" s="1">
        <v>307.13600000000002</v>
      </c>
      <c r="S417" s="1">
        <v>4</v>
      </c>
      <c r="T417" s="3">
        <v>0.2</v>
      </c>
      <c r="U417" s="4">
        <v>26.874400000000001</v>
      </c>
      <c r="V417" s="1" t="str">
        <f t="shared" si="60"/>
        <v>Standard Class</v>
      </c>
      <c r="W417" s="1" t="str">
        <f t="shared" si="61"/>
        <v>Corporate</v>
      </c>
      <c r="X417" s="1" t="str">
        <f t="shared" si="62"/>
        <v>Seattle - Washington</v>
      </c>
      <c r="Y417" s="1" t="str">
        <f t="shared" si="63"/>
        <v>Chairs</v>
      </c>
      <c r="Z417" s="1">
        <f t="shared" si="64"/>
        <v>307.13600000000002</v>
      </c>
      <c r="AA417" s="1">
        <f t="shared" si="65"/>
        <v>307.13600000000002</v>
      </c>
      <c r="AB417" s="1">
        <f t="shared" si="66"/>
        <v>1228.5440000000001</v>
      </c>
      <c r="AC417" s="4">
        <f t="shared" si="67"/>
        <v>982.8352000000001</v>
      </c>
      <c r="AD417" s="1" t="s">
        <v>2013</v>
      </c>
      <c r="AE417" s="1" t="str">
        <f t="shared" si="68"/>
        <v>2017</v>
      </c>
      <c r="AF417" s="1" t="str">
        <f t="shared" si="69"/>
        <v>142636</v>
      </c>
    </row>
    <row r="418" spans="1:32" x14ac:dyDescent="0.3">
      <c r="A418" s="1">
        <v>417</v>
      </c>
      <c r="B418" s="1" t="s">
        <v>1455</v>
      </c>
      <c r="C418" s="2">
        <v>42910</v>
      </c>
      <c r="D418" s="2">
        <v>42914</v>
      </c>
      <c r="E418" s="1" t="s">
        <v>48</v>
      </c>
      <c r="F418" s="1" t="s">
        <v>1456</v>
      </c>
      <c r="G418" s="1" t="s">
        <v>1457</v>
      </c>
      <c r="H418" s="1" t="s">
        <v>24</v>
      </c>
      <c r="I418" s="1" t="s">
        <v>25</v>
      </c>
      <c r="J418" s="1" t="s">
        <v>1458</v>
      </c>
      <c r="K418" s="1" t="s">
        <v>41</v>
      </c>
      <c r="L418" s="1">
        <v>92646</v>
      </c>
      <c r="M418" s="1" t="s">
        <v>42</v>
      </c>
      <c r="N418" s="1" t="s">
        <v>1459</v>
      </c>
      <c r="O418" s="1" t="s">
        <v>44</v>
      </c>
      <c r="P418" s="1" t="s">
        <v>66</v>
      </c>
      <c r="Q418" s="1" t="s">
        <v>1460</v>
      </c>
      <c r="R418" s="1"/>
      <c r="S418" s="1">
        <v>8</v>
      </c>
      <c r="T418" s="3">
        <v>0</v>
      </c>
      <c r="U418" s="4">
        <v>25.898399999999999</v>
      </c>
      <c r="V418" s="1" t="str">
        <f t="shared" si="60"/>
        <v>Standard Class</v>
      </c>
      <c r="W418" s="1" t="str">
        <f t="shared" si="61"/>
        <v>Consumer</v>
      </c>
      <c r="X418" s="1" t="str">
        <f t="shared" si="62"/>
        <v>Huntington Beach - California</v>
      </c>
      <c r="Y418" s="1" t="str">
        <f t="shared" si="63"/>
        <v>Art</v>
      </c>
      <c r="Z418" s="1">
        <f t="shared" ca="1" si="64"/>
        <v>124</v>
      </c>
      <c r="AA418" s="1">
        <f t="shared" ca="1" si="65"/>
        <v>48</v>
      </c>
      <c r="AB418" s="1">
        <f t="shared" ca="1" si="66"/>
        <v>384</v>
      </c>
      <c r="AC418" s="4">
        <f t="shared" ca="1" si="67"/>
        <v>384</v>
      </c>
      <c r="AD418" s="1" t="s">
        <v>2013</v>
      </c>
      <c r="AE418" s="1" t="str">
        <f t="shared" si="68"/>
        <v>2017</v>
      </c>
      <c r="AF418" s="1" t="str">
        <f t="shared" si="69"/>
        <v>122105</v>
      </c>
    </row>
    <row r="419" spans="1:32" x14ac:dyDescent="0.3">
      <c r="A419" s="1">
        <v>418</v>
      </c>
      <c r="B419" s="1" t="s">
        <v>1461</v>
      </c>
      <c r="C419" s="2">
        <v>42474</v>
      </c>
      <c r="D419" s="2">
        <v>42478</v>
      </c>
      <c r="E419" s="1" t="s">
        <v>48</v>
      </c>
      <c r="F419" s="1" t="s">
        <v>1462</v>
      </c>
      <c r="G419" s="1" t="s">
        <v>1463</v>
      </c>
      <c r="H419" s="1" t="s">
        <v>24</v>
      </c>
      <c r="I419" s="1" t="s">
        <v>25</v>
      </c>
      <c r="J419" s="1" t="s">
        <v>40</v>
      </c>
      <c r="K419" s="1" t="s">
        <v>41</v>
      </c>
      <c r="L419" s="1">
        <v>90004</v>
      </c>
      <c r="M419" s="1" t="s">
        <v>42</v>
      </c>
      <c r="N419" s="1" t="s">
        <v>1464</v>
      </c>
      <c r="O419" s="1" t="s">
        <v>30</v>
      </c>
      <c r="P419" s="1" t="s">
        <v>34</v>
      </c>
      <c r="Q419" s="1" t="s">
        <v>1465</v>
      </c>
      <c r="R419" s="1">
        <v>383.8</v>
      </c>
      <c r="S419" s="1">
        <v>5</v>
      </c>
      <c r="T419" s="3">
        <v>0.2</v>
      </c>
      <c r="U419" s="4">
        <v>38.380000000000003</v>
      </c>
      <c r="V419" s="1" t="str">
        <f t="shared" si="60"/>
        <v>Standard Class</v>
      </c>
      <c r="W419" s="1" t="str">
        <f t="shared" si="61"/>
        <v>Consumer</v>
      </c>
      <c r="X419" s="1" t="str">
        <f t="shared" si="62"/>
        <v>Los Angeles - California</v>
      </c>
      <c r="Y419" s="1" t="str">
        <f t="shared" si="63"/>
        <v>Chairs</v>
      </c>
      <c r="Z419" s="1">
        <f t="shared" si="64"/>
        <v>383.8</v>
      </c>
      <c r="AA419" s="1">
        <f t="shared" si="65"/>
        <v>383.8</v>
      </c>
      <c r="AB419" s="1">
        <f t="shared" si="66"/>
        <v>1919</v>
      </c>
      <c r="AC419" s="4">
        <f t="shared" si="67"/>
        <v>1535.2</v>
      </c>
      <c r="AD419" s="1" t="s">
        <v>2013</v>
      </c>
      <c r="AE419" s="1" t="str">
        <f t="shared" si="68"/>
        <v>2016</v>
      </c>
      <c r="AF419" s="1" t="str">
        <f t="shared" si="69"/>
        <v>148796</v>
      </c>
    </row>
    <row r="420" spans="1:32" x14ac:dyDescent="0.3">
      <c r="A420" s="1">
        <v>419</v>
      </c>
      <c r="B420" s="1" t="s">
        <v>1466</v>
      </c>
      <c r="C420" s="2">
        <v>43045</v>
      </c>
      <c r="D420" s="2">
        <v>43049</v>
      </c>
      <c r="E420" s="1" t="s">
        <v>48</v>
      </c>
      <c r="F420" s="1" t="s">
        <v>1271</v>
      </c>
      <c r="G420" s="1" t="s">
        <v>1272</v>
      </c>
      <c r="H420" s="1" t="s">
        <v>39</v>
      </c>
      <c r="I420" s="1" t="s">
        <v>25</v>
      </c>
      <c r="J420" s="1" t="s">
        <v>1467</v>
      </c>
      <c r="K420" s="1" t="s">
        <v>27</v>
      </c>
      <c r="L420" s="1">
        <v>40475</v>
      </c>
      <c r="M420" s="1" t="s">
        <v>28</v>
      </c>
      <c r="N420" s="1" t="s">
        <v>1468</v>
      </c>
      <c r="O420" s="1" t="s">
        <v>44</v>
      </c>
      <c r="P420" s="1" t="s">
        <v>88</v>
      </c>
      <c r="Q420" s="1" t="s">
        <v>1469</v>
      </c>
      <c r="R420" s="1">
        <v>5.78</v>
      </c>
      <c r="S420" s="1">
        <v>1</v>
      </c>
      <c r="T420" s="3">
        <v>0</v>
      </c>
      <c r="U420" s="4">
        <v>2.8321999999999998</v>
      </c>
      <c r="V420" s="1" t="str">
        <f t="shared" si="60"/>
        <v>Standard Class</v>
      </c>
      <c r="W420" s="1" t="str">
        <f t="shared" si="61"/>
        <v>Corporate</v>
      </c>
      <c r="X420" s="1" t="str">
        <f t="shared" si="62"/>
        <v>Richmond - Kentucky</v>
      </c>
      <c r="Y420" s="1" t="str">
        <f t="shared" si="63"/>
        <v>Paper</v>
      </c>
      <c r="Z420" s="1">
        <f t="shared" si="64"/>
        <v>5.78</v>
      </c>
      <c r="AA420" s="1">
        <f t="shared" si="65"/>
        <v>5.78</v>
      </c>
      <c r="AB420" s="1">
        <f t="shared" si="66"/>
        <v>5.78</v>
      </c>
      <c r="AC420" s="4">
        <f t="shared" si="67"/>
        <v>5.78</v>
      </c>
      <c r="AD420" s="1" t="s">
        <v>2013</v>
      </c>
      <c r="AE420" s="1" t="str">
        <f t="shared" si="68"/>
        <v>2017</v>
      </c>
      <c r="AF420" s="1" t="str">
        <f t="shared" si="69"/>
        <v>154816</v>
      </c>
    </row>
    <row r="421" spans="1:32" x14ac:dyDescent="0.3">
      <c r="A421" s="1">
        <v>420</v>
      </c>
      <c r="B421" s="1" t="s">
        <v>1470</v>
      </c>
      <c r="C421" s="2">
        <v>42798</v>
      </c>
      <c r="D421" s="2">
        <v>42803</v>
      </c>
      <c r="E421" s="1" t="s">
        <v>48</v>
      </c>
      <c r="F421" s="1" t="s">
        <v>1158</v>
      </c>
      <c r="G421" s="1" t="s">
        <v>1159</v>
      </c>
      <c r="H421" s="1" t="s">
        <v>39</v>
      </c>
      <c r="I421" s="1" t="s">
        <v>25</v>
      </c>
      <c r="J421" s="1" t="s">
        <v>40</v>
      </c>
      <c r="K421" s="1" t="s">
        <v>41</v>
      </c>
      <c r="L421" s="1">
        <v>90045</v>
      </c>
      <c r="M421" s="1" t="s">
        <v>42</v>
      </c>
      <c r="N421" s="1" t="s">
        <v>1471</v>
      </c>
      <c r="O421" s="1" t="s">
        <v>44</v>
      </c>
      <c r="P421" s="1" t="s">
        <v>66</v>
      </c>
      <c r="Q421" s="1" t="s">
        <v>1472</v>
      </c>
      <c r="R421" s="1">
        <v>9.32</v>
      </c>
      <c r="S421" s="1">
        <v>4</v>
      </c>
      <c r="T421" s="3">
        <v>0</v>
      </c>
      <c r="U421" s="4">
        <v>2.7027999999999999</v>
      </c>
      <c r="V421" s="1" t="str">
        <f t="shared" si="60"/>
        <v>Standard Class</v>
      </c>
      <c r="W421" s="1" t="str">
        <f t="shared" si="61"/>
        <v>Corporate</v>
      </c>
      <c r="X421" s="1" t="str">
        <f t="shared" si="62"/>
        <v>Los Angeles - California</v>
      </c>
      <c r="Y421" s="1" t="str">
        <f t="shared" si="63"/>
        <v>Art</v>
      </c>
      <c r="Z421" s="1">
        <f t="shared" si="64"/>
        <v>9.32</v>
      </c>
      <c r="AA421" s="1">
        <f t="shared" si="65"/>
        <v>9.32</v>
      </c>
      <c r="AB421" s="1">
        <f t="shared" si="66"/>
        <v>37.28</v>
      </c>
      <c r="AC421" s="4">
        <f t="shared" si="67"/>
        <v>37.28</v>
      </c>
      <c r="AD421" s="1" t="s">
        <v>2013</v>
      </c>
      <c r="AE421" s="1" t="str">
        <f t="shared" si="68"/>
        <v>2017</v>
      </c>
      <c r="AF421" s="1" t="str">
        <f t="shared" si="69"/>
        <v>110478</v>
      </c>
    </row>
    <row r="422" spans="1:32" x14ac:dyDescent="0.3">
      <c r="A422" s="1">
        <v>421</v>
      </c>
      <c r="B422" s="1" t="s">
        <v>1470</v>
      </c>
      <c r="C422" s="2">
        <v>42798</v>
      </c>
      <c r="D422" s="2">
        <v>42803</v>
      </c>
      <c r="E422" s="1" t="s">
        <v>48</v>
      </c>
      <c r="F422" s="1" t="s">
        <v>1158</v>
      </c>
      <c r="G422" s="1" t="s">
        <v>1159</v>
      </c>
      <c r="H422" s="1" t="s">
        <v>39</v>
      </c>
      <c r="I422" s="1" t="s">
        <v>25</v>
      </c>
      <c r="J422" s="1" t="s">
        <v>40</v>
      </c>
      <c r="K422" s="1" t="s">
        <v>41</v>
      </c>
      <c r="L422" s="1">
        <v>90045</v>
      </c>
      <c r="M422" s="1" t="s">
        <v>42</v>
      </c>
      <c r="N422" s="1" t="s">
        <v>1473</v>
      </c>
      <c r="O422" s="1" t="s">
        <v>44</v>
      </c>
      <c r="P422" s="1" t="s">
        <v>171</v>
      </c>
      <c r="Q422" s="1" t="s">
        <v>1474</v>
      </c>
      <c r="R422" s="1">
        <v>15.25</v>
      </c>
      <c r="S422" s="1">
        <v>1</v>
      </c>
      <c r="T422" s="3">
        <v>0</v>
      </c>
      <c r="U422" s="4">
        <v>7.0149999999999997</v>
      </c>
      <c r="V422" s="1" t="str">
        <f t="shared" si="60"/>
        <v>Standard Class</v>
      </c>
      <c r="W422" s="1" t="str">
        <f t="shared" si="61"/>
        <v>Corporate</v>
      </c>
      <c r="X422" s="1" t="str">
        <f t="shared" si="62"/>
        <v>Los Angeles - California</v>
      </c>
      <c r="Y422" s="1" t="str">
        <f t="shared" si="63"/>
        <v>Envelopes</v>
      </c>
      <c r="Z422" s="1">
        <f t="shared" si="64"/>
        <v>15.25</v>
      </c>
      <c r="AA422" s="1">
        <f t="shared" si="65"/>
        <v>15.25</v>
      </c>
      <c r="AB422" s="1">
        <f t="shared" si="66"/>
        <v>15.25</v>
      </c>
      <c r="AC422" s="4">
        <f t="shared" si="67"/>
        <v>15.25</v>
      </c>
      <c r="AD422" s="1" t="s">
        <v>2013</v>
      </c>
      <c r="AE422" s="1" t="str">
        <f t="shared" si="68"/>
        <v>2017</v>
      </c>
      <c r="AF422" s="1" t="str">
        <f t="shared" si="69"/>
        <v>110478</v>
      </c>
    </row>
    <row r="423" spans="1:32" x14ac:dyDescent="0.3">
      <c r="A423" s="1">
        <v>422</v>
      </c>
      <c r="B423" s="1" t="s">
        <v>1475</v>
      </c>
      <c r="C423" s="2">
        <v>41812</v>
      </c>
      <c r="D423" s="2">
        <v>41815</v>
      </c>
      <c r="E423" s="1" t="s">
        <v>186</v>
      </c>
      <c r="F423" s="1" t="s">
        <v>330</v>
      </c>
      <c r="G423" s="1" t="s">
        <v>331</v>
      </c>
      <c r="H423" s="1" t="s">
        <v>24</v>
      </c>
      <c r="I423" s="1" t="s">
        <v>25</v>
      </c>
      <c r="J423" s="1" t="s">
        <v>1476</v>
      </c>
      <c r="K423" s="1" t="s">
        <v>455</v>
      </c>
      <c r="L423" s="1">
        <v>80027</v>
      </c>
      <c r="M423" s="1" t="s">
        <v>42</v>
      </c>
      <c r="N423" s="1" t="s">
        <v>1477</v>
      </c>
      <c r="O423" s="1" t="s">
        <v>69</v>
      </c>
      <c r="P423" s="1" t="s">
        <v>159</v>
      </c>
      <c r="Q423" s="1" t="s">
        <v>1478</v>
      </c>
      <c r="R423" s="1">
        <v>196.75200000000001</v>
      </c>
      <c r="S423" s="1">
        <v>6</v>
      </c>
      <c r="T423" s="3">
        <v>0.2</v>
      </c>
      <c r="U423" s="4">
        <v>56.566200000000002</v>
      </c>
      <c r="V423" s="1" t="str">
        <f t="shared" si="60"/>
        <v>First Class</v>
      </c>
      <c r="W423" s="1" t="str">
        <f t="shared" si="61"/>
        <v>Consumer</v>
      </c>
      <c r="X423" s="1" t="str">
        <f t="shared" si="62"/>
        <v>Louisville - Colorado</v>
      </c>
      <c r="Y423" s="1" t="str">
        <f t="shared" si="63"/>
        <v>Accessories</v>
      </c>
      <c r="Z423" s="1">
        <f t="shared" si="64"/>
        <v>196.75200000000001</v>
      </c>
      <c r="AA423" s="1">
        <f t="shared" si="65"/>
        <v>196.75200000000001</v>
      </c>
      <c r="AB423" s="1">
        <f t="shared" si="66"/>
        <v>1180.5120000000002</v>
      </c>
      <c r="AC423" s="4">
        <f t="shared" si="67"/>
        <v>944.40960000000018</v>
      </c>
      <c r="AD423" s="1" t="s">
        <v>2013</v>
      </c>
      <c r="AE423" s="1" t="str">
        <f t="shared" si="68"/>
        <v>2014</v>
      </c>
      <c r="AF423" s="1" t="str">
        <f t="shared" si="69"/>
        <v>142048</v>
      </c>
    </row>
    <row r="424" spans="1:32" x14ac:dyDescent="0.3">
      <c r="A424" s="1">
        <v>423</v>
      </c>
      <c r="B424" s="1" t="s">
        <v>1479</v>
      </c>
      <c r="C424" s="2">
        <v>43027</v>
      </c>
      <c r="D424" s="2">
        <v>43031</v>
      </c>
      <c r="E424" s="1" t="s">
        <v>48</v>
      </c>
      <c r="F424" s="1" t="s">
        <v>1480</v>
      </c>
      <c r="G424" s="1" t="s">
        <v>1481</v>
      </c>
      <c r="H424" s="1" t="s">
        <v>39</v>
      </c>
      <c r="I424" s="1" t="s">
        <v>25</v>
      </c>
      <c r="J424" s="1" t="s">
        <v>1482</v>
      </c>
      <c r="K424" s="1" t="s">
        <v>1246</v>
      </c>
      <c r="L424" s="1">
        <v>1841</v>
      </c>
      <c r="M424" s="1" t="s">
        <v>146</v>
      </c>
      <c r="N424" s="1" t="s">
        <v>1483</v>
      </c>
      <c r="O424" s="1" t="s">
        <v>30</v>
      </c>
      <c r="P424" s="1" t="s">
        <v>63</v>
      </c>
      <c r="Q424" s="1" t="s">
        <v>1484</v>
      </c>
      <c r="R424" s="1">
        <v>56.56</v>
      </c>
      <c r="S424" s="1">
        <v>4</v>
      </c>
      <c r="T424" s="3">
        <v>0</v>
      </c>
      <c r="U424" s="4">
        <v>14.7056</v>
      </c>
      <c r="V424" s="1" t="str">
        <f t="shared" si="60"/>
        <v>Standard Class</v>
      </c>
      <c r="W424" s="1" t="str">
        <f t="shared" si="61"/>
        <v>Corporate</v>
      </c>
      <c r="X424" s="1" t="str">
        <f t="shared" si="62"/>
        <v>Lawrence - Massachusetts</v>
      </c>
      <c r="Y424" s="1" t="str">
        <f t="shared" si="63"/>
        <v>Furnishings</v>
      </c>
      <c r="Z424" s="1">
        <f t="shared" si="64"/>
        <v>56.56</v>
      </c>
      <c r="AA424" s="1">
        <f t="shared" si="65"/>
        <v>56.56</v>
      </c>
      <c r="AB424" s="1">
        <f t="shared" si="66"/>
        <v>226.24</v>
      </c>
      <c r="AC424" s="4">
        <f t="shared" si="67"/>
        <v>226.24</v>
      </c>
      <c r="AD424" s="1" t="s">
        <v>2013</v>
      </c>
      <c r="AE424" s="1" t="str">
        <f t="shared" si="68"/>
        <v>2017</v>
      </c>
      <c r="AF424" s="1" t="str">
        <f t="shared" si="69"/>
        <v>125388</v>
      </c>
    </row>
    <row r="425" spans="1:32" x14ac:dyDescent="0.3">
      <c r="A425" s="1">
        <v>424</v>
      </c>
      <c r="B425" s="1" t="s">
        <v>1479</v>
      </c>
      <c r="C425" s="2">
        <v>43027</v>
      </c>
      <c r="D425" s="2">
        <v>43031</v>
      </c>
      <c r="E425" s="1" t="s">
        <v>48</v>
      </c>
      <c r="F425" s="1" t="s">
        <v>1480</v>
      </c>
      <c r="G425" s="1" t="s">
        <v>1481</v>
      </c>
      <c r="H425" s="1" t="s">
        <v>39</v>
      </c>
      <c r="I425" s="1" t="s">
        <v>25</v>
      </c>
      <c r="J425" s="1" t="s">
        <v>1482</v>
      </c>
      <c r="K425" s="1" t="s">
        <v>1246</v>
      </c>
      <c r="L425" s="1">
        <v>1841</v>
      </c>
      <c r="M425" s="1" t="s">
        <v>146</v>
      </c>
      <c r="N425" s="1" t="s">
        <v>1485</v>
      </c>
      <c r="O425" s="1" t="s">
        <v>44</v>
      </c>
      <c r="P425" s="1" t="s">
        <v>57</v>
      </c>
      <c r="Q425" s="1" t="s">
        <v>1486</v>
      </c>
      <c r="R425" s="1">
        <v>32.700000000000003</v>
      </c>
      <c r="S425" s="1">
        <v>3</v>
      </c>
      <c r="T425" s="3">
        <v>0</v>
      </c>
      <c r="U425" s="4">
        <v>8.5020000000000007</v>
      </c>
      <c r="V425" s="1" t="str">
        <f t="shared" si="60"/>
        <v>Standard Class</v>
      </c>
      <c r="W425" s="1" t="str">
        <f t="shared" si="61"/>
        <v>Corporate</v>
      </c>
      <c r="X425" s="1" t="str">
        <f t="shared" si="62"/>
        <v>Lawrence - Massachusetts</v>
      </c>
      <c r="Y425" s="1" t="str">
        <f t="shared" si="63"/>
        <v>Storage</v>
      </c>
      <c r="Z425" s="1">
        <f t="shared" si="64"/>
        <v>32.700000000000003</v>
      </c>
      <c r="AA425" s="1">
        <f t="shared" si="65"/>
        <v>32.700000000000003</v>
      </c>
      <c r="AB425" s="1">
        <f t="shared" si="66"/>
        <v>98.100000000000009</v>
      </c>
      <c r="AC425" s="4">
        <f t="shared" si="67"/>
        <v>98.100000000000009</v>
      </c>
      <c r="AD425" s="1" t="s">
        <v>2013</v>
      </c>
      <c r="AE425" s="1" t="str">
        <f t="shared" si="68"/>
        <v>2017</v>
      </c>
      <c r="AF425" s="1" t="str">
        <f t="shared" si="69"/>
        <v>125388</v>
      </c>
    </row>
    <row r="426" spans="1:32" x14ac:dyDescent="0.3">
      <c r="A426" s="1">
        <v>425</v>
      </c>
      <c r="B426" s="1" t="s">
        <v>1487</v>
      </c>
      <c r="C426" s="2">
        <v>42968</v>
      </c>
      <c r="D426" s="2">
        <v>42970</v>
      </c>
      <c r="E426" s="1" t="s">
        <v>21</v>
      </c>
      <c r="F426" s="1" t="s">
        <v>1488</v>
      </c>
      <c r="G426" s="1" t="s">
        <v>1489</v>
      </c>
      <c r="H426" s="1" t="s">
        <v>24</v>
      </c>
      <c r="I426" s="1" t="s">
        <v>25</v>
      </c>
      <c r="J426" s="1" t="s">
        <v>326</v>
      </c>
      <c r="K426" s="1" t="s">
        <v>1490</v>
      </c>
      <c r="L426" s="1">
        <v>39212</v>
      </c>
      <c r="M426" s="1" t="s">
        <v>28</v>
      </c>
      <c r="N426" s="1" t="s">
        <v>1491</v>
      </c>
      <c r="O426" s="1" t="s">
        <v>30</v>
      </c>
      <c r="P426" s="1" t="s">
        <v>34</v>
      </c>
      <c r="Q426" s="1" t="s">
        <v>1492</v>
      </c>
      <c r="R426" s="1">
        <v>866.4</v>
      </c>
      <c r="S426" s="1">
        <v>4</v>
      </c>
      <c r="T426" s="3">
        <v>0</v>
      </c>
      <c r="U426" s="4">
        <v>225.26400000000001</v>
      </c>
      <c r="V426" s="1" t="str">
        <f t="shared" si="60"/>
        <v>Second Class</v>
      </c>
      <c r="W426" s="1" t="str">
        <f t="shared" si="61"/>
        <v>Consumer</v>
      </c>
      <c r="X426" s="1" t="str">
        <f t="shared" si="62"/>
        <v>Jackson - Mississippi</v>
      </c>
      <c r="Y426" s="1" t="str">
        <f t="shared" si="63"/>
        <v>Chairs</v>
      </c>
      <c r="Z426" s="1">
        <f t="shared" si="64"/>
        <v>866.4</v>
      </c>
      <c r="AA426" s="1">
        <f t="shared" si="65"/>
        <v>866.4</v>
      </c>
      <c r="AB426" s="1">
        <f t="shared" si="66"/>
        <v>3465.6</v>
      </c>
      <c r="AC426" s="4">
        <f t="shared" si="67"/>
        <v>3465.6</v>
      </c>
      <c r="AD426" s="1" t="s">
        <v>2013</v>
      </c>
      <c r="AE426" s="1" t="str">
        <f t="shared" si="68"/>
        <v>2017</v>
      </c>
      <c r="AF426" s="1" t="str">
        <f t="shared" si="69"/>
        <v>155705</v>
      </c>
    </row>
    <row r="427" spans="1:32" x14ac:dyDescent="0.3">
      <c r="A427" s="1">
        <v>426</v>
      </c>
      <c r="B427" s="1" t="s">
        <v>1493</v>
      </c>
      <c r="C427" s="2">
        <v>43062</v>
      </c>
      <c r="D427" s="2">
        <v>43065</v>
      </c>
      <c r="E427" s="1" t="s">
        <v>21</v>
      </c>
      <c r="F427" s="1" t="s">
        <v>262</v>
      </c>
      <c r="G427" s="1" t="s">
        <v>263</v>
      </c>
      <c r="H427" s="1" t="s">
        <v>39</v>
      </c>
      <c r="I427" s="1" t="s">
        <v>25</v>
      </c>
      <c r="J427" s="1" t="s">
        <v>1494</v>
      </c>
      <c r="K427" s="1" t="s">
        <v>236</v>
      </c>
      <c r="L427" s="1">
        <v>48187</v>
      </c>
      <c r="M427" s="1" t="s">
        <v>103</v>
      </c>
      <c r="N427" s="1" t="s">
        <v>1495</v>
      </c>
      <c r="O427" s="1" t="s">
        <v>30</v>
      </c>
      <c r="P427" s="1" t="s">
        <v>63</v>
      </c>
      <c r="Q427" s="1" t="s">
        <v>1496</v>
      </c>
      <c r="R427" s="1">
        <v>28.4</v>
      </c>
      <c r="S427" s="1">
        <v>2</v>
      </c>
      <c r="T427" s="3">
        <v>0</v>
      </c>
      <c r="U427" s="4">
        <v>11.076000000000001</v>
      </c>
      <c r="V427" s="1" t="str">
        <f t="shared" si="60"/>
        <v>Second Class</v>
      </c>
      <c r="W427" s="1" t="str">
        <f t="shared" si="61"/>
        <v>Corporate</v>
      </c>
      <c r="X427" s="1" t="str">
        <f t="shared" si="62"/>
        <v>Canton - Michigan</v>
      </c>
      <c r="Y427" s="1" t="str">
        <f t="shared" si="63"/>
        <v>Furnishings</v>
      </c>
      <c r="Z427" s="1">
        <f t="shared" si="64"/>
        <v>28.4</v>
      </c>
      <c r="AA427" s="1">
        <f t="shared" si="65"/>
        <v>28.4</v>
      </c>
      <c r="AB427" s="1">
        <f t="shared" si="66"/>
        <v>56.8</v>
      </c>
      <c r="AC427" s="4">
        <f t="shared" si="67"/>
        <v>56.8</v>
      </c>
      <c r="AD427" s="1" t="s">
        <v>2013</v>
      </c>
      <c r="AE427" s="1" t="str">
        <f t="shared" si="68"/>
        <v>2017</v>
      </c>
      <c r="AF427" s="1" t="str">
        <f t="shared" si="69"/>
        <v>149160</v>
      </c>
    </row>
    <row r="428" spans="1:32" x14ac:dyDescent="0.3">
      <c r="A428" s="1">
        <v>427</v>
      </c>
      <c r="B428" s="1" t="s">
        <v>1493</v>
      </c>
      <c r="C428" s="2">
        <v>43062</v>
      </c>
      <c r="D428" s="2">
        <v>43065</v>
      </c>
      <c r="E428" s="1" t="s">
        <v>21</v>
      </c>
      <c r="F428" s="1" t="s">
        <v>262</v>
      </c>
      <c r="G428" s="1" t="s">
        <v>263</v>
      </c>
      <c r="H428" s="1" t="s">
        <v>39</v>
      </c>
      <c r="I428" s="1" t="s">
        <v>25</v>
      </c>
      <c r="J428" s="1" t="s">
        <v>1494</v>
      </c>
      <c r="K428" s="1" t="s">
        <v>236</v>
      </c>
      <c r="L428" s="1">
        <v>48187</v>
      </c>
      <c r="M428" s="1" t="s">
        <v>103</v>
      </c>
      <c r="N428" s="1" t="s">
        <v>1497</v>
      </c>
      <c r="O428" s="1" t="s">
        <v>44</v>
      </c>
      <c r="P428" s="1" t="s">
        <v>73</v>
      </c>
      <c r="Q428" s="1" t="s">
        <v>1498</v>
      </c>
      <c r="R428" s="1">
        <v>287.92</v>
      </c>
      <c r="S428" s="1">
        <v>8</v>
      </c>
      <c r="T428" s="3">
        <v>0</v>
      </c>
      <c r="U428" s="4">
        <v>138.20160000000001</v>
      </c>
      <c r="V428" s="1" t="str">
        <f t="shared" si="60"/>
        <v>Second Class</v>
      </c>
      <c r="W428" s="1" t="str">
        <f t="shared" si="61"/>
        <v>Corporate</v>
      </c>
      <c r="X428" s="1" t="str">
        <f t="shared" si="62"/>
        <v>Canton - Michigan</v>
      </c>
      <c r="Y428" s="1" t="str">
        <f t="shared" si="63"/>
        <v>Binders</v>
      </c>
      <c r="Z428" s="1">
        <f t="shared" si="64"/>
        <v>287.92</v>
      </c>
      <c r="AA428" s="1">
        <f t="shared" si="65"/>
        <v>287.92</v>
      </c>
      <c r="AB428" s="1">
        <f t="shared" si="66"/>
        <v>2303.36</v>
      </c>
      <c r="AC428" s="4">
        <f t="shared" si="67"/>
        <v>2303.36</v>
      </c>
      <c r="AD428" s="1" t="s">
        <v>2013</v>
      </c>
      <c r="AE428" s="1" t="str">
        <f t="shared" si="68"/>
        <v>2017</v>
      </c>
      <c r="AF428" s="1" t="str">
        <f t="shared" si="69"/>
        <v>149160</v>
      </c>
    </row>
    <row r="429" spans="1:32" x14ac:dyDescent="0.3">
      <c r="A429" s="1">
        <v>428</v>
      </c>
      <c r="B429" s="1" t="s">
        <v>1499</v>
      </c>
      <c r="C429" s="2">
        <v>41894</v>
      </c>
      <c r="D429" s="2">
        <v>41895</v>
      </c>
      <c r="E429" s="1" t="s">
        <v>186</v>
      </c>
      <c r="F429" s="1" t="s">
        <v>1500</v>
      </c>
      <c r="G429" s="1" t="s">
        <v>1501</v>
      </c>
      <c r="H429" s="1" t="s">
        <v>100</v>
      </c>
      <c r="I429" s="1" t="s">
        <v>25</v>
      </c>
      <c r="J429" s="1" t="s">
        <v>1502</v>
      </c>
      <c r="K429" s="1" t="s">
        <v>265</v>
      </c>
      <c r="L429" s="1">
        <v>10801</v>
      </c>
      <c r="M429" s="1" t="s">
        <v>146</v>
      </c>
      <c r="N429" s="1" t="s">
        <v>1503</v>
      </c>
      <c r="O429" s="1" t="s">
        <v>69</v>
      </c>
      <c r="P429" s="1" t="s">
        <v>682</v>
      </c>
      <c r="Q429" s="1" t="s">
        <v>1504</v>
      </c>
      <c r="R429" s="1">
        <v>69.989999999999995</v>
      </c>
      <c r="S429" s="1">
        <v>1</v>
      </c>
      <c r="T429" s="3">
        <v>0</v>
      </c>
      <c r="U429" s="4">
        <v>30.095700000000001</v>
      </c>
      <c r="V429" s="1" t="str">
        <f t="shared" si="60"/>
        <v>First Class</v>
      </c>
      <c r="W429" s="1" t="str">
        <f t="shared" si="61"/>
        <v>Home Office</v>
      </c>
      <c r="X429" s="1" t="str">
        <f t="shared" si="62"/>
        <v>New Rochelle - New York</v>
      </c>
      <c r="Y429" s="1" t="str">
        <f t="shared" si="63"/>
        <v>Machines</v>
      </c>
      <c r="Z429" s="1">
        <f t="shared" si="64"/>
        <v>69.989999999999995</v>
      </c>
      <c r="AA429" s="1">
        <f t="shared" si="65"/>
        <v>69.989999999999995</v>
      </c>
      <c r="AB429" s="1">
        <f t="shared" si="66"/>
        <v>69.989999999999995</v>
      </c>
      <c r="AC429" s="4">
        <f t="shared" si="67"/>
        <v>69.989999999999995</v>
      </c>
      <c r="AD429" s="1" t="s">
        <v>2013</v>
      </c>
      <c r="AE429" s="1" t="str">
        <f t="shared" si="68"/>
        <v>2014</v>
      </c>
      <c r="AF429" s="1" t="str">
        <f t="shared" si="69"/>
        <v>101476</v>
      </c>
    </row>
    <row r="430" spans="1:32" x14ac:dyDescent="0.3">
      <c r="A430" s="1">
        <v>429</v>
      </c>
      <c r="B430" s="1" t="s">
        <v>1505</v>
      </c>
      <c r="C430" s="2">
        <v>43009</v>
      </c>
      <c r="D430" s="2">
        <v>43016</v>
      </c>
      <c r="E430" s="1" t="s">
        <v>48</v>
      </c>
      <c r="F430" s="1" t="s">
        <v>1506</v>
      </c>
      <c r="G430" s="1" t="s">
        <v>1507</v>
      </c>
      <c r="H430" s="1" t="s">
        <v>39</v>
      </c>
      <c r="I430" s="1" t="s">
        <v>25</v>
      </c>
      <c r="J430" s="1" t="s">
        <v>678</v>
      </c>
      <c r="K430" s="1" t="s">
        <v>102</v>
      </c>
      <c r="L430" s="1">
        <v>78207</v>
      </c>
      <c r="M430" s="1" t="s">
        <v>103</v>
      </c>
      <c r="N430" s="1" t="s">
        <v>1508</v>
      </c>
      <c r="O430" s="1" t="s">
        <v>44</v>
      </c>
      <c r="P430" s="1" t="s">
        <v>66</v>
      </c>
      <c r="Q430" s="1" t="s">
        <v>1509</v>
      </c>
      <c r="R430" s="1">
        <v>6.6719999999999997</v>
      </c>
      <c r="S430" s="1">
        <v>6</v>
      </c>
      <c r="T430" s="3">
        <v>0.2</v>
      </c>
      <c r="U430" s="4">
        <v>0.50039999999999996</v>
      </c>
      <c r="V430" s="1" t="str">
        <f t="shared" si="60"/>
        <v>Standard Class</v>
      </c>
      <c r="W430" s="1" t="str">
        <f t="shared" si="61"/>
        <v>Corporate</v>
      </c>
      <c r="X430" s="1" t="str">
        <f t="shared" si="62"/>
        <v>San Antonio - Texas</v>
      </c>
      <c r="Y430" s="1" t="str">
        <f t="shared" si="63"/>
        <v>Art</v>
      </c>
      <c r="Z430" s="1">
        <f t="shared" si="64"/>
        <v>6.6719999999999997</v>
      </c>
      <c r="AA430" s="1">
        <f t="shared" si="65"/>
        <v>6.6719999999999997</v>
      </c>
      <c r="AB430" s="1">
        <f t="shared" si="66"/>
        <v>40.031999999999996</v>
      </c>
      <c r="AC430" s="4">
        <f t="shared" si="67"/>
        <v>32.025599999999997</v>
      </c>
      <c r="AD430" s="1" t="s">
        <v>2013</v>
      </c>
      <c r="AE430" s="1" t="str">
        <f t="shared" si="68"/>
        <v>2017</v>
      </c>
      <c r="AF430" s="1" t="str">
        <f t="shared" si="69"/>
        <v>152275</v>
      </c>
    </row>
    <row r="431" spans="1:32" x14ac:dyDescent="0.3">
      <c r="A431" s="1">
        <v>430</v>
      </c>
      <c r="B431" s="1" t="s">
        <v>1510</v>
      </c>
      <c r="C431" s="2">
        <v>42475</v>
      </c>
      <c r="D431" s="2">
        <v>42481</v>
      </c>
      <c r="E431" s="1" t="s">
        <v>48</v>
      </c>
      <c r="F431" s="1" t="s">
        <v>1511</v>
      </c>
      <c r="G431" s="1" t="s">
        <v>1512</v>
      </c>
      <c r="H431" s="1" t="s">
        <v>100</v>
      </c>
      <c r="I431" s="1" t="s">
        <v>25</v>
      </c>
      <c r="J431" s="1" t="s">
        <v>1513</v>
      </c>
      <c r="K431" s="1" t="s">
        <v>86</v>
      </c>
      <c r="L431" s="1">
        <v>28052</v>
      </c>
      <c r="M431" s="1" t="s">
        <v>28</v>
      </c>
      <c r="N431" s="1" t="s">
        <v>1514</v>
      </c>
      <c r="O431" s="1" t="s">
        <v>44</v>
      </c>
      <c r="P431" s="1" t="s">
        <v>73</v>
      </c>
      <c r="Q431" s="1" t="s">
        <v>1515</v>
      </c>
      <c r="R431" s="1">
        <v>189.58799999999999</v>
      </c>
      <c r="S431" s="1">
        <v>2</v>
      </c>
      <c r="T431" s="3">
        <v>0.7</v>
      </c>
      <c r="U431" s="4">
        <v>-145.35079999999999</v>
      </c>
      <c r="V431" s="1" t="str">
        <f t="shared" si="60"/>
        <v>Standard Class</v>
      </c>
      <c r="W431" s="1" t="str">
        <f t="shared" si="61"/>
        <v>Home Office</v>
      </c>
      <c r="X431" s="1" t="str">
        <f t="shared" si="62"/>
        <v>Gastonia - North Carolina</v>
      </c>
      <c r="Y431" s="1" t="str">
        <f t="shared" si="63"/>
        <v>Binders</v>
      </c>
      <c r="Z431" s="1">
        <f t="shared" si="64"/>
        <v>189.58799999999999</v>
      </c>
      <c r="AA431" s="1">
        <f t="shared" si="65"/>
        <v>189.58799999999999</v>
      </c>
      <c r="AB431" s="1">
        <f t="shared" si="66"/>
        <v>379.17599999999999</v>
      </c>
      <c r="AC431" s="4">
        <f t="shared" si="67"/>
        <v>113.75280000000001</v>
      </c>
      <c r="AD431" s="1" t="s">
        <v>2014</v>
      </c>
      <c r="AE431" s="1" t="str">
        <f t="shared" si="68"/>
        <v>2016</v>
      </c>
      <c r="AF431" s="1" t="str">
        <f t="shared" si="69"/>
        <v>123750</v>
      </c>
    </row>
    <row r="432" spans="1:32" x14ac:dyDescent="0.3">
      <c r="A432" s="1">
        <v>431</v>
      </c>
      <c r="B432" s="1" t="s">
        <v>1510</v>
      </c>
      <c r="C432" s="2">
        <v>42475</v>
      </c>
      <c r="D432" s="2">
        <v>42481</v>
      </c>
      <c r="E432" s="1" t="s">
        <v>48</v>
      </c>
      <c r="F432" s="1" t="s">
        <v>1511</v>
      </c>
      <c r="G432" s="1" t="s">
        <v>1512</v>
      </c>
      <c r="H432" s="1" t="s">
        <v>100</v>
      </c>
      <c r="I432" s="1" t="s">
        <v>25</v>
      </c>
      <c r="J432" s="1" t="s">
        <v>1513</v>
      </c>
      <c r="K432" s="1" t="s">
        <v>86</v>
      </c>
      <c r="L432" s="1">
        <v>28052</v>
      </c>
      <c r="M432" s="1" t="s">
        <v>28</v>
      </c>
      <c r="N432" s="1" t="s">
        <v>730</v>
      </c>
      <c r="O432" s="1" t="s">
        <v>69</v>
      </c>
      <c r="P432" s="1" t="s">
        <v>159</v>
      </c>
      <c r="Q432" s="1" t="s">
        <v>731</v>
      </c>
      <c r="R432" s="1">
        <v>408.74400000000003</v>
      </c>
      <c r="S432" s="1">
        <v>7</v>
      </c>
      <c r="T432" s="3">
        <v>0.2</v>
      </c>
      <c r="U432" s="4">
        <v>76.639499999999998</v>
      </c>
      <c r="V432" s="1" t="str">
        <f t="shared" si="60"/>
        <v>Standard Class</v>
      </c>
      <c r="W432" s="1" t="str">
        <f t="shared" si="61"/>
        <v>Home Office</v>
      </c>
      <c r="X432" s="1" t="str">
        <f t="shared" si="62"/>
        <v>Gastonia - North Carolina</v>
      </c>
      <c r="Y432" s="1" t="str">
        <f t="shared" si="63"/>
        <v>Accessories</v>
      </c>
      <c r="Z432" s="1">
        <f t="shared" si="64"/>
        <v>408.74400000000003</v>
      </c>
      <c r="AA432" s="1">
        <f t="shared" si="65"/>
        <v>408.74400000000003</v>
      </c>
      <c r="AB432" s="1">
        <f t="shared" si="66"/>
        <v>2861.2080000000001</v>
      </c>
      <c r="AC432" s="4">
        <f t="shared" si="67"/>
        <v>2288.9664000000002</v>
      </c>
      <c r="AD432" s="1" t="s">
        <v>2014</v>
      </c>
      <c r="AE432" s="1" t="str">
        <f t="shared" si="68"/>
        <v>2016</v>
      </c>
      <c r="AF432" s="1" t="str">
        <f t="shared" si="69"/>
        <v>123750</v>
      </c>
    </row>
    <row r="433" spans="1:32" x14ac:dyDescent="0.3">
      <c r="A433" s="1">
        <v>432</v>
      </c>
      <c r="B433" s="1" t="s">
        <v>1510</v>
      </c>
      <c r="C433" s="2">
        <v>42475</v>
      </c>
      <c r="D433" s="2">
        <v>42481</v>
      </c>
      <c r="E433" s="1" t="s">
        <v>48</v>
      </c>
      <c r="F433" s="1" t="s">
        <v>1511</v>
      </c>
      <c r="G433" s="1" t="s">
        <v>1512</v>
      </c>
      <c r="H433" s="1" t="s">
        <v>100</v>
      </c>
      <c r="I433" s="1" t="s">
        <v>25</v>
      </c>
      <c r="J433" s="1" t="s">
        <v>1513</v>
      </c>
      <c r="K433" s="1" t="s">
        <v>86</v>
      </c>
      <c r="L433" s="1">
        <v>28052</v>
      </c>
      <c r="M433" s="1" t="s">
        <v>28</v>
      </c>
      <c r="N433" s="1" t="s">
        <v>730</v>
      </c>
      <c r="O433" s="1" t="s">
        <v>69</v>
      </c>
      <c r="P433" s="1" t="s">
        <v>159</v>
      </c>
      <c r="Q433" s="1" t="s">
        <v>731</v>
      </c>
      <c r="R433" s="1">
        <v>291.95999999999998</v>
      </c>
      <c r="S433" s="1">
        <v>5</v>
      </c>
      <c r="T433" s="3">
        <v>0.2</v>
      </c>
      <c r="U433" s="4">
        <v>54.7425</v>
      </c>
      <c r="V433" s="1" t="str">
        <f t="shared" si="60"/>
        <v>Standard Class</v>
      </c>
      <c r="W433" s="1" t="str">
        <f t="shared" si="61"/>
        <v>Home Office</v>
      </c>
      <c r="X433" s="1" t="str">
        <f t="shared" si="62"/>
        <v>Gastonia - North Carolina</v>
      </c>
      <c r="Y433" s="1" t="str">
        <f t="shared" si="63"/>
        <v>Accessories</v>
      </c>
      <c r="Z433" s="1">
        <f t="shared" si="64"/>
        <v>291.95999999999998</v>
      </c>
      <c r="AA433" s="1">
        <f t="shared" si="65"/>
        <v>291.95999999999998</v>
      </c>
      <c r="AB433" s="1">
        <f t="shared" si="66"/>
        <v>1459.8</v>
      </c>
      <c r="AC433" s="4">
        <f t="shared" si="67"/>
        <v>1167.8399999999999</v>
      </c>
      <c r="AD433" s="1" t="s">
        <v>2014</v>
      </c>
      <c r="AE433" s="1" t="str">
        <f t="shared" si="68"/>
        <v>2016</v>
      </c>
      <c r="AF433" s="1" t="str">
        <f t="shared" si="69"/>
        <v>123750</v>
      </c>
    </row>
    <row r="434" spans="1:32" x14ac:dyDescent="0.3">
      <c r="A434" s="1">
        <v>433</v>
      </c>
      <c r="B434" s="1" t="s">
        <v>1510</v>
      </c>
      <c r="C434" s="2">
        <v>42475</v>
      </c>
      <c r="D434" s="2">
        <v>42481</v>
      </c>
      <c r="E434" s="1" t="s">
        <v>48</v>
      </c>
      <c r="F434" s="1" t="s">
        <v>1511</v>
      </c>
      <c r="G434" s="1" t="s">
        <v>1512</v>
      </c>
      <c r="H434" s="1" t="s">
        <v>100</v>
      </c>
      <c r="I434" s="1" t="s">
        <v>25</v>
      </c>
      <c r="J434" s="1" t="s">
        <v>1513</v>
      </c>
      <c r="K434" s="1" t="s">
        <v>86</v>
      </c>
      <c r="L434" s="1">
        <v>28052</v>
      </c>
      <c r="M434" s="1" t="s">
        <v>28</v>
      </c>
      <c r="N434" s="1" t="s">
        <v>1516</v>
      </c>
      <c r="O434" s="1" t="s">
        <v>44</v>
      </c>
      <c r="P434" s="1" t="s">
        <v>57</v>
      </c>
      <c r="Q434" s="1" t="s">
        <v>1517</v>
      </c>
      <c r="R434" s="1">
        <v>4.7679999999999998</v>
      </c>
      <c r="S434" s="1">
        <v>2</v>
      </c>
      <c r="T434" s="3">
        <v>0.2</v>
      </c>
      <c r="U434" s="4">
        <v>-0.77480000000000004</v>
      </c>
      <c r="V434" s="1" t="str">
        <f t="shared" si="60"/>
        <v>Standard Class</v>
      </c>
      <c r="W434" s="1" t="str">
        <f t="shared" si="61"/>
        <v>Home Office</v>
      </c>
      <c r="X434" s="1" t="str">
        <f t="shared" si="62"/>
        <v>Gastonia - North Carolina</v>
      </c>
      <c r="Y434" s="1" t="str">
        <f t="shared" si="63"/>
        <v>Storage</v>
      </c>
      <c r="Z434" s="1">
        <f t="shared" si="64"/>
        <v>4.7679999999999998</v>
      </c>
      <c r="AA434" s="1">
        <f t="shared" si="65"/>
        <v>4.7679999999999998</v>
      </c>
      <c r="AB434" s="1">
        <f t="shared" si="66"/>
        <v>9.5359999999999996</v>
      </c>
      <c r="AC434" s="4">
        <f t="shared" si="67"/>
        <v>7.6288</v>
      </c>
      <c r="AD434" s="1" t="s">
        <v>2014</v>
      </c>
      <c r="AE434" s="1" t="str">
        <f t="shared" si="68"/>
        <v>2016</v>
      </c>
      <c r="AF434" s="1" t="str">
        <f t="shared" si="69"/>
        <v>123750</v>
      </c>
    </row>
    <row r="435" spans="1:32" x14ac:dyDescent="0.3">
      <c r="A435" s="1">
        <v>434</v>
      </c>
      <c r="B435" s="1" t="s">
        <v>1518</v>
      </c>
      <c r="C435" s="2">
        <v>42527</v>
      </c>
      <c r="D435" s="2">
        <v>42528</v>
      </c>
      <c r="E435" s="1" t="s">
        <v>186</v>
      </c>
      <c r="F435" s="1" t="s">
        <v>642</v>
      </c>
      <c r="G435" s="1" t="s">
        <v>643</v>
      </c>
      <c r="H435" s="1" t="s">
        <v>24</v>
      </c>
      <c r="I435" s="1" t="s">
        <v>25</v>
      </c>
      <c r="J435" s="1" t="s">
        <v>1245</v>
      </c>
      <c r="K435" s="1" t="s">
        <v>1246</v>
      </c>
      <c r="L435" s="1">
        <v>1852</v>
      </c>
      <c r="M435" s="1" t="s">
        <v>146</v>
      </c>
      <c r="N435" s="1" t="s">
        <v>1519</v>
      </c>
      <c r="O435" s="1" t="s">
        <v>44</v>
      </c>
      <c r="P435" s="1" t="s">
        <v>57</v>
      </c>
      <c r="Q435" s="1" t="s">
        <v>1520</v>
      </c>
      <c r="R435" s="1">
        <v>714.3</v>
      </c>
      <c r="S435" s="1">
        <v>5</v>
      </c>
      <c r="T435" s="3">
        <v>0</v>
      </c>
      <c r="U435" s="4">
        <v>207.14699999999999</v>
      </c>
      <c r="V435" s="1" t="str">
        <f t="shared" si="60"/>
        <v>First Class</v>
      </c>
      <c r="W435" s="1" t="str">
        <f t="shared" si="61"/>
        <v>Consumer</v>
      </c>
      <c r="X435" s="1" t="str">
        <f t="shared" si="62"/>
        <v>Lowell - Massachusetts</v>
      </c>
      <c r="Y435" s="1" t="str">
        <f t="shared" si="63"/>
        <v>Storage</v>
      </c>
      <c r="Z435" s="1">
        <f t="shared" si="64"/>
        <v>714.3</v>
      </c>
      <c r="AA435" s="1">
        <f t="shared" si="65"/>
        <v>714.3</v>
      </c>
      <c r="AB435" s="1">
        <f t="shared" si="66"/>
        <v>3571.5</v>
      </c>
      <c r="AC435" s="4">
        <f t="shared" si="67"/>
        <v>3571.5</v>
      </c>
      <c r="AD435" s="1" t="s">
        <v>2013</v>
      </c>
      <c r="AE435" s="1" t="str">
        <f t="shared" si="68"/>
        <v>2016</v>
      </c>
      <c r="AF435" s="1" t="str">
        <f t="shared" si="69"/>
        <v>127369</v>
      </c>
    </row>
    <row r="436" spans="1:32" x14ac:dyDescent="0.3">
      <c r="A436" s="1">
        <v>435</v>
      </c>
      <c r="B436" s="1" t="s">
        <v>1521</v>
      </c>
      <c r="C436" s="2">
        <v>41992</v>
      </c>
      <c r="D436" s="2">
        <v>41998</v>
      </c>
      <c r="E436" s="1" t="s">
        <v>48</v>
      </c>
      <c r="F436" s="1" t="s">
        <v>1522</v>
      </c>
      <c r="G436" s="1" t="s">
        <v>1523</v>
      </c>
      <c r="H436" s="1" t="s">
        <v>24</v>
      </c>
      <c r="I436" s="1" t="s">
        <v>25</v>
      </c>
      <c r="J436" s="1" t="s">
        <v>1524</v>
      </c>
      <c r="K436" s="1" t="s">
        <v>52</v>
      </c>
      <c r="L436" s="1">
        <v>32216</v>
      </c>
      <c r="M436" s="1" t="s">
        <v>28</v>
      </c>
      <c r="N436" s="1" t="s">
        <v>1525</v>
      </c>
      <c r="O436" s="1" t="s">
        <v>44</v>
      </c>
      <c r="P436" s="1" t="s">
        <v>73</v>
      </c>
      <c r="Q436" s="1" t="s">
        <v>1526</v>
      </c>
      <c r="R436" s="1">
        <v>4.8120000000000003</v>
      </c>
      <c r="S436" s="1">
        <v>2</v>
      </c>
      <c r="T436" s="3">
        <v>0.7</v>
      </c>
      <c r="U436" s="4">
        <v>-3.6892</v>
      </c>
      <c r="V436" s="1" t="str">
        <f t="shared" si="60"/>
        <v>Standard Class</v>
      </c>
      <c r="W436" s="1" t="str">
        <f t="shared" si="61"/>
        <v>Consumer</v>
      </c>
      <c r="X436" s="1" t="str">
        <f t="shared" si="62"/>
        <v>Jacksonville - Florida</v>
      </c>
      <c r="Y436" s="1" t="str">
        <f t="shared" si="63"/>
        <v>Binders</v>
      </c>
      <c r="Z436" s="1">
        <f t="shared" si="64"/>
        <v>4.8120000000000003</v>
      </c>
      <c r="AA436" s="1">
        <f t="shared" si="65"/>
        <v>4.8120000000000003</v>
      </c>
      <c r="AB436" s="1">
        <f t="shared" si="66"/>
        <v>9.6240000000000006</v>
      </c>
      <c r="AC436" s="4">
        <f t="shared" si="67"/>
        <v>2.8872000000000004</v>
      </c>
      <c r="AD436" s="1" t="s">
        <v>2014</v>
      </c>
      <c r="AE436" s="1" t="str">
        <f t="shared" si="68"/>
        <v>2014</v>
      </c>
      <c r="AF436" s="1" t="str">
        <f t="shared" si="69"/>
        <v>150574</v>
      </c>
    </row>
    <row r="437" spans="1:32" x14ac:dyDescent="0.3">
      <c r="A437" s="1">
        <v>436</v>
      </c>
      <c r="B437" s="1" t="s">
        <v>1521</v>
      </c>
      <c r="C437" s="2">
        <v>41992</v>
      </c>
      <c r="D437" s="2">
        <v>41998</v>
      </c>
      <c r="E437" s="1" t="s">
        <v>48</v>
      </c>
      <c r="F437" s="1" t="s">
        <v>1522</v>
      </c>
      <c r="G437" s="1" t="s">
        <v>1523</v>
      </c>
      <c r="H437" s="1" t="s">
        <v>24</v>
      </c>
      <c r="I437" s="1" t="s">
        <v>25</v>
      </c>
      <c r="J437" s="1" t="s">
        <v>1524</v>
      </c>
      <c r="K437" s="1" t="s">
        <v>52</v>
      </c>
      <c r="L437" s="1">
        <v>32216</v>
      </c>
      <c r="M437" s="1" t="s">
        <v>28</v>
      </c>
      <c r="N437" s="1" t="s">
        <v>1527</v>
      </c>
      <c r="O437" s="1" t="s">
        <v>69</v>
      </c>
      <c r="P437" s="1" t="s">
        <v>159</v>
      </c>
      <c r="Q437" s="1" t="s">
        <v>1528</v>
      </c>
      <c r="R437" s="1">
        <v>247.8</v>
      </c>
      <c r="S437" s="1">
        <v>5</v>
      </c>
      <c r="T437" s="3">
        <v>0.2</v>
      </c>
      <c r="U437" s="4">
        <v>-18.585000000000001</v>
      </c>
      <c r="V437" s="1" t="str">
        <f t="shared" si="60"/>
        <v>Standard Class</v>
      </c>
      <c r="W437" s="1" t="str">
        <f t="shared" si="61"/>
        <v>Consumer</v>
      </c>
      <c r="X437" s="1" t="str">
        <f t="shared" si="62"/>
        <v>Jacksonville - Florida</v>
      </c>
      <c r="Y437" s="1" t="str">
        <f t="shared" si="63"/>
        <v>Accessories</v>
      </c>
      <c r="Z437" s="1">
        <f t="shared" si="64"/>
        <v>247.8</v>
      </c>
      <c r="AA437" s="1">
        <f t="shared" si="65"/>
        <v>247.8</v>
      </c>
      <c r="AB437" s="1">
        <f t="shared" si="66"/>
        <v>1239</v>
      </c>
      <c r="AC437" s="4">
        <f t="shared" si="67"/>
        <v>991.2</v>
      </c>
      <c r="AD437" s="1" t="s">
        <v>2014</v>
      </c>
      <c r="AE437" s="1" t="str">
        <f t="shared" si="68"/>
        <v>2014</v>
      </c>
      <c r="AF437" s="1" t="str">
        <f t="shared" si="69"/>
        <v>150574</v>
      </c>
    </row>
    <row r="438" spans="1:32" x14ac:dyDescent="0.3">
      <c r="A438" s="1">
        <v>437</v>
      </c>
      <c r="B438" s="1" t="s">
        <v>1529</v>
      </c>
      <c r="C438" s="2">
        <v>42533</v>
      </c>
      <c r="D438" s="2">
        <v>42535</v>
      </c>
      <c r="E438" s="1" t="s">
        <v>21</v>
      </c>
      <c r="F438" s="1" t="s">
        <v>1530</v>
      </c>
      <c r="G438" s="1" t="s">
        <v>1531</v>
      </c>
      <c r="H438" s="1" t="s">
        <v>100</v>
      </c>
      <c r="I438" s="1" t="s">
        <v>25</v>
      </c>
      <c r="J438" s="1" t="s">
        <v>301</v>
      </c>
      <c r="K438" s="1" t="s">
        <v>209</v>
      </c>
      <c r="L438" s="1">
        <v>60623</v>
      </c>
      <c r="M438" s="1" t="s">
        <v>103</v>
      </c>
      <c r="N438" s="1" t="s">
        <v>1532</v>
      </c>
      <c r="O438" s="1" t="s">
        <v>69</v>
      </c>
      <c r="P438" s="1" t="s">
        <v>682</v>
      </c>
      <c r="Q438" s="1" t="s">
        <v>1533</v>
      </c>
      <c r="R438" s="1">
        <v>1007.979</v>
      </c>
      <c r="S438" s="1">
        <v>3</v>
      </c>
      <c r="T438" s="3">
        <v>0.3</v>
      </c>
      <c r="U438" s="4">
        <v>43.199100000000001</v>
      </c>
      <c r="V438" s="1" t="str">
        <f t="shared" si="60"/>
        <v>Second Class</v>
      </c>
      <c r="W438" s="1" t="str">
        <f t="shared" si="61"/>
        <v>Home Office</v>
      </c>
      <c r="X438" s="1" t="str">
        <f t="shared" si="62"/>
        <v>Chicago - Illinois</v>
      </c>
      <c r="Y438" s="1" t="str">
        <f t="shared" si="63"/>
        <v>Machines</v>
      </c>
      <c r="Z438" s="1">
        <f t="shared" si="64"/>
        <v>1007.979</v>
      </c>
      <c r="AA438" s="1">
        <f t="shared" si="65"/>
        <v>1007.979</v>
      </c>
      <c r="AB438" s="1">
        <f t="shared" si="66"/>
        <v>3023.9369999999999</v>
      </c>
      <c r="AC438" s="4">
        <f t="shared" si="67"/>
        <v>2116.7558999999997</v>
      </c>
      <c r="AD438" s="1" t="s">
        <v>2013</v>
      </c>
      <c r="AE438" s="1" t="str">
        <f t="shared" si="68"/>
        <v>2016</v>
      </c>
      <c r="AF438" s="1" t="str">
        <f t="shared" si="69"/>
        <v>147375</v>
      </c>
    </row>
    <row r="439" spans="1:32" x14ac:dyDescent="0.3">
      <c r="A439" s="1">
        <v>438</v>
      </c>
      <c r="B439" s="1" t="s">
        <v>1529</v>
      </c>
      <c r="C439" s="2">
        <v>42533</v>
      </c>
      <c r="D439" s="2">
        <v>42535</v>
      </c>
      <c r="E439" s="1" t="s">
        <v>21</v>
      </c>
      <c r="F439" s="1" t="s">
        <v>1530</v>
      </c>
      <c r="G439" s="1" t="s">
        <v>1531</v>
      </c>
      <c r="H439" s="1" t="s">
        <v>100</v>
      </c>
      <c r="I439" s="1" t="s">
        <v>25</v>
      </c>
      <c r="J439" s="1" t="s">
        <v>301</v>
      </c>
      <c r="K439" s="1" t="s">
        <v>209</v>
      </c>
      <c r="L439" s="1">
        <v>60623</v>
      </c>
      <c r="M439" s="1" t="s">
        <v>103</v>
      </c>
      <c r="N439" s="1" t="s">
        <v>1252</v>
      </c>
      <c r="O439" s="1" t="s">
        <v>44</v>
      </c>
      <c r="P439" s="1" t="s">
        <v>88</v>
      </c>
      <c r="Q439" s="1" t="s">
        <v>1445</v>
      </c>
      <c r="R439" s="1">
        <v>313.488</v>
      </c>
      <c r="S439" s="1">
        <v>7</v>
      </c>
      <c r="T439" s="3">
        <v>0.2</v>
      </c>
      <c r="U439" s="4">
        <v>113.63939999999999</v>
      </c>
      <c r="V439" s="1" t="str">
        <f t="shared" si="60"/>
        <v>Second Class</v>
      </c>
      <c r="W439" s="1" t="str">
        <f t="shared" si="61"/>
        <v>Home Office</v>
      </c>
      <c r="X439" s="1" t="str">
        <f t="shared" si="62"/>
        <v>Chicago - Illinois</v>
      </c>
      <c r="Y439" s="1" t="str">
        <f t="shared" si="63"/>
        <v>Paper</v>
      </c>
      <c r="Z439" s="1">
        <f t="shared" si="64"/>
        <v>313.488</v>
      </c>
      <c r="AA439" s="1">
        <f t="shared" si="65"/>
        <v>313.488</v>
      </c>
      <c r="AB439" s="1">
        <f t="shared" si="66"/>
        <v>2194.4160000000002</v>
      </c>
      <c r="AC439" s="4">
        <f t="shared" si="67"/>
        <v>1755.5328000000002</v>
      </c>
      <c r="AD439" s="1" t="s">
        <v>2013</v>
      </c>
      <c r="AE439" s="1" t="str">
        <f t="shared" si="68"/>
        <v>2016</v>
      </c>
      <c r="AF439" s="1" t="str">
        <f t="shared" si="69"/>
        <v>147375</v>
      </c>
    </row>
    <row r="440" spans="1:32" x14ac:dyDescent="0.3">
      <c r="A440" s="1">
        <v>439</v>
      </c>
      <c r="B440" s="1" t="s">
        <v>1534</v>
      </c>
      <c r="C440" s="2">
        <v>42993</v>
      </c>
      <c r="D440" s="2">
        <v>42997</v>
      </c>
      <c r="E440" s="1" t="s">
        <v>48</v>
      </c>
      <c r="F440" s="1" t="s">
        <v>1535</v>
      </c>
      <c r="G440" s="1" t="s">
        <v>1536</v>
      </c>
      <c r="H440" s="1" t="s">
        <v>39</v>
      </c>
      <c r="I440" s="1" t="s">
        <v>25</v>
      </c>
      <c r="J440" s="1" t="s">
        <v>182</v>
      </c>
      <c r="K440" s="1" t="s">
        <v>102</v>
      </c>
      <c r="L440" s="1">
        <v>77070</v>
      </c>
      <c r="M440" s="1" t="s">
        <v>103</v>
      </c>
      <c r="N440" s="1" t="s">
        <v>1537</v>
      </c>
      <c r="O440" s="1" t="s">
        <v>44</v>
      </c>
      <c r="P440" s="1" t="s">
        <v>88</v>
      </c>
      <c r="Q440" s="1" t="s">
        <v>1538</v>
      </c>
      <c r="R440" s="1">
        <v>31.872</v>
      </c>
      <c r="S440" s="1">
        <v>8</v>
      </c>
      <c r="T440" s="3">
        <v>0.2</v>
      </c>
      <c r="U440" s="4">
        <v>11.553599999999999</v>
      </c>
      <c r="V440" s="1" t="str">
        <f t="shared" si="60"/>
        <v>Standard Class</v>
      </c>
      <c r="W440" s="1" t="str">
        <f t="shared" si="61"/>
        <v>Corporate</v>
      </c>
      <c r="X440" s="1" t="str">
        <f t="shared" si="62"/>
        <v>Houston - Texas</v>
      </c>
      <c r="Y440" s="1" t="str">
        <f t="shared" si="63"/>
        <v>Paper</v>
      </c>
      <c r="Z440" s="1">
        <f t="shared" si="64"/>
        <v>31.872</v>
      </c>
      <c r="AA440" s="1">
        <f t="shared" si="65"/>
        <v>31.872</v>
      </c>
      <c r="AB440" s="1">
        <f t="shared" si="66"/>
        <v>254.976</v>
      </c>
      <c r="AC440" s="4">
        <f t="shared" si="67"/>
        <v>203.98080000000002</v>
      </c>
      <c r="AD440" s="1" t="s">
        <v>2013</v>
      </c>
      <c r="AE440" s="1" t="str">
        <f t="shared" si="68"/>
        <v>2017</v>
      </c>
      <c r="AF440" s="1" t="str">
        <f t="shared" si="69"/>
        <v>130043</v>
      </c>
    </row>
    <row r="441" spans="1:32" x14ac:dyDescent="0.3">
      <c r="A441" s="1">
        <v>440</v>
      </c>
      <c r="B441" s="1" t="s">
        <v>1539</v>
      </c>
      <c r="C441" s="2">
        <v>42755</v>
      </c>
      <c r="D441" s="2">
        <v>42758</v>
      </c>
      <c r="E441" s="1" t="s">
        <v>21</v>
      </c>
      <c r="F441" s="1" t="s">
        <v>479</v>
      </c>
      <c r="G441" s="1" t="s">
        <v>480</v>
      </c>
      <c r="H441" s="1" t="s">
        <v>39</v>
      </c>
      <c r="I441" s="1" t="s">
        <v>25</v>
      </c>
      <c r="J441" s="1" t="s">
        <v>264</v>
      </c>
      <c r="K441" s="1" t="s">
        <v>265</v>
      </c>
      <c r="L441" s="1">
        <v>10024</v>
      </c>
      <c r="M441" s="1" t="s">
        <v>146</v>
      </c>
      <c r="N441" s="1" t="s">
        <v>1540</v>
      </c>
      <c r="O441" s="1" t="s">
        <v>30</v>
      </c>
      <c r="P441" s="1" t="s">
        <v>34</v>
      </c>
      <c r="Q441" s="1" t="s">
        <v>1541</v>
      </c>
      <c r="R441" s="1">
        <v>207.846</v>
      </c>
      <c r="S441" s="1">
        <v>3</v>
      </c>
      <c r="T441" s="3">
        <v>0.1</v>
      </c>
      <c r="U441" s="4">
        <v>2.3094000000000001</v>
      </c>
      <c r="V441" s="1" t="str">
        <f t="shared" si="60"/>
        <v>Second Class</v>
      </c>
      <c r="W441" s="1" t="str">
        <f t="shared" si="61"/>
        <v>Corporate</v>
      </c>
      <c r="X441" s="1" t="str">
        <f t="shared" si="62"/>
        <v>New York City - New York</v>
      </c>
      <c r="Y441" s="1" t="str">
        <f t="shared" si="63"/>
        <v>Chairs</v>
      </c>
      <c r="Z441" s="1">
        <f t="shared" si="64"/>
        <v>207.846</v>
      </c>
      <c r="AA441" s="1">
        <f t="shared" si="65"/>
        <v>207.846</v>
      </c>
      <c r="AB441" s="1">
        <f t="shared" si="66"/>
        <v>623.53800000000001</v>
      </c>
      <c r="AC441" s="4">
        <f t="shared" si="67"/>
        <v>561.18420000000003</v>
      </c>
      <c r="AD441" s="1" t="s">
        <v>2013</v>
      </c>
      <c r="AE441" s="1" t="str">
        <f t="shared" si="68"/>
        <v>2017</v>
      </c>
      <c r="AF441" s="1" t="str">
        <f t="shared" si="69"/>
        <v>157252</v>
      </c>
    </row>
    <row r="442" spans="1:32" x14ac:dyDescent="0.3">
      <c r="A442" s="1">
        <v>441</v>
      </c>
      <c r="B442" s="1" t="s">
        <v>1542</v>
      </c>
      <c r="C442" s="2">
        <v>42618</v>
      </c>
      <c r="D442" s="2">
        <v>42620</v>
      </c>
      <c r="E442" s="1" t="s">
        <v>21</v>
      </c>
      <c r="F442" s="1" t="s">
        <v>109</v>
      </c>
      <c r="G442" s="1" t="s">
        <v>110</v>
      </c>
      <c r="H442" s="1" t="s">
        <v>24</v>
      </c>
      <c r="I442" s="1" t="s">
        <v>25</v>
      </c>
      <c r="J442" s="1" t="s">
        <v>880</v>
      </c>
      <c r="K442" s="1" t="s">
        <v>236</v>
      </c>
      <c r="L442" s="1">
        <v>48227</v>
      </c>
      <c r="M442" s="1" t="s">
        <v>103</v>
      </c>
      <c r="N442" s="1" t="s">
        <v>1543</v>
      </c>
      <c r="O442" s="1" t="s">
        <v>30</v>
      </c>
      <c r="P442" s="1" t="s">
        <v>63</v>
      </c>
      <c r="Q442" s="1" t="s">
        <v>1544</v>
      </c>
      <c r="R442" s="1">
        <v>12.22</v>
      </c>
      <c r="S442" s="1">
        <v>1</v>
      </c>
      <c r="T442" s="3">
        <v>0</v>
      </c>
      <c r="U442" s="4">
        <v>3.6659999999999999</v>
      </c>
      <c r="V442" s="1" t="str">
        <f t="shared" si="60"/>
        <v>Second Class</v>
      </c>
      <c r="W442" s="1" t="str">
        <f t="shared" si="61"/>
        <v>Consumer</v>
      </c>
      <c r="X442" s="1" t="str">
        <f t="shared" si="62"/>
        <v>Detroit - Michigan</v>
      </c>
      <c r="Y442" s="1" t="str">
        <f t="shared" si="63"/>
        <v>Furnishings</v>
      </c>
      <c r="Z442" s="1">
        <f t="shared" si="64"/>
        <v>12.22</v>
      </c>
      <c r="AA442" s="1">
        <f t="shared" si="65"/>
        <v>12.22</v>
      </c>
      <c r="AB442" s="1">
        <f t="shared" si="66"/>
        <v>12.22</v>
      </c>
      <c r="AC442" s="4">
        <f t="shared" si="67"/>
        <v>12.22</v>
      </c>
      <c r="AD442" s="1" t="s">
        <v>2013</v>
      </c>
      <c r="AE442" s="1" t="str">
        <f t="shared" si="68"/>
        <v>2016</v>
      </c>
      <c r="AF442" s="1" t="str">
        <f t="shared" si="69"/>
        <v>115756</v>
      </c>
    </row>
    <row r="443" spans="1:32" x14ac:dyDescent="0.3">
      <c r="A443" s="1">
        <v>442</v>
      </c>
      <c r="B443" s="1" t="s">
        <v>1542</v>
      </c>
      <c r="C443" s="2">
        <v>42618</v>
      </c>
      <c r="D443" s="2">
        <v>42620</v>
      </c>
      <c r="E443" s="1" t="s">
        <v>21</v>
      </c>
      <c r="F443" s="1" t="s">
        <v>109</v>
      </c>
      <c r="G443" s="1" t="s">
        <v>110</v>
      </c>
      <c r="H443" s="1" t="s">
        <v>24</v>
      </c>
      <c r="I443" s="1" t="s">
        <v>25</v>
      </c>
      <c r="J443" s="1" t="s">
        <v>880</v>
      </c>
      <c r="K443" s="1" t="s">
        <v>236</v>
      </c>
      <c r="L443" s="1">
        <v>48227</v>
      </c>
      <c r="M443" s="1" t="s">
        <v>103</v>
      </c>
      <c r="N443" s="1" t="s">
        <v>1545</v>
      </c>
      <c r="O443" s="1" t="s">
        <v>44</v>
      </c>
      <c r="P443" s="1" t="s">
        <v>57</v>
      </c>
      <c r="Q443" s="1" t="s">
        <v>1546</v>
      </c>
      <c r="R443" s="1">
        <v>194.94</v>
      </c>
      <c r="S443" s="1">
        <v>3</v>
      </c>
      <c r="T443" s="3">
        <v>0</v>
      </c>
      <c r="U443" s="4">
        <v>23.392800000000001</v>
      </c>
      <c r="V443" s="1" t="str">
        <f t="shared" si="60"/>
        <v>Second Class</v>
      </c>
      <c r="W443" s="1" t="str">
        <f t="shared" si="61"/>
        <v>Consumer</v>
      </c>
      <c r="X443" s="1" t="str">
        <f t="shared" si="62"/>
        <v>Detroit - Michigan</v>
      </c>
      <c r="Y443" s="1" t="str">
        <f t="shared" si="63"/>
        <v>Storage</v>
      </c>
      <c r="Z443" s="1">
        <f t="shared" si="64"/>
        <v>194.94</v>
      </c>
      <c r="AA443" s="1">
        <f t="shared" si="65"/>
        <v>194.94</v>
      </c>
      <c r="AB443" s="1">
        <f t="shared" si="66"/>
        <v>584.81999999999994</v>
      </c>
      <c r="AC443" s="4">
        <f t="shared" si="67"/>
        <v>584.81999999999994</v>
      </c>
      <c r="AD443" s="1" t="s">
        <v>2013</v>
      </c>
      <c r="AE443" s="1" t="str">
        <f t="shared" si="68"/>
        <v>2016</v>
      </c>
      <c r="AF443" s="1" t="str">
        <f t="shared" si="69"/>
        <v>115756</v>
      </c>
    </row>
    <row r="444" spans="1:32" x14ac:dyDescent="0.3">
      <c r="A444" s="1">
        <v>443</v>
      </c>
      <c r="B444" s="1" t="s">
        <v>1542</v>
      </c>
      <c r="C444" s="2">
        <v>42618</v>
      </c>
      <c r="D444" s="2">
        <v>42620</v>
      </c>
      <c r="E444" s="1" t="s">
        <v>21</v>
      </c>
      <c r="F444" s="1" t="s">
        <v>109</v>
      </c>
      <c r="G444" s="1" t="s">
        <v>110</v>
      </c>
      <c r="H444" s="1" t="s">
        <v>24</v>
      </c>
      <c r="I444" s="1" t="s">
        <v>25</v>
      </c>
      <c r="J444" s="1" t="s">
        <v>880</v>
      </c>
      <c r="K444" s="1" t="s">
        <v>236</v>
      </c>
      <c r="L444" s="1">
        <v>48227</v>
      </c>
      <c r="M444" s="1" t="s">
        <v>103</v>
      </c>
      <c r="N444" s="1" t="s">
        <v>1547</v>
      </c>
      <c r="O444" s="1" t="s">
        <v>44</v>
      </c>
      <c r="P444" s="1" t="s">
        <v>57</v>
      </c>
      <c r="Q444" s="1" t="s">
        <v>1548</v>
      </c>
      <c r="R444" s="1">
        <v>70.95</v>
      </c>
      <c r="S444" s="1">
        <v>3</v>
      </c>
      <c r="T444" s="3">
        <v>0</v>
      </c>
      <c r="U444" s="4">
        <v>20.575500000000002</v>
      </c>
      <c r="V444" s="1" t="str">
        <f t="shared" si="60"/>
        <v>Second Class</v>
      </c>
      <c r="W444" s="1" t="str">
        <f t="shared" si="61"/>
        <v>Consumer</v>
      </c>
      <c r="X444" s="1" t="str">
        <f t="shared" si="62"/>
        <v>Detroit - Michigan</v>
      </c>
      <c r="Y444" s="1" t="str">
        <f t="shared" si="63"/>
        <v>Storage</v>
      </c>
      <c r="Z444" s="1">
        <f t="shared" si="64"/>
        <v>70.95</v>
      </c>
      <c r="AA444" s="1">
        <f t="shared" si="65"/>
        <v>70.95</v>
      </c>
      <c r="AB444" s="1">
        <f t="shared" si="66"/>
        <v>212.85000000000002</v>
      </c>
      <c r="AC444" s="4">
        <f t="shared" si="67"/>
        <v>212.85000000000002</v>
      </c>
      <c r="AD444" s="1" t="s">
        <v>2013</v>
      </c>
      <c r="AE444" s="1" t="str">
        <f t="shared" si="68"/>
        <v>2016</v>
      </c>
      <c r="AF444" s="1" t="str">
        <f t="shared" si="69"/>
        <v>115756</v>
      </c>
    </row>
    <row r="445" spans="1:32" x14ac:dyDescent="0.3">
      <c r="A445" s="1">
        <v>444</v>
      </c>
      <c r="B445" s="1" t="s">
        <v>1542</v>
      </c>
      <c r="C445" s="2">
        <v>42618</v>
      </c>
      <c r="D445" s="2">
        <v>42620</v>
      </c>
      <c r="E445" s="1" t="s">
        <v>21</v>
      </c>
      <c r="F445" s="1" t="s">
        <v>109</v>
      </c>
      <c r="G445" s="1" t="s">
        <v>110</v>
      </c>
      <c r="H445" s="1" t="s">
        <v>24</v>
      </c>
      <c r="I445" s="1" t="s">
        <v>25</v>
      </c>
      <c r="J445" s="1" t="s">
        <v>880</v>
      </c>
      <c r="K445" s="1" t="s">
        <v>236</v>
      </c>
      <c r="L445" s="1">
        <v>48227</v>
      </c>
      <c r="M445" s="1" t="s">
        <v>103</v>
      </c>
      <c r="N445" s="1" t="s">
        <v>1549</v>
      </c>
      <c r="O445" s="1" t="s">
        <v>44</v>
      </c>
      <c r="P445" s="1" t="s">
        <v>88</v>
      </c>
      <c r="Q445" s="1" t="s">
        <v>1550</v>
      </c>
      <c r="R445" s="1">
        <v>91.36</v>
      </c>
      <c r="S445" s="1">
        <v>4</v>
      </c>
      <c r="T445" s="3">
        <v>0</v>
      </c>
      <c r="U445" s="4">
        <v>42.025599999999997</v>
      </c>
      <c r="V445" s="1" t="str">
        <f t="shared" si="60"/>
        <v>Second Class</v>
      </c>
      <c r="W445" s="1" t="str">
        <f t="shared" si="61"/>
        <v>Consumer</v>
      </c>
      <c r="X445" s="1" t="str">
        <f t="shared" si="62"/>
        <v>Detroit - Michigan</v>
      </c>
      <c r="Y445" s="1" t="str">
        <f t="shared" si="63"/>
        <v>Paper</v>
      </c>
      <c r="Z445" s="1">
        <f t="shared" si="64"/>
        <v>91.36</v>
      </c>
      <c r="AA445" s="1">
        <f t="shared" si="65"/>
        <v>91.36</v>
      </c>
      <c r="AB445" s="1">
        <f t="shared" si="66"/>
        <v>365.44</v>
      </c>
      <c r="AC445" s="4">
        <f t="shared" si="67"/>
        <v>365.44</v>
      </c>
      <c r="AD445" s="1" t="s">
        <v>2013</v>
      </c>
      <c r="AE445" s="1" t="str">
        <f t="shared" si="68"/>
        <v>2016</v>
      </c>
      <c r="AF445" s="1" t="str">
        <f t="shared" si="69"/>
        <v>115756</v>
      </c>
    </row>
    <row r="446" spans="1:32" x14ac:dyDescent="0.3">
      <c r="A446" s="1">
        <v>445</v>
      </c>
      <c r="B446" s="1" t="s">
        <v>1542</v>
      </c>
      <c r="C446" s="2">
        <v>42618</v>
      </c>
      <c r="D446" s="2">
        <v>42620</v>
      </c>
      <c r="E446" s="1" t="s">
        <v>21</v>
      </c>
      <c r="F446" s="1" t="s">
        <v>109</v>
      </c>
      <c r="G446" s="1" t="s">
        <v>110</v>
      </c>
      <c r="H446" s="1" t="s">
        <v>24</v>
      </c>
      <c r="I446" s="1" t="s">
        <v>25</v>
      </c>
      <c r="J446" s="1" t="s">
        <v>880</v>
      </c>
      <c r="K446" s="1" t="s">
        <v>236</v>
      </c>
      <c r="L446" s="1">
        <v>48227</v>
      </c>
      <c r="M446" s="1" t="s">
        <v>103</v>
      </c>
      <c r="N446" s="1" t="s">
        <v>1551</v>
      </c>
      <c r="O446" s="1" t="s">
        <v>30</v>
      </c>
      <c r="P446" s="1" t="s">
        <v>34</v>
      </c>
      <c r="Q446" s="1" t="s">
        <v>1552</v>
      </c>
      <c r="R446" s="1">
        <v>242.94</v>
      </c>
      <c r="S446" s="1">
        <v>3</v>
      </c>
      <c r="T446" s="3">
        <v>0</v>
      </c>
      <c r="U446" s="4">
        <v>29.152799999999999</v>
      </c>
      <c r="V446" s="1" t="str">
        <f t="shared" si="60"/>
        <v>Second Class</v>
      </c>
      <c r="W446" s="1" t="str">
        <f t="shared" si="61"/>
        <v>Consumer</v>
      </c>
      <c r="X446" s="1" t="str">
        <f t="shared" si="62"/>
        <v>Detroit - Michigan</v>
      </c>
      <c r="Y446" s="1" t="str">
        <f t="shared" si="63"/>
        <v>Chairs</v>
      </c>
      <c r="Z446" s="1">
        <f t="shared" si="64"/>
        <v>242.94</v>
      </c>
      <c r="AA446" s="1">
        <f t="shared" si="65"/>
        <v>242.94</v>
      </c>
      <c r="AB446" s="1">
        <f t="shared" si="66"/>
        <v>728.81999999999994</v>
      </c>
      <c r="AC446" s="4">
        <f t="shared" si="67"/>
        <v>728.81999999999994</v>
      </c>
      <c r="AD446" s="1" t="s">
        <v>2013</v>
      </c>
      <c r="AE446" s="1" t="str">
        <f t="shared" si="68"/>
        <v>2016</v>
      </c>
      <c r="AF446" s="1" t="str">
        <f t="shared" si="69"/>
        <v>115756</v>
      </c>
    </row>
    <row r="447" spans="1:32" x14ac:dyDescent="0.3">
      <c r="A447" s="1">
        <v>446</v>
      </c>
      <c r="B447" s="1" t="s">
        <v>1542</v>
      </c>
      <c r="C447" s="2">
        <v>42618</v>
      </c>
      <c r="D447" s="2">
        <v>42620</v>
      </c>
      <c r="E447" s="1" t="s">
        <v>21</v>
      </c>
      <c r="F447" s="1" t="s">
        <v>109</v>
      </c>
      <c r="G447" s="1" t="s">
        <v>110</v>
      </c>
      <c r="H447" s="1" t="s">
        <v>24</v>
      </c>
      <c r="I447" s="1" t="s">
        <v>25</v>
      </c>
      <c r="J447" s="1" t="s">
        <v>880</v>
      </c>
      <c r="K447" s="1" t="s">
        <v>236</v>
      </c>
      <c r="L447" s="1">
        <v>48227</v>
      </c>
      <c r="M447" s="1" t="s">
        <v>103</v>
      </c>
      <c r="N447" s="1" t="s">
        <v>1553</v>
      </c>
      <c r="O447" s="1" t="s">
        <v>44</v>
      </c>
      <c r="P447" s="1" t="s">
        <v>45</v>
      </c>
      <c r="Q447" s="1" t="s">
        <v>1554</v>
      </c>
      <c r="R447" s="1">
        <v>22.05</v>
      </c>
      <c r="S447" s="1">
        <v>7</v>
      </c>
      <c r="T447" s="3">
        <v>0</v>
      </c>
      <c r="U447" s="4">
        <v>10.584</v>
      </c>
      <c r="V447" s="1" t="str">
        <f t="shared" si="60"/>
        <v>Second Class</v>
      </c>
      <c r="W447" s="1" t="str">
        <f t="shared" si="61"/>
        <v>Consumer</v>
      </c>
      <c r="X447" s="1" t="str">
        <f t="shared" si="62"/>
        <v>Detroit - Michigan</v>
      </c>
      <c r="Y447" s="1" t="str">
        <f t="shared" si="63"/>
        <v>Labels</v>
      </c>
      <c r="Z447" s="1">
        <f t="shared" si="64"/>
        <v>22.05</v>
      </c>
      <c r="AA447" s="1">
        <f t="shared" si="65"/>
        <v>22.05</v>
      </c>
      <c r="AB447" s="1">
        <f t="shared" si="66"/>
        <v>154.35</v>
      </c>
      <c r="AC447" s="4">
        <f t="shared" si="67"/>
        <v>154.35</v>
      </c>
      <c r="AD447" s="1" t="s">
        <v>2013</v>
      </c>
      <c r="AE447" s="1" t="str">
        <f t="shared" si="68"/>
        <v>2016</v>
      </c>
      <c r="AF447" s="1" t="str">
        <f t="shared" si="69"/>
        <v>115756</v>
      </c>
    </row>
    <row r="448" spans="1:32" x14ac:dyDescent="0.3">
      <c r="A448" s="1">
        <v>447</v>
      </c>
      <c r="B448" s="1" t="s">
        <v>1555</v>
      </c>
      <c r="C448" s="2">
        <v>42814</v>
      </c>
      <c r="D448" s="2">
        <v>42819</v>
      </c>
      <c r="E448" s="1" t="s">
        <v>21</v>
      </c>
      <c r="F448" s="1" t="s">
        <v>1556</v>
      </c>
      <c r="G448" s="1" t="s">
        <v>1557</v>
      </c>
      <c r="H448" s="1" t="s">
        <v>24</v>
      </c>
      <c r="I448" s="1" t="s">
        <v>25</v>
      </c>
      <c r="J448" s="1" t="s">
        <v>495</v>
      </c>
      <c r="K448" s="1" t="s">
        <v>252</v>
      </c>
      <c r="L448" s="1">
        <v>47201</v>
      </c>
      <c r="M448" s="1" t="s">
        <v>103</v>
      </c>
      <c r="N448" s="1" t="s">
        <v>1558</v>
      </c>
      <c r="O448" s="1" t="s">
        <v>30</v>
      </c>
      <c r="P448" s="1" t="s">
        <v>63</v>
      </c>
      <c r="Q448" s="1" t="s">
        <v>1559</v>
      </c>
      <c r="R448" s="1">
        <v>2.91</v>
      </c>
      <c r="S448" s="1">
        <v>1</v>
      </c>
      <c r="T448" s="3">
        <v>0</v>
      </c>
      <c r="U448" s="4">
        <v>1.3676999999999999</v>
      </c>
      <c r="V448" s="1" t="str">
        <f t="shared" si="60"/>
        <v>Second Class</v>
      </c>
      <c r="W448" s="1" t="str">
        <f t="shared" si="61"/>
        <v>Consumer</v>
      </c>
      <c r="X448" s="1" t="str">
        <f t="shared" si="62"/>
        <v>Columbus - Indiana</v>
      </c>
      <c r="Y448" s="1" t="str">
        <f t="shared" si="63"/>
        <v>Furnishings</v>
      </c>
      <c r="Z448" s="1">
        <f t="shared" si="64"/>
        <v>2.91</v>
      </c>
      <c r="AA448" s="1">
        <f t="shared" si="65"/>
        <v>2.91</v>
      </c>
      <c r="AB448" s="1">
        <f t="shared" si="66"/>
        <v>2.91</v>
      </c>
      <c r="AC448" s="4">
        <f t="shared" si="67"/>
        <v>2.91</v>
      </c>
      <c r="AD448" s="1" t="s">
        <v>2013</v>
      </c>
      <c r="AE448" s="1" t="str">
        <f t="shared" si="68"/>
        <v>2017</v>
      </c>
      <c r="AF448" s="1" t="str">
        <f t="shared" si="69"/>
        <v>154214</v>
      </c>
    </row>
    <row r="449" spans="1:32" x14ac:dyDescent="0.3">
      <c r="A449" s="1">
        <v>448</v>
      </c>
      <c r="B449" s="1" t="s">
        <v>1560</v>
      </c>
      <c r="C449" s="2">
        <v>42461</v>
      </c>
      <c r="D449" s="2">
        <v>42463</v>
      </c>
      <c r="E449" s="1" t="s">
        <v>21</v>
      </c>
      <c r="F449" s="1" t="s">
        <v>1561</v>
      </c>
      <c r="G449" s="1" t="s">
        <v>1562</v>
      </c>
      <c r="H449" s="1" t="s">
        <v>24</v>
      </c>
      <c r="I449" s="1" t="s">
        <v>25</v>
      </c>
      <c r="J449" s="1" t="s">
        <v>1563</v>
      </c>
      <c r="K449" s="1" t="s">
        <v>265</v>
      </c>
      <c r="L449" s="1">
        <v>13021</v>
      </c>
      <c r="M449" s="1" t="s">
        <v>146</v>
      </c>
      <c r="N449" s="1" t="s">
        <v>1564</v>
      </c>
      <c r="O449" s="1" t="s">
        <v>44</v>
      </c>
      <c r="P449" s="1" t="s">
        <v>66</v>
      </c>
      <c r="Q449" s="1" t="s">
        <v>1565</v>
      </c>
      <c r="R449" s="1">
        <v>59.52</v>
      </c>
      <c r="S449" s="1">
        <v>3</v>
      </c>
      <c r="T449" s="3">
        <v>0</v>
      </c>
      <c r="U449" s="4">
        <v>15.475199999999999</v>
      </c>
      <c r="V449" s="1" t="str">
        <f t="shared" si="60"/>
        <v>Second Class</v>
      </c>
      <c r="W449" s="1" t="str">
        <f t="shared" si="61"/>
        <v>Consumer</v>
      </c>
      <c r="X449" s="1" t="str">
        <f t="shared" si="62"/>
        <v>Auburn - New York</v>
      </c>
      <c r="Y449" s="1" t="str">
        <f t="shared" si="63"/>
        <v>Art</v>
      </c>
      <c r="Z449" s="1">
        <f t="shared" si="64"/>
        <v>59.52</v>
      </c>
      <c r="AA449" s="1">
        <f t="shared" si="65"/>
        <v>59.52</v>
      </c>
      <c r="AB449" s="1">
        <f t="shared" si="66"/>
        <v>178.56</v>
      </c>
      <c r="AC449" s="4">
        <f t="shared" si="67"/>
        <v>178.56</v>
      </c>
      <c r="AD449" s="1" t="s">
        <v>2013</v>
      </c>
      <c r="AE449" s="1" t="str">
        <f t="shared" si="68"/>
        <v>2016</v>
      </c>
      <c r="AF449" s="1" t="str">
        <f t="shared" si="69"/>
        <v>166674</v>
      </c>
    </row>
    <row r="450" spans="1:32" x14ac:dyDescent="0.3">
      <c r="A450" s="1">
        <v>449</v>
      </c>
      <c r="B450" s="1" t="s">
        <v>1560</v>
      </c>
      <c r="C450" s="2">
        <v>42461</v>
      </c>
      <c r="D450" s="2">
        <v>42463</v>
      </c>
      <c r="E450" s="1" t="s">
        <v>21</v>
      </c>
      <c r="F450" s="1" t="s">
        <v>1561</v>
      </c>
      <c r="G450" s="1" t="s">
        <v>1562</v>
      </c>
      <c r="H450" s="1" t="s">
        <v>24</v>
      </c>
      <c r="I450" s="1" t="s">
        <v>25</v>
      </c>
      <c r="J450" s="1" t="s">
        <v>1563</v>
      </c>
      <c r="K450" s="1" t="s">
        <v>265</v>
      </c>
      <c r="L450" s="1">
        <v>13021</v>
      </c>
      <c r="M450" s="1" t="s">
        <v>146</v>
      </c>
      <c r="N450" s="1" t="s">
        <v>1566</v>
      </c>
      <c r="O450" s="1" t="s">
        <v>44</v>
      </c>
      <c r="P450" s="1" t="s">
        <v>57</v>
      </c>
      <c r="Q450" s="1" t="s">
        <v>1567</v>
      </c>
      <c r="R450" s="1">
        <v>161.94</v>
      </c>
      <c r="S450" s="1">
        <v>3</v>
      </c>
      <c r="T450" s="3">
        <v>0</v>
      </c>
      <c r="U450" s="4">
        <v>9.7164000000000001</v>
      </c>
      <c r="V450" s="1" t="str">
        <f t="shared" ref="V450:V513" si="70">IF(ISBLANK(E450),"UNKNOWN",E450)</f>
        <v>Second Class</v>
      </c>
      <c r="W450" s="1" t="str">
        <f t="shared" ref="W450:W513" si="71">IF(ISBLANK(H450),"UNKNOWN",H450)</f>
        <v>Consumer</v>
      </c>
      <c r="X450" s="1" t="str">
        <f t="shared" ref="X450:X513" si="72">CONCATENATE(J450," - ",K450)</f>
        <v>Auburn - New York</v>
      </c>
      <c r="Y450" s="1" t="str">
        <f t="shared" ref="Y450:Y513" si="73">IF(ISBLANK(P450),"UNKNOWN",P450)</f>
        <v>Storage</v>
      </c>
      <c r="Z450" s="1">
        <f t="shared" ref="Z450:Z513" si="74">IF(ISBLANK(R450),ROUND(AVERAGEIF($O$2:$O$600,O450,$R$2:$R$29),0),R450)</f>
        <v>161.94</v>
      </c>
      <c r="AA450" s="1">
        <f t="shared" ref="AA450:AA513" si="75">IF(ISBLANK(R450),ROUND(AVERAGEIF($Y$2:$Y$600,Y450,$R$2:$R$29),0),R450)</f>
        <v>161.94</v>
      </c>
      <c r="AB450" s="1">
        <f t="shared" ref="AB450:AB513" si="76">AA450*S450</f>
        <v>485.82</v>
      </c>
      <c r="AC450" s="4">
        <f t="shared" si="67"/>
        <v>485.82</v>
      </c>
      <c r="AD450" s="1" t="s">
        <v>2013</v>
      </c>
      <c r="AE450" s="1" t="str">
        <f t="shared" si="68"/>
        <v>2016</v>
      </c>
      <c r="AF450" s="1" t="str">
        <f t="shared" si="69"/>
        <v>166674</v>
      </c>
    </row>
    <row r="451" spans="1:32" x14ac:dyDescent="0.3">
      <c r="A451" s="1">
        <v>450</v>
      </c>
      <c r="B451" s="1" t="s">
        <v>1560</v>
      </c>
      <c r="C451" s="2">
        <v>42461</v>
      </c>
      <c r="D451" s="2">
        <v>42463</v>
      </c>
      <c r="E451" s="1" t="s">
        <v>21</v>
      </c>
      <c r="F451" s="1" t="s">
        <v>1561</v>
      </c>
      <c r="G451" s="1" t="s">
        <v>1562</v>
      </c>
      <c r="H451" s="1" t="s">
        <v>24</v>
      </c>
      <c r="I451" s="1" t="s">
        <v>25</v>
      </c>
      <c r="J451" s="1" t="s">
        <v>1563</v>
      </c>
      <c r="K451" s="1" t="s">
        <v>265</v>
      </c>
      <c r="L451" s="1">
        <v>13021</v>
      </c>
      <c r="M451" s="1" t="s">
        <v>146</v>
      </c>
      <c r="N451" s="1" t="s">
        <v>1568</v>
      </c>
      <c r="O451" s="1" t="s">
        <v>44</v>
      </c>
      <c r="P451" s="1" t="s">
        <v>66</v>
      </c>
      <c r="Q451" s="1" t="s">
        <v>1569</v>
      </c>
      <c r="R451" s="1">
        <v>263.88</v>
      </c>
      <c r="S451" s="1">
        <v>6</v>
      </c>
      <c r="T451" s="3">
        <v>0</v>
      </c>
      <c r="U451" s="4">
        <v>71.247600000000006</v>
      </c>
      <c r="V451" s="1" t="str">
        <f t="shared" si="70"/>
        <v>Second Class</v>
      </c>
      <c r="W451" s="1" t="str">
        <f t="shared" si="71"/>
        <v>Consumer</v>
      </c>
      <c r="X451" s="1" t="str">
        <f t="shared" si="72"/>
        <v>Auburn - New York</v>
      </c>
      <c r="Y451" s="1" t="str">
        <f t="shared" si="73"/>
        <v>Art</v>
      </c>
      <c r="Z451" s="1">
        <f t="shared" si="74"/>
        <v>263.88</v>
      </c>
      <c r="AA451" s="1">
        <f t="shared" si="75"/>
        <v>263.88</v>
      </c>
      <c r="AB451" s="1">
        <f t="shared" si="76"/>
        <v>1583.28</v>
      </c>
      <c r="AC451" s="4">
        <f t="shared" ref="AC451:AC514" si="77">AB451*(1-T451)</f>
        <v>1583.28</v>
      </c>
      <c r="AD451" s="1" t="s">
        <v>2013</v>
      </c>
      <c r="AE451" s="1" t="str">
        <f t="shared" ref="AE451:AE514" si="78">MID(B451,4,4)</f>
        <v>2016</v>
      </c>
      <c r="AF451" s="1" t="str">
        <f t="shared" ref="AF451:AF514" si="79">RIGHT(B451,6)</f>
        <v>166674</v>
      </c>
    </row>
    <row r="452" spans="1:32" x14ac:dyDescent="0.3">
      <c r="A452" s="1">
        <v>451</v>
      </c>
      <c r="B452" s="1" t="s">
        <v>1560</v>
      </c>
      <c r="C452" s="2">
        <v>42461</v>
      </c>
      <c r="D452" s="2">
        <v>42463</v>
      </c>
      <c r="E452" s="1" t="s">
        <v>21</v>
      </c>
      <c r="F452" s="1" t="s">
        <v>1561</v>
      </c>
      <c r="G452" s="1" t="s">
        <v>1562</v>
      </c>
      <c r="H452" s="1" t="s">
        <v>24</v>
      </c>
      <c r="I452" s="1" t="s">
        <v>25</v>
      </c>
      <c r="J452" s="1" t="s">
        <v>1563</v>
      </c>
      <c r="K452" s="1" t="s">
        <v>265</v>
      </c>
      <c r="L452" s="1">
        <v>13021</v>
      </c>
      <c r="M452" s="1" t="s">
        <v>146</v>
      </c>
      <c r="N452" s="1" t="s">
        <v>1570</v>
      </c>
      <c r="O452" s="1" t="s">
        <v>44</v>
      </c>
      <c r="P452" s="1" t="s">
        <v>66</v>
      </c>
      <c r="Q452" s="1" t="s">
        <v>1571</v>
      </c>
      <c r="R452" s="1">
        <v>30.48</v>
      </c>
      <c r="S452" s="1">
        <v>3</v>
      </c>
      <c r="T452" s="3">
        <v>0</v>
      </c>
      <c r="U452" s="4">
        <v>7.9248000000000003</v>
      </c>
      <c r="V452" s="1" t="str">
        <f t="shared" si="70"/>
        <v>Second Class</v>
      </c>
      <c r="W452" s="1" t="str">
        <f t="shared" si="71"/>
        <v>Consumer</v>
      </c>
      <c r="X452" s="1" t="str">
        <f t="shared" si="72"/>
        <v>Auburn - New York</v>
      </c>
      <c r="Y452" s="1" t="str">
        <f t="shared" si="73"/>
        <v>Art</v>
      </c>
      <c r="Z452" s="1">
        <f t="shared" si="74"/>
        <v>30.48</v>
      </c>
      <c r="AA452" s="1">
        <f t="shared" si="75"/>
        <v>30.48</v>
      </c>
      <c r="AB452" s="1">
        <f t="shared" si="76"/>
        <v>91.44</v>
      </c>
      <c r="AC452" s="4">
        <f t="shared" si="77"/>
        <v>91.44</v>
      </c>
      <c r="AD452" s="1" t="s">
        <v>2013</v>
      </c>
      <c r="AE452" s="1" t="str">
        <f t="shared" si="78"/>
        <v>2016</v>
      </c>
      <c r="AF452" s="1" t="str">
        <f t="shared" si="79"/>
        <v>166674</v>
      </c>
    </row>
    <row r="453" spans="1:32" x14ac:dyDescent="0.3">
      <c r="A453" s="1">
        <v>452</v>
      </c>
      <c r="B453" s="1" t="s">
        <v>1560</v>
      </c>
      <c r="C453" s="2">
        <v>42461</v>
      </c>
      <c r="D453" s="2">
        <v>42463</v>
      </c>
      <c r="E453" s="1" t="s">
        <v>21</v>
      </c>
      <c r="F453" s="1" t="s">
        <v>1561</v>
      </c>
      <c r="G453" s="1" t="s">
        <v>1562</v>
      </c>
      <c r="H453" s="1" t="s">
        <v>24</v>
      </c>
      <c r="I453" s="1" t="s">
        <v>25</v>
      </c>
      <c r="J453" s="1" t="s">
        <v>1563</v>
      </c>
      <c r="K453" s="1" t="s">
        <v>265</v>
      </c>
      <c r="L453" s="1">
        <v>13021</v>
      </c>
      <c r="M453" s="1" t="s">
        <v>146</v>
      </c>
      <c r="N453" s="1" t="s">
        <v>1572</v>
      </c>
      <c r="O453" s="1" t="s">
        <v>44</v>
      </c>
      <c r="P453" s="1" t="s">
        <v>66</v>
      </c>
      <c r="Q453" s="1" t="s">
        <v>1573</v>
      </c>
      <c r="R453" s="1">
        <v>9.84</v>
      </c>
      <c r="S453" s="1">
        <v>3</v>
      </c>
      <c r="T453" s="3">
        <v>0</v>
      </c>
      <c r="U453" s="4">
        <v>2.8536000000000001</v>
      </c>
      <c r="V453" s="1" t="str">
        <f t="shared" si="70"/>
        <v>Second Class</v>
      </c>
      <c r="W453" s="1" t="str">
        <f t="shared" si="71"/>
        <v>Consumer</v>
      </c>
      <c r="X453" s="1" t="str">
        <f t="shared" si="72"/>
        <v>Auburn - New York</v>
      </c>
      <c r="Y453" s="1" t="str">
        <f t="shared" si="73"/>
        <v>Art</v>
      </c>
      <c r="Z453" s="1">
        <f t="shared" si="74"/>
        <v>9.84</v>
      </c>
      <c r="AA453" s="1">
        <f t="shared" si="75"/>
        <v>9.84</v>
      </c>
      <c r="AB453" s="1">
        <f t="shared" si="76"/>
        <v>29.52</v>
      </c>
      <c r="AC453" s="4">
        <f t="shared" si="77"/>
        <v>29.52</v>
      </c>
      <c r="AD453" s="1" t="s">
        <v>2013</v>
      </c>
      <c r="AE453" s="1" t="str">
        <f t="shared" si="78"/>
        <v>2016</v>
      </c>
      <c r="AF453" s="1" t="str">
        <f t="shared" si="79"/>
        <v>166674</v>
      </c>
    </row>
    <row r="454" spans="1:32" x14ac:dyDescent="0.3">
      <c r="A454" s="1">
        <v>453</v>
      </c>
      <c r="B454" s="1" t="s">
        <v>1560</v>
      </c>
      <c r="C454" s="2">
        <v>42461</v>
      </c>
      <c r="D454" s="2">
        <v>42463</v>
      </c>
      <c r="E454" s="1" t="s">
        <v>21</v>
      </c>
      <c r="F454" s="1" t="s">
        <v>1561</v>
      </c>
      <c r="G454" s="1" t="s">
        <v>1562</v>
      </c>
      <c r="H454" s="1" t="s">
        <v>24</v>
      </c>
      <c r="I454" s="1" t="s">
        <v>25</v>
      </c>
      <c r="J454" s="1" t="s">
        <v>1563</v>
      </c>
      <c r="K454" s="1" t="s">
        <v>265</v>
      </c>
      <c r="L454" s="1">
        <v>13021</v>
      </c>
      <c r="M454" s="1" t="s">
        <v>146</v>
      </c>
      <c r="N454" s="1" t="s">
        <v>1574</v>
      </c>
      <c r="O454" s="1" t="s">
        <v>69</v>
      </c>
      <c r="P454" s="1" t="s">
        <v>70</v>
      </c>
      <c r="Q454" s="1" t="s">
        <v>1575</v>
      </c>
      <c r="R454" s="1">
        <v>35.119999999999997</v>
      </c>
      <c r="S454" s="1">
        <v>4</v>
      </c>
      <c r="T454" s="3">
        <v>0</v>
      </c>
      <c r="U454" s="4">
        <v>9.1311999999999998</v>
      </c>
      <c r="V454" s="1" t="str">
        <f t="shared" si="70"/>
        <v>Second Class</v>
      </c>
      <c r="W454" s="1" t="str">
        <f t="shared" si="71"/>
        <v>Consumer</v>
      </c>
      <c r="X454" s="1" t="str">
        <f t="shared" si="72"/>
        <v>Auburn - New York</v>
      </c>
      <c r="Y454" s="1" t="str">
        <f t="shared" si="73"/>
        <v>Phones</v>
      </c>
      <c r="Z454" s="1">
        <f t="shared" si="74"/>
        <v>35.119999999999997</v>
      </c>
      <c r="AA454" s="1">
        <f t="shared" si="75"/>
        <v>35.119999999999997</v>
      </c>
      <c r="AB454" s="1">
        <f t="shared" si="76"/>
        <v>140.47999999999999</v>
      </c>
      <c r="AC454" s="4">
        <f t="shared" si="77"/>
        <v>140.47999999999999</v>
      </c>
      <c r="AD454" s="1" t="s">
        <v>2013</v>
      </c>
      <c r="AE454" s="1" t="str">
        <f t="shared" si="78"/>
        <v>2016</v>
      </c>
      <c r="AF454" s="1" t="str">
        <f t="shared" si="79"/>
        <v>166674</v>
      </c>
    </row>
    <row r="455" spans="1:32" x14ac:dyDescent="0.3">
      <c r="A455" s="1">
        <v>454</v>
      </c>
      <c r="B455" s="1" t="s">
        <v>1576</v>
      </c>
      <c r="C455" s="2">
        <v>43028</v>
      </c>
      <c r="D455" s="2">
        <v>43032</v>
      </c>
      <c r="E455" s="1" t="s">
        <v>48</v>
      </c>
      <c r="F455" s="1" t="s">
        <v>1577</v>
      </c>
      <c r="G455" s="1" t="s">
        <v>1578</v>
      </c>
      <c r="H455" s="1" t="s">
        <v>39</v>
      </c>
      <c r="I455" s="1" t="s">
        <v>25</v>
      </c>
      <c r="J455" s="1" t="s">
        <v>801</v>
      </c>
      <c r="K455" s="1" t="s">
        <v>496</v>
      </c>
      <c r="L455" s="1">
        <v>44312</v>
      </c>
      <c r="M455" s="1" t="s">
        <v>146</v>
      </c>
      <c r="N455" s="1" t="s">
        <v>78</v>
      </c>
      <c r="O455" s="1" t="s">
        <v>30</v>
      </c>
      <c r="P455" s="1" t="s">
        <v>54</v>
      </c>
      <c r="Q455" s="1" t="s">
        <v>79</v>
      </c>
      <c r="R455" s="1">
        <v>284.36399999999998</v>
      </c>
      <c r="S455" s="1">
        <v>2</v>
      </c>
      <c r="T455" s="3">
        <v>0.4</v>
      </c>
      <c r="U455" s="4">
        <v>-75.830399999999997</v>
      </c>
      <c r="V455" s="1" t="str">
        <f t="shared" si="70"/>
        <v>Standard Class</v>
      </c>
      <c r="W455" s="1" t="str">
        <f t="shared" si="71"/>
        <v>Corporate</v>
      </c>
      <c r="X455" s="1" t="str">
        <f t="shared" si="72"/>
        <v>Akron - Ohio</v>
      </c>
      <c r="Y455" s="1" t="str">
        <f t="shared" si="73"/>
        <v>Tables</v>
      </c>
      <c r="Z455" s="1">
        <f t="shared" si="74"/>
        <v>284.36399999999998</v>
      </c>
      <c r="AA455" s="1">
        <f t="shared" si="75"/>
        <v>284.36399999999998</v>
      </c>
      <c r="AB455" s="1">
        <f t="shared" si="76"/>
        <v>568.72799999999995</v>
      </c>
      <c r="AC455" s="4">
        <f t="shared" si="77"/>
        <v>341.23679999999996</v>
      </c>
      <c r="AD455" s="1" t="s">
        <v>2013</v>
      </c>
      <c r="AE455" s="1" t="str">
        <f t="shared" si="78"/>
        <v>2017</v>
      </c>
      <c r="AF455" s="1" t="str">
        <f t="shared" si="79"/>
        <v>147277</v>
      </c>
    </row>
    <row r="456" spans="1:32" x14ac:dyDescent="0.3">
      <c r="A456" s="1">
        <v>455</v>
      </c>
      <c r="B456" s="1" t="s">
        <v>1576</v>
      </c>
      <c r="C456" s="2">
        <v>43028</v>
      </c>
      <c r="D456" s="2">
        <v>43032</v>
      </c>
      <c r="E456" s="1" t="s">
        <v>48</v>
      </c>
      <c r="F456" s="1" t="s">
        <v>1577</v>
      </c>
      <c r="G456" s="1" t="s">
        <v>1578</v>
      </c>
      <c r="H456" s="1" t="s">
        <v>39</v>
      </c>
      <c r="I456" s="1" t="s">
        <v>25</v>
      </c>
      <c r="J456" s="1" t="s">
        <v>801</v>
      </c>
      <c r="K456" s="1" t="s">
        <v>496</v>
      </c>
      <c r="L456" s="1">
        <v>44312</v>
      </c>
      <c r="M456" s="1" t="s">
        <v>146</v>
      </c>
      <c r="N456" s="1" t="s">
        <v>1579</v>
      </c>
      <c r="O456" s="1" t="s">
        <v>44</v>
      </c>
      <c r="P456" s="1" t="s">
        <v>57</v>
      </c>
      <c r="Q456" s="1" t="s">
        <v>1580</v>
      </c>
      <c r="R456" s="1">
        <v>665.40800000000002</v>
      </c>
      <c r="S456" s="1">
        <v>2</v>
      </c>
      <c r="T456" s="3">
        <v>0.2</v>
      </c>
      <c r="U456" s="4">
        <v>66.540800000000004</v>
      </c>
      <c r="V456" s="1" t="str">
        <f t="shared" si="70"/>
        <v>Standard Class</v>
      </c>
      <c r="W456" s="1" t="str">
        <f t="shared" si="71"/>
        <v>Corporate</v>
      </c>
      <c r="X456" s="1" t="str">
        <f t="shared" si="72"/>
        <v>Akron - Ohio</v>
      </c>
      <c r="Y456" s="1" t="str">
        <f t="shared" si="73"/>
        <v>Storage</v>
      </c>
      <c r="Z456" s="1">
        <f t="shared" si="74"/>
        <v>665.40800000000002</v>
      </c>
      <c r="AA456" s="1">
        <f t="shared" si="75"/>
        <v>665.40800000000002</v>
      </c>
      <c r="AB456" s="1">
        <f t="shared" si="76"/>
        <v>1330.816</v>
      </c>
      <c r="AC456" s="4">
        <f t="shared" si="77"/>
        <v>1064.6528000000001</v>
      </c>
      <c r="AD456" s="1" t="s">
        <v>2013</v>
      </c>
      <c r="AE456" s="1" t="str">
        <f t="shared" si="78"/>
        <v>2017</v>
      </c>
      <c r="AF456" s="1" t="str">
        <f t="shared" si="79"/>
        <v>147277</v>
      </c>
    </row>
    <row r="457" spans="1:32" x14ac:dyDescent="0.3">
      <c r="A457" s="1">
        <v>456</v>
      </c>
      <c r="B457" s="1" t="s">
        <v>1581</v>
      </c>
      <c r="C457" s="2">
        <v>42717</v>
      </c>
      <c r="D457" s="2">
        <v>42721</v>
      </c>
      <c r="E457" s="1" t="s">
        <v>48</v>
      </c>
      <c r="F457" s="1" t="s">
        <v>1506</v>
      </c>
      <c r="G457" s="1" t="s">
        <v>1507</v>
      </c>
      <c r="H457" s="1" t="s">
        <v>39</v>
      </c>
      <c r="I457" s="1" t="s">
        <v>25</v>
      </c>
      <c r="J457" s="1" t="s">
        <v>1582</v>
      </c>
      <c r="K457" s="1" t="s">
        <v>648</v>
      </c>
      <c r="L457" s="1">
        <v>73071</v>
      </c>
      <c r="M457" s="1" t="s">
        <v>103</v>
      </c>
      <c r="N457" s="1" t="s">
        <v>1583</v>
      </c>
      <c r="O457" s="1" t="s">
        <v>69</v>
      </c>
      <c r="P457" s="1" t="s">
        <v>159</v>
      </c>
      <c r="Q457" s="1" t="s">
        <v>1584</v>
      </c>
      <c r="R457" s="1">
        <v>63.88</v>
      </c>
      <c r="S457" s="1">
        <v>4</v>
      </c>
      <c r="T457" s="3">
        <v>0</v>
      </c>
      <c r="U457" s="4">
        <v>24.9132</v>
      </c>
      <c r="V457" s="1" t="str">
        <f t="shared" si="70"/>
        <v>Standard Class</v>
      </c>
      <c r="W457" s="1" t="str">
        <f t="shared" si="71"/>
        <v>Corporate</v>
      </c>
      <c r="X457" s="1" t="str">
        <f t="shared" si="72"/>
        <v>Norman - Oklahoma</v>
      </c>
      <c r="Y457" s="1" t="str">
        <f t="shared" si="73"/>
        <v>Accessories</v>
      </c>
      <c r="Z457" s="1">
        <f t="shared" si="74"/>
        <v>63.88</v>
      </c>
      <c r="AA457" s="1">
        <f t="shared" si="75"/>
        <v>63.88</v>
      </c>
      <c r="AB457" s="1">
        <f t="shared" si="76"/>
        <v>255.52</v>
      </c>
      <c r="AC457" s="4">
        <f t="shared" si="77"/>
        <v>255.52</v>
      </c>
      <c r="AD457" s="1" t="s">
        <v>2013</v>
      </c>
      <c r="AE457" s="1" t="str">
        <f t="shared" si="78"/>
        <v>2016</v>
      </c>
      <c r="AF457" s="1" t="str">
        <f t="shared" si="79"/>
        <v>100153</v>
      </c>
    </row>
    <row r="458" spans="1:32" x14ac:dyDescent="0.3">
      <c r="A458" s="1">
        <v>457</v>
      </c>
      <c r="B458" s="1" t="s">
        <v>1585</v>
      </c>
      <c r="C458" s="2">
        <v>41682</v>
      </c>
      <c r="D458" s="2">
        <v>41688</v>
      </c>
      <c r="E458" s="1" t="s">
        <v>48</v>
      </c>
      <c r="F458" s="1" t="s">
        <v>1586</v>
      </c>
      <c r="G458" s="1" t="s">
        <v>1587</v>
      </c>
      <c r="H458" s="1" t="s">
        <v>24</v>
      </c>
      <c r="I458" s="1" t="s">
        <v>25</v>
      </c>
      <c r="J458" s="1" t="s">
        <v>85</v>
      </c>
      <c r="K458" s="1" t="s">
        <v>41</v>
      </c>
      <c r="L458" s="1">
        <v>94521</v>
      </c>
      <c r="M458" s="1" t="s">
        <v>42</v>
      </c>
      <c r="N458" s="1" t="s">
        <v>1588</v>
      </c>
      <c r="O458" s="1" t="s">
        <v>30</v>
      </c>
      <c r="P458" s="1" t="s">
        <v>34</v>
      </c>
      <c r="Q458" s="1" t="s">
        <v>1589</v>
      </c>
      <c r="R458" s="1">
        <v>129.56800000000001</v>
      </c>
      <c r="S458" s="1">
        <v>2</v>
      </c>
      <c r="T458" s="3">
        <v>0.2</v>
      </c>
      <c r="U458" s="4">
        <v>-24.294</v>
      </c>
      <c r="V458" s="1" t="str">
        <f t="shared" si="70"/>
        <v>Standard Class</v>
      </c>
      <c r="W458" s="1" t="str">
        <f t="shared" si="71"/>
        <v>Consumer</v>
      </c>
      <c r="X458" s="1" t="str">
        <f t="shared" si="72"/>
        <v>Concord - California</v>
      </c>
      <c r="Y458" s="1" t="str">
        <f t="shared" si="73"/>
        <v>Chairs</v>
      </c>
      <c r="Z458" s="1">
        <f t="shared" si="74"/>
        <v>129.56800000000001</v>
      </c>
      <c r="AA458" s="1">
        <f t="shared" si="75"/>
        <v>129.56800000000001</v>
      </c>
      <c r="AB458" s="1">
        <f t="shared" si="76"/>
        <v>259.13600000000002</v>
      </c>
      <c r="AC458" s="4">
        <f t="shared" si="77"/>
        <v>207.30880000000002</v>
      </c>
      <c r="AD458" s="1" t="s">
        <v>2014</v>
      </c>
      <c r="AE458" s="1" t="str">
        <f t="shared" si="78"/>
        <v>2014</v>
      </c>
      <c r="AF458" s="1" t="str">
        <f t="shared" si="79"/>
        <v>110674</v>
      </c>
    </row>
    <row r="459" spans="1:32" x14ac:dyDescent="0.3">
      <c r="A459" s="1">
        <v>458</v>
      </c>
      <c r="B459" s="1" t="s">
        <v>1590</v>
      </c>
      <c r="C459" s="2">
        <v>42639</v>
      </c>
      <c r="D459" s="2">
        <v>42644</v>
      </c>
      <c r="E459" s="1" t="s">
        <v>48</v>
      </c>
      <c r="F459" s="1" t="s">
        <v>1488</v>
      </c>
      <c r="G459" s="1" t="s">
        <v>1489</v>
      </c>
      <c r="H459" s="1" t="s">
        <v>24</v>
      </c>
      <c r="I459" s="1" t="s">
        <v>25</v>
      </c>
      <c r="J459" s="1" t="s">
        <v>355</v>
      </c>
      <c r="K459" s="1" t="s">
        <v>209</v>
      </c>
      <c r="L459" s="1">
        <v>62521</v>
      </c>
      <c r="M459" s="1" t="s">
        <v>103</v>
      </c>
      <c r="N459" s="1" t="s">
        <v>1591</v>
      </c>
      <c r="O459" s="1" t="s">
        <v>30</v>
      </c>
      <c r="P459" s="1" t="s">
        <v>34</v>
      </c>
      <c r="Q459" s="1" t="s">
        <v>1592</v>
      </c>
      <c r="R459" s="1">
        <v>747.55799999999999</v>
      </c>
      <c r="S459" s="1">
        <v>3</v>
      </c>
      <c r="T459" s="3">
        <v>0.3</v>
      </c>
      <c r="U459" s="4">
        <v>-96.114599999999996</v>
      </c>
      <c r="V459" s="1" t="str">
        <f t="shared" si="70"/>
        <v>Standard Class</v>
      </c>
      <c r="W459" s="1" t="str">
        <f t="shared" si="71"/>
        <v>Consumer</v>
      </c>
      <c r="X459" s="1" t="str">
        <f t="shared" si="72"/>
        <v>Decatur - Illinois</v>
      </c>
      <c r="Y459" s="1" t="str">
        <f t="shared" si="73"/>
        <v>Chairs</v>
      </c>
      <c r="Z459" s="1">
        <f t="shared" si="74"/>
        <v>747.55799999999999</v>
      </c>
      <c r="AA459" s="1">
        <f t="shared" si="75"/>
        <v>747.55799999999999</v>
      </c>
      <c r="AB459" s="1">
        <f t="shared" si="76"/>
        <v>2242.674</v>
      </c>
      <c r="AC459" s="4">
        <f t="shared" si="77"/>
        <v>1569.8717999999999</v>
      </c>
      <c r="AD459" s="1" t="s">
        <v>2014</v>
      </c>
      <c r="AE459" s="1" t="str">
        <f t="shared" si="78"/>
        <v>2016</v>
      </c>
      <c r="AF459" s="1" t="str">
        <f t="shared" si="79"/>
        <v>157945</v>
      </c>
    </row>
    <row r="460" spans="1:32" x14ac:dyDescent="0.3">
      <c r="A460" s="1">
        <v>459</v>
      </c>
      <c r="B460" s="1" t="s">
        <v>1590</v>
      </c>
      <c r="C460" s="2">
        <v>42639</v>
      </c>
      <c r="D460" s="2">
        <v>42644</v>
      </c>
      <c r="E460" s="1" t="s">
        <v>48</v>
      </c>
      <c r="F460" s="1" t="s">
        <v>1488</v>
      </c>
      <c r="G460" s="1" t="s">
        <v>1489</v>
      </c>
      <c r="H460" s="1" t="s">
        <v>24</v>
      </c>
      <c r="I460" s="1" t="s">
        <v>25</v>
      </c>
      <c r="J460" s="1" t="s">
        <v>355</v>
      </c>
      <c r="K460" s="1" t="s">
        <v>209</v>
      </c>
      <c r="L460" s="1">
        <v>62521</v>
      </c>
      <c r="M460" s="1" t="s">
        <v>103</v>
      </c>
      <c r="N460" s="1" t="s">
        <v>1593</v>
      </c>
      <c r="O460" s="1" t="s">
        <v>44</v>
      </c>
      <c r="P460" s="1" t="s">
        <v>171</v>
      </c>
      <c r="Q460" s="1" t="s">
        <v>669</v>
      </c>
      <c r="R460" s="1">
        <v>8.9280000000000008</v>
      </c>
      <c r="S460" s="1">
        <v>2</v>
      </c>
      <c r="T460" s="3">
        <v>0.2</v>
      </c>
      <c r="U460" s="4">
        <v>3.3479999999999999</v>
      </c>
      <c r="V460" s="1" t="str">
        <f t="shared" si="70"/>
        <v>Standard Class</v>
      </c>
      <c r="W460" s="1" t="str">
        <f t="shared" si="71"/>
        <v>Consumer</v>
      </c>
      <c r="X460" s="1" t="str">
        <f t="shared" si="72"/>
        <v>Decatur - Illinois</v>
      </c>
      <c r="Y460" s="1" t="str">
        <f t="shared" si="73"/>
        <v>Envelopes</v>
      </c>
      <c r="Z460" s="1">
        <f t="shared" si="74"/>
        <v>8.9280000000000008</v>
      </c>
      <c r="AA460" s="1">
        <f t="shared" si="75"/>
        <v>8.9280000000000008</v>
      </c>
      <c r="AB460" s="1">
        <f t="shared" si="76"/>
        <v>17.856000000000002</v>
      </c>
      <c r="AC460" s="4">
        <f t="shared" si="77"/>
        <v>14.284800000000002</v>
      </c>
      <c r="AD460" s="1" t="s">
        <v>2014</v>
      </c>
      <c r="AE460" s="1" t="str">
        <f t="shared" si="78"/>
        <v>2016</v>
      </c>
      <c r="AF460" s="1" t="str">
        <f t="shared" si="79"/>
        <v>157945</v>
      </c>
    </row>
    <row r="461" spans="1:32" x14ac:dyDescent="0.3">
      <c r="A461" s="1">
        <v>460</v>
      </c>
      <c r="B461" s="1" t="s">
        <v>1594</v>
      </c>
      <c r="C461" s="2">
        <v>42353</v>
      </c>
      <c r="D461" s="2">
        <v>42360</v>
      </c>
      <c r="E461" s="1" t="s">
        <v>48</v>
      </c>
      <c r="F461" s="1" t="s">
        <v>830</v>
      </c>
      <c r="G461" s="1" t="s">
        <v>831</v>
      </c>
      <c r="H461" s="1" t="s">
        <v>24</v>
      </c>
      <c r="I461" s="1" t="s">
        <v>25</v>
      </c>
      <c r="J461" s="1" t="s">
        <v>93</v>
      </c>
      <c r="K461" s="1" t="s">
        <v>94</v>
      </c>
      <c r="L461" s="1">
        <v>98115</v>
      </c>
      <c r="M461" s="1" t="s">
        <v>42</v>
      </c>
      <c r="N461" s="1" t="s">
        <v>1595</v>
      </c>
      <c r="O461" s="1" t="s">
        <v>44</v>
      </c>
      <c r="P461" s="1" t="s">
        <v>76</v>
      </c>
      <c r="Q461" s="1" t="s">
        <v>1596</v>
      </c>
      <c r="R461" s="1">
        <v>103.92</v>
      </c>
      <c r="S461" s="1">
        <v>4</v>
      </c>
      <c r="T461" s="3">
        <v>0</v>
      </c>
      <c r="U461" s="4">
        <v>36.372</v>
      </c>
      <c r="V461" s="1" t="str">
        <f t="shared" si="70"/>
        <v>Standard Class</v>
      </c>
      <c r="W461" s="1" t="str">
        <f t="shared" si="71"/>
        <v>Consumer</v>
      </c>
      <c r="X461" s="1" t="str">
        <f t="shared" si="72"/>
        <v>Seattle - Washington</v>
      </c>
      <c r="Y461" s="1" t="str">
        <f t="shared" si="73"/>
        <v>Appliances</v>
      </c>
      <c r="Z461" s="1">
        <f t="shared" si="74"/>
        <v>103.92</v>
      </c>
      <c r="AA461" s="1">
        <f t="shared" si="75"/>
        <v>103.92</v>
      </c>
      <c r="AB461" s="1">
        <f t="shared" si="76"/>
        <v>415.68</v>
      </c>
      <c r="AC461" s="4">
        <f t="shared" si="77"/>
        <v>415.68</v>
      </c>
      <c r="AD461" s="1" t="s">
        <v>2013</v>
      </c>
      <c r="AE461" s="1" t="str">
        <f t="shared" si="78"/>
        <v>2015</v>
      </c>
      <c r="AF461" s="1" t="str">
        <f t="shared" si="79"/>
        <v>109638</v>
      </c>
    </row>
    <row r="462" spans="1:32" x14ac:dyDescent="0.3">
      <c r="A462" s="1">
        <v>461</v>
      </c>
      <c r="B462" s="1" t="s">
        <v>1594</v>
      </c>
      <c r="C462" s="2">
        <v>42353</v>
      </c>
      <c r="D462" s="2">
        <v>42360</v>
      </c>
      <c r="E462" s="1" t="s">
        <v>48</v>
      </c>
      <c r="F462" s="1" t="s">
        <v>830</v>
      </c>
      <c r="G462" s="1" t="s">
        <v>831</v>
      </c>
      <c r="H462" s="1" t="s">
        <v>24</v>
      </c>
      <c r="I462" s="1" t="s">
        <v>25</v>
      </c>
      <c r="J462" s="1" t="s">
        <v>93</v>
      </c>
      <c r="K462" s="1" t="s">
        <v>94</v>
      </c>
      <c r="L462" s="1">
        <v>98115</v>
      </c>
      <c r="M462" s="1" t="s">
        <v>42</v>
      </c>
      <c r="N462" s="1" t="s">
        <v>1597</v>
      </c>
      <c r="O462" s="1" t="s">
        <v>69</v>
      </c>
      <c r="P462" s="1" t="s">
        <v>159</v>
      </c>
      <c r="Q462" s="1" t="s">
        <v>1598</v>
      </c>
      <c r="R462" s="1">
        <v>899.91</v>
      </c>
      <c r="S462" s="1">
        <v>9</v>
      </c>
      <c r="T462" s="3">
        <v>0</v>
      </c>
      <c r="U462" s="4">
        <v>377.9622</v>
      </c>
      <c r="V462" s="1" t="str">
        <f t="shared" si="70"/>
        <v>Standard Class</v>
      </c>
      <c r="W462" s="1" t="str">
        <f t="shared" si="71"/>
        <v>Consumer</v>
      </c>
      <c r="X462" s="1" t="str">
        <f t="shared" si="72"/>
        <v>Seattle - Washington</v>
      </c>
      <c r="Y462" s="1" t="str">
        <f t="shared" si="73"/>
        <v>Accessories</v>
      </c>
      <c r="Z462" s="1">
        <f t="shared" si="74"/>
        <v>899.91</v>
      </c>
      <c r="AA462" s="1">
        <f t="shared" si="75"/>
        <v>899.91</v>
      </c>
      <c r="AB462" s="1">
        <f t="shared" si="76"/>
        <v>8099.19</v>
      </c>
      <c r="AC462" s="4">
        <f t="shared" si="77"/>
        <v>8099.19</v>
      </c>
      <c r="AD462" s="1" t="s">
        <v>2013</v>
      </c>
      <c r="AE462" s="1" t="str">
        <f t="shared" si="78"/>
        <v>2015</v>
      </c>
      <c r="AF462" s="1" t="str">
        <f t="shared" si="79"/>
        <v>109638</v>
      </c>
    </row>
    <row r="463" spans="1:32" x14ac:dyDescent="0.3">
      <c r="A463" s="1">
        <v>462</v>
      </c>
      <c r="B463" s="1" t="s">
        <v>1594</v>
      </c>
      <c r="C463" s="2">
        <v>42353</v>
      </c>
      <c r="D463" s="2">
        <v>42360</v>
      </c>
      <c r="E463" s="1" t="s">
        <v>48</v>
      </c>
      <c r="F463" s="1" t="s">
        <v>830</v>
      </c>
      <c r="G463" s="1" t="s">
        <v>831</v>
      </c>
      <c r="H463" s="1" t="s">
        <v>24</v>
      </c>
      <c r="I463" s="1" t="s">
        <v>25</v>
      </c>
      <c r="J463" s="1" t="s">
        <v>93</v>
      </c>
      <c r="K463" s="1" t="s">
        <v>94</v>
      </c>
      <c r="L463" s="1">
        <v>98115</v>
      </c>
      <c r="M463" s="1" t="s">
        <v>42</v>
      </c>
      <c r="N463" s="1" t="s">
        <v>1599</v>
      </c>
      <c r="O463" s="1" t="s">
        <v>44</v>
      </c>
      <c r="P463" s="1" t="s">
        <v>73</v>
      </c>
      <c r="Q463" s="1" t="s">
        <v>1600</v>
      </c>
      <c r="R463" s="1">
        <v>51.311999999999998</v>
      </c>
      <c r="S463" s="1">
        <v>3</v>
      </c>
      <c r="T463" s="3">
        <v>0.2</v>
      </c>
      <c r="U463" s="4">
        <v>18.6006</v>
      </c>
      <c r="V463" s="1" t="str">
        <f t="shared" si="70"/>
        <v>Standard Class</v>
      </c>
      <c r="W463" s="1" t="str">
        <f t="shared" si="71"/>
        <v>Consumer</v>
      </c>
      <c r="X463" s="1" t="str">
        <f t="shared" si="72"/>
        <v>Seattle - Washington</v>
      </c>
      <c r="Y463" s="1" t="str">
        <f t="shared" si="73"/>
        <v>Binders</v>
      </c>
      <c r="Z463" s="1">
        <f t="shared" si="74"/>
        <v>51.311999999999998</v>
      </c>
      <c r="AA463" s="1">
        <f t="shared" si="75"/>
        <v>51.311999999999998</v>
      </c>
      <c r="AB463" s="1">
        <f t="shared" si="76"/>
        <v>153.93599999999998</v>
      </c>
      <c r="AC463" s="4">
        <f t="shared" si="77"/>
        <v>123.14879999999999</v>
      </c>
      <c r="AD463" s="1" t="s">
        <v>2013</v>
      </c>
      <c r="AE463" s="1" t="str">
        <f t="shared" si="78"/>
        <v>2015</v>
      </c>
      <c r="AF463" s="1" t="str">
        <f t="shared" si="79"/>
        <v>109638</v>
      </c>
    </row>
    <row r="464" spans="1:32" x14ac:dyDescent="0.3">
      <c r="A464" s="1">
        <v>463</v>
      </c>
      <c r="B464" s="1" t="s">
        <v>1601</v>
      </c>
      <c r="C464" s="2">
        <v>42482</v>
      </c>
      <c r="D464" s="2">
        <v>42489</v>
      </c>
      <c r="E464" s="1" t="s">
        <v>48</v>
      </c>
      <c r="F464" s="1" t="s">
        <v>1602</v>
      </c>
      <c r="G464" s="1" t="s">
        <v>1603</v>
      </c>
      <c r="H464" s="1" t="s">
        <v>100</v>
      </c>
      <c r="I464" s="1" t="s">
        <v>25</v>
      </c>
      <c r="J464" s="1" t="s">
        <v>542</v>
      </c>
      <c r="K464" s="1" t="s">
        <v>308</v>
      </c>
      <c r="L464" s="1">
        <v>85023</v>
      </c>
      <c r="M464" s="1" t="s">
        <v>42</v>
      </c>
      <c r="N464" s="1" t="s">
        <v>1285</v>
      </c>
      <c r="O464" s="1" t="s">
        <v>30</v>
      </c>
      <c r="P464" s="1" t="s">
        <v>63</v>
      </c>
      <c r="Q464" s="1" t="s">
        <v>1286</v>
      </c>
      <c r="R464" s="1">
        <v>23.56</v>
      </c>
      <c r="S464" s="1">
        <v>5</v>
      </c>
      <c r="T464" s="3">
        <v>0.2</v>
      </c>
      <c r="U464" s="4">
        <v>7.0679999999999996</v>
      </c>
      <c r="V464" s="1" t="str">
        <f t="shared" si="70"/>
        <v>Standard Class</v>
      </c>
      <c r="W464" s="1" t="str">
        <f t="shared" si="71"/>
        <v>Home Office</v>
      </c>
      <c r="X464" s="1" t="str">
        <f t="shared" si="72"/>
        <v>Phoenix - Arizona</v>
      </c>
      <c r="Y464" s="1" t="str">
        <f t="shared" si="73"/>
        <v>Furnishings</v>
      </c>
      <c r="Z464" s="1">
        <f t="shared" si="74"/>
        <v>23.56</v>
      </c>
      <c r="AA464" s="1">
        <f t="shared" si="75"/>
        <v>23.56</v>
      </c>
      <c r="AB464" s="1">
        <f t="shared" si="76"/>
        <v>117.8</v>
      </c>
      <c r="AC464" s="4">
        <f t="shared" si="77"/>
        <v>94.240000000000009</v>
      </c>
      <c r="AD464" s="1" t="s">
        <v>2013</v>
      </c>
      <c r="AE464" s="1" t="str">
        <f t="shared" si="78"/>
        <v>2016</v>
      </c>
      <c r="AF464" s="1" t="str">
        <f t="shared" si="79"/>
        <v>109869</v>
      </c>
    </row>
    <row r="465" spans="1:32" x14ac:dyDescent="0.3">
      <c r="A465" s="1">
        <v>464</v>
      </c>
      <c r="B465" s="1" t="s">
        <v>1601</v>
      </c>
      <c r="C465" s="2">
        <v>42482</v>
      </c>
      <c r="D465" s="2">
        <v>42489</v>
      </c>
      <c r="E465" s="1" t="s">
        <v>48</v>
      </c>
      <c r="F465" s="1" t="s">
        <v>1602</v>
      </c>
      <c r="G465" s="1" t="s">
        <v>1603</v>
      </c>
      <c r="H465" s="1" t="s">
        <v>100</v>
      </c>
      <c r="I465" s="1" t="s">
        <v>25</v>
      </c>
      <c r="J465" s="1" t="s">
        <v>542</v>
      </c>
      <c r="K465" s="1" t="s">
        <v>308</v>
      </c>
      <c r="L465" s="1">
        <v>85023</v>
      </c>
      <c r="M465" s="1" t="s">
        <v>42</v>
      </c>
      <c r="N465" s="1" t="s">
        <v>1604</v>
      </c>
      <c r="O465" s="1" t="s">
        <v>30</v>
      </c>
      <c r="P465" s="1" t="s">
        <v>54</v>
      </c>
      <c r="Q465" s="1" t="s">
        <v>1605</v>
      </c>
      <c r="R465" s="1">
        <v>1272.6300000000001</v>
      </c>
      <c r="S465" s="1">
        <v>6</v>
      </c>
      <c r="T465" s="3">
        <v>0.5</v>
      </c>
      <c r="U465" s="4">
        <v>-814.48320000000001</v>
      </c>
      <c r="V465" s="1" t="str">
        <f t="shared" si="70"/>
        <v>Standard Class</v>
      </c>
      <c r="W465" s="1" t="str">
        <f t="shared" si="71"/>
        <v>Home Office</v>
      </c>
      <c r="X465" s="1" t="str">
        <f t="shared" si="72"/>
        <v>Phoenix - Arizona</v>
      </c>
      <c r="Y465" s="1" t="str">
        <f t="shared" si="73"/>
        <v>Tables</v>
      </c>
      <c r="Z465" s="1">
        <f t="shared" si="74"/>
        <v>1272.6300000000001</v>
      </c>
      <c r="AA465" s="1">
        <f t="shared" si="75"/>
        <v>1272.6300000000001</v>
      </c>
      <c r="AB465" s="1">
        <f t="shared" si="76"/>
        <v>7635.7800000000007</v>
      </c>
      <c r="AC465" s="4">
        <f t="shared" si="77"/>
        <v>3817.8900000000003</v>
      </c>
      <c r="AD465" s="1" t="s">
        <v>2013</v>
      </c>
      <c r="AE465" s="1" t="str">
        <f t="shared" si="78"/>
        <v>2016</v>
      </c>
      <c r="AF465" s="1" t="str">
        <f t="shared" si="79"/>
        <v>109869</v>
      </c>
    </row>
    <row r="466" spans="1:32" x14ac:dyDescent="0.3">
      <c r="A466" s="1">
        <v>465</v>
      </c>
      <c r="B466" s="1" t="s">
        <v>1601</v>
      </c>
      <c r="C466" s="2">
        <v>42482</v>
      </c>
      <c r="D466" s="2">
        <v>42489</v>
      </c>
      <c r="E466" s="1" t="s">
        <v>48</v>
      </c>
      <c r="F466" s="1" t="s">
        <v>1602</v>
      </c>
      <c r="G466" s="1" t="s">
        <v>1603</v>
      </c>
      <c r="H466" s="1" t="s">
        <v>100</v>
      </c>
      <c r="I466" s="1" t="s">
        <v>25</v>
      </c>
      <c r="J466" s="1" t="s">
        <v>542</v>
      </c>
      <c r="K466" s="1" t="s">
        <v>308</v>
      </c>
      <c r="L466" s="1">
        <v>85023</v>
      </c>
      <c r="M466" s="1" t="s">
        <v>42</v>
      </c>
      <c r="N466" s="1" t="s">
        <v>1606</v>
      </c>
      <c r="O466" s="1" t="s">
        <v>44</v>
      </c>
      <c r="P466" s="1" t="s">
        <v>73</v>
      </c>
      <c r="Q466" s="1" t="s">
        <v>1607</v>
      </c>
      <c r="R466" s="1">
        <v>28.484999999999999</v>
      </c>
      <c r="S466" s="1">
        <v>5</v>
      </c>
      <c r="T466" s="3">
        <v>0.7</v>
      </c>
      <c r="U466" s="4">
        <v>-20.888999999999999</v>
      </c>
      <c r="V466" s="1" t="str">
        <f t="shared" si="70"/>
        <v>Standard Class</v>
      </c>
      <c r="W466" s="1" t="str">
        <f t="shared" si="71"/>
        <v>Home Office</v>
      </c>
      <c r="X466" s="1" t="str">
        <f t="shared" si="72"/>
        <v>Phoenix - Arizona</v>
      </c>
      <c r="Y466" s="1" t="str">
        <f t="shared" si="73"/>
        <v>Binders</v>
      </c>
      <c r="Z466" s="1">
        <f t="shared" si="74"/>
        <v>28.484999999999999</v>
      </c>
      <c r="AA466" s="1">
        <f t="shared" si="75"/>
        <v>28.484999999999999</v>
      </c>
      <c r="AB466" s="1">
        <f t="shared" si="76"/>
        <v>142.42500000000001</v>
      </c>
      <c r="AC466" s="4">
        <f t="shared" si="77"/>
        <v>42.727500000000006</v>
      </c>
      <c r="AD466" s="1" t="s">
        <v>2013</v>
      </c>
      <c r="AE466" s="1" t="str">
        <f t="shared" si="78"/>
        <v>2016</v>
      </c>
      <c r="AF466" s="1" t="str">
        <f t="shared" si="79"/>
        <v>109869</v>
      </c>
    </row>
    <row r="467" spans="1:32" x14ac:dyDescent="0.3">
      <c r="A467" s="1">
        <v>466</v>
      </c>
      <c r="B467" s="1" t="s">
        <v>1601</v>
      </c>
      <c r="C467" s="2">
        <v>42482</v>
      </c>
      <c r="D467" s="2">
        <v>42489</v>
      </c>
      <c r="E467" s="1" t="s">
        <v>48</v>
      </c>
      <c r="F467" s="1" t="s">
        <v>1602</v>
      </c>
      <c r="G467" s="1" t="s">
        <v>1603</v>
      </c>
      <c r="H467" s="1" t="s">
        <v>100</v>
      </c>
      <c r="I467" s="1" t="s">
        <v>25</v>
      </c>
      <c r="J467" s="1" t="s">
        <v>542</v>
      </c>
      <c r="K467" s="1" t="s">
        <v>308</v>
      </c>
      <c r="L467" s="1">
        <v>85023</v>
      </c>
      <c r="M467" s="1" t="s">
        <v>42</v>
      </c>
      <c r="N467" s="1" t="s">
        <v>1608</v>
      </c>
      <c r="O467" s="1" t="s">
        <v>44</v>
      </c>
      <c r="P467" s="1" t="s">
        <v>577</v>
      </c>
      <c r="Q467" s="1" t="s">
        <v>1609</v>
      </c>
      <c r="R467" s="1">
        <v>185.376</v>
      </c>
      <c r="S467" s="1">
        <v>2</v>
      </c>
      <c r="T467" s="3">
        <v>0.2</v>
      </c>
      <c r="U467" s="4">
        <v>-34.758000000000003</v>
      </c>
      <c r="V467" s="1" t="str">
        <f t="shared" si="70"/>
        <v>Standard Class</v>
      </c>
      <c r="W467" s="1" t="str">
        <f t="shared" si="71"/>
        <v>Home Office</v>
      </c>
      <c r="X467" s="1" t="str">
        <f t="shared" si="72"/>
        <v>Phoenix - Arizona</v>
      </c>
      <c r="Y467" s="1" t="str">
        <f t="shared" si="73"/>
        <v>Supplies</v>
      </c>
      <c r="Z467" s="1">
        <f t="shared" si="74"/>
        <v>185.376</v>
      </c>
      <c r="AA467" s="1">
        <f t="shared" si="75"/>
        <v>185.376</v>
      </c>
      <c r="AB467" s="1">
        <f t="shared" si="76"/>
        <v>370.75200000000001</v>
      </c>
      <c r="AC467" s="4">
        <f t="shared" si="77"/>
        <v>296.60160000000002</v>
      </c>
      <c r="AD467" s="1" t="s">
        <v>2013</v>
      </c>
      <c r="AE467" s="1" t="str">
        <f t="shared" si="78"/>
        <v>2016</v>
      </c>
      <c r="AF467" s="1" t="str">
        <f t="shared" si="79"/>
        <v>109869</v>
      </c>
    </row>
    <row r="468" spans="1:32" x14ac:dyDescent="0.3">
      <c r="A468" s="1">
        <v>467</v>
      </c>
      <c r="B468" s="1" t="s">
        <v>1601</v>
      </c>
      <c r="C468" s="2">
        <v>42482</v>
      </c>
      <c r="D468" s="2">
        <v>42489</v>
      </c>
      <c r="E468" s="1" t="s">
        <v>48</v>
      </c>
      <c r="F468" s="1" t="s">
        <v>1602</v>
      </c>
      <c r="G468" s="1" t="s">
        <v>1603</v>
      </c>
      <c r="H468" s="1" t="s">
        <v>100</v>
      </c>
      <c r="I468" s="1" t="s">
        <v>25</v>
      </c>
      <c r="J468" s="1" t="s">
        <v>542</v>
      </c>
      <c r="K468" s="1" t="s">
        <v>308</v>
      </c>
      <c r="L468" s="1">
        <v>85023</v>
      </c>
      <c r="M468" s="1" t="s">
        <v>42</v>
      </c>
      <c r="N468" s="1" t="s">
        <v>1610</v>
      </c>
      <c r="O468" s="1" t="s">
        <v>44</v>
      </c>
      <c r="P468" s="1" t="s">
        <v>76</v>
      </c>
      <c r="Q468" s="1" t="s">
        <v>1611</v>
      </c>
      <c r="R468" s="1">
        <v>78.272000000000006</v>
      </c>
      <c r="S468" s="1">
        <v>2</v>
      </c>
      <c r="T468" s="3">
        <v>0.2</v>
      </c>
      <c r="U468" s="4">
        <v>5.8704000000000001</v>
      </c>
      <c r="V468" s="1" t="str">
        <f t="shared" si="70"/>
        <v>Standard Class</v>
      </c>
      <c r="W468" s="1" t="str">
        <f t="shared" si="71"/>
        <v>Home Office</v>
      </c>
      <c r="X468" s="1" t="str">
        <f t="shared" si="72"/>
        <v>Phoenix - Arizona</v>
      </c>
      <c r="Y468" s="1" t="str">
        <f t="shared" si="73"/>
        <v>Appliances</v>
      </c>
      <c r="Z468" s="1">
        <f t="shared" si="74"/>
        <v>78.272000000000006</v>
      </c>
      <c r="AA468" s="1">
        <f t="shared" si="75"/>
        <v>78.272000000000006</v>
      </c>
      <c r="AB468" s="1">
        <f t="shared" si="76"/>
        <v>156.54400000000001</v>
      </c>
      <c r="AC468" s="4">
        <f t="shared" si="77"/>
        <v>125.23520000000002</v>
      </c>
      <c r="AD468" s="1" t="s">
        <v>2013</v>
      </c>
      <c r="AE468" s="1" t="str">
        <f t="shared" si="78"/>
        <v>2016</v>
      </c>
      <c r="AF468" s="1" t="str">
        <f t="shared" si="79"/>
        <v>109869</v>
      </c>
    </row>
    <row r="469" spans="1:32" x14ac:dyDescent="0.3">
      <c r="A469" s="1">
        <v>468</v>
      </c>
      <c r="B469" s="1" t="s">
        <v>1612</v>
      </c>
      <c r="C469" s="2">
        <v>42021</v>
      </c>
      <c r="D469" s="2">
        <v>42028</v>
      </c>
      <c r="E469" s="1" t="s">
        <v>48</v>
      </c>
      <c r="F469" s="1" t="s">
        <v>1613</v>
      </c>
      <c r="G469" s="1" t="s">
        <v>1614</v>
      </c>
      <c r="H469" s="1" t="s">
        <v>100</v>
      </c>
      <c r="I469" s="1" t="s">
        <v>25</v>
      </c>
      <c r="J469" s="1" t="s">
        <v>1615</v>
      </c>
      <c r="K469" s="1" t="s">
        <v>209</v>
      </c>
      <c r="L469" s="1">
        <v>60068</v>
      </c>
      <c r="M469" s="1" t="s">
        <v>103</v>
      </c>
      <c r="N469" s="1" t="s">
        <v>1087</v>
      </c>
      <c r="O469" s="1" t="s">
        <v>30</v>
      </c>
      <c r="P469" s="1" t="s">
        <v>63</v>
      </c>
      <c r="Q469" s="1" t="s">
        <v>1088</v>
      </c>
      <c r="R469" s="1">
        <v>254.744</v>
      </c>
      <c r="S469" s="1">
        <v>7</v>
      </c>
      <c r="T469" s="3">
        <v>0.6</v>
      </c>
      <c r="U469" s="4">
        <v>-312.06139999999999</v>
      </c>
      <c r="V469" s="1" t="str">
        <f t="shared" si="70"/>
        <v>Standard Class</v>
      </c>
      <c r="W469" s="1" t="str">
        <f t="shared" si="71"/>
        <v>Home Office</v>
      </c>
      <c r="X469" s="1" t="str">
        <f t="shared" si="72"/>
        <v>Park Ridge - Illinois</v>
      </c>
      <c r="Y469" s="1" t="str">
        <f t="shared" si="73"/>
        <v>Furnishings</v>
      </c>
      <c r="Z469" s="1">
        <f t="shared" si="74"/>
        <v>254.744</v>
      </c>
      <c r="AA469" s="1">
        <f t="shared" si="75"/>
        <v>254.744</v>
      </c>
      <c r="AB469" s="1">
        <f t="shared" si="76"/>
        <v>1783.2080000000001</v>
      </c>
      <c r="AC469" s="4">
        <f t="shared" si="77"/>
        <v>713.28320000000008</v>
      </c>
      <c r="AD469" s="1" t="s">
        <v>2014</v>
      </c>
      <c r="AE469" s="1" t="str">
        <f t="shared" si="78"/>
        <v>2015</v>
      </c>
      <c r="AF469" s="1" t="str">
        <f t="shared" si="79"/>
        <v>101399</v>
      </c>
    </row>
    <row r="470" spans="1:32" x14ac:dyDescent="0.3">
      <c r="A470" s="1">
        <v>469</v>
      </c>
      <c r="B470" s="1" t="s">
        <v>1616</v>
      </c>
      <c r="C470" s="2">
        <v>42825</v>
      </c>
      <c r="D470" s="2">
        <v>42829</v>
      </c>
      <c r="E470" s="1" t="s">
        <v>48</v>
      </c>
      <c r="F470" s="1" t="s">
        <v>878</v>
      </c>
      <c r="G470" s="1" t="s">
        <v>879</v>
      </c>
      <c r="H470" s="1" t="s">
        <v>39</v>
      </c>
      <c r="I470" s="1" t="s">
        <v>25</v>
      </c>
      <c r="J470" s="1" t="s">
        <v>1617</v>
      </c>
      <c r="K470" s="1" t="s">
        <v>102</v>
      </c>
      <c r="L470" s="1">
        <v>79109</v>
      </c>
      <c r="M470" s="1" t="s">
        <v>103</v>
      </c>
      <c r="N470" s="1" t="s">
        <v>1618</v>
      </c>
      <c r="O470" s="1" t="s">
        <v>30</v>
      </c>
      <c r="P470" s="1" t="s">
        <v>31</v>
      </c>
      <c r="Q470" s="1" t="s">
        <v>1619</v>
      </c>
      <c r="R470" s="1">
        <v>205.33279999999999</v>
      </c>
      <c r="S470" s="1">
        <v>2</v>
      </c>
      <c r="T470" s="3">
        <v>0.32</v>
      </c>
      <c r="U470" s="4">
        <v>-36.235199999999999</v>
      </c>
      <c r="V470" s="1" t="str">
        <f t="shared" si="70"/>
        <v>Standard Class</v>
      </c>
      <c r="W470" s="1" t="str">
        <f t="shared" si="71"/>
        <v>Corporate</v>
      </c>
      <c r="X470" s="1" t="str">
        <f t="shared" si="72"/>
        <v>Amarillo - Texas</v>
      </c>
      <c r="Y470" s="1" t="str">
        <f t="shared" si="73"/>
        <v>Bookcases</v>
      </c>
      <c r="Z470" s="1">
        <f t="shared" si="74"/>
        <v>205.33279999999999</v>
      </c>
      <c r="AA470" s="1">
        <f t="shared" si="75"/>
        <v>205.33279999999999</v>
      </c>
      <c r="AB470" s="1">
        <f t="shared" si="76"/>
        <v>410.66559999999998</v>
      </c>
      <c r="AC470" s="4">
        <f t="shared" si="77"/>
        <v>279.25260799999995</v>
      </c>
      <c r="AD470" s="1" t="s">
        <v>2013</v>
      </c>
      <c r="AE470" s="1" t="str">
        <f t="shared" si="78"/>
        <v>2017</v>
      </c>
      <c r="AF470" s="1" t="str">
        <f t="shared" si="79"/>
        <v>154907</v>
      </c>
    </row>
    <row r="471" spans="1:32" x14ac:dyDescent="0.3">
      <c r="A471" s="1">
        <v>470</v>
      </c>
      <c r="B471" s="1" t="s">
        <v>1620</v>
      </c>
      <c r="C471" s="2">
        <v>42720</v>
      </c>
      <c r="D471" s="2">
        <v>42724</v>
      </c>
      <c r="E471" s="1" t="s">
        <v>21</v>
      </c>
      <c r="F471" s="1" t="s">
        <v>966</v>
      </c>
      <c r="G471" s="1" t="s">
        <v>967</v>
      </c>
      <c r="H471" s="1" t="s">
        <v>24</v>
      </c>
      <c r="I471" s="1" t="s">
        <v>25</v>
      </c>
      <c r="J471" s="1" t="s">
        <v>301</v>
      </c>
      <c r="K471" s="1" t="s">
        <v>209</v>
      </c>
      <c r="L471" s="1">
        <v>60610</v>
      </c>
      <c r="M471" s="1" t="s">
        <v>103</v>
      </c>
      <c r="N471" s="1" t="s">
        <v>1621</v>
      </c>
      <c r="O471" s="1" t="s">
        <v>44</v>
      </c>
      <c r="P471" s="1" t="s">
        <v>73</v>
      </c>
      <c r="Q471" s="1" t="s">
        <v>1622</v>
      </c>
      <c r="R471" s="1">
        <v>4.7880000000000003</v>
      </c>
      <c r="S471" s="1">
        <v>3</v>
      </c>
      <c r="T471" s="3">
        <v>0.8</v>
      </c>
      <c r="U471" s="4">
        <v>-7.9001999999999999</v>
      </c>
      <c r="V471" s="1" t="str">
        <f t="shared" si="70"/>
        <v>Second Class</v>
      </c>
      <c r="W471" s="1" t="str">
        <f t="shared" si="71"/>
        <v>Consumer</v>
      </c>
      <c r="X471" s="1" t="str">
        <f t="shared" si="72"/>
        <v>Chicago - Illinois</v>
      </c>
      <c r="Y471" s="1" t="str">
        <f t="shared" si="73"/>
        <v>Binders</v>
      </c>
      <c r="Z471" s="1">
        <f t="shared" si="74"/>
        <v>4.7880000000000003</v>
      </c>
      <c r="AA471" s="1">
        <f t="shared" si="75"/>
        <v>4.7880000000000003</v>
      </c>
      <c r="AB471" s="1">
        <f t="shared" si="76"/>
        <v>14.364000000000001</v>
      </c>
      <c r="AC471" s="4">
        <f t="shared" si="77"/>
        <v>2.8727999999999994</v>
      </c>
      <c r="AD471" s="1" t="s">
        <v>2014</v>
      </c>
      <c r="AE471" s="1" t="str">
        <f t="shared" si="78"/>
        <v>2016</v>
      </c>
      <c r="AF471" s="1" t="str">
        <f t="shared" si="79"/>
        <v>100419</v>
      </c>
    </row>
    <row r="472" spans="1:32" x14ac:dyDescent="0.3">
      <c r="A472" s="1">
        <v>471</v>
      </c>
      <c r="B472" s="1" t="s">
        <v>1623</v>
      </c>
      <c r="C472" s="2">
        <v>42358</v>
      </c>
      <c r="D472" s="2">
        <v>42362</v>
      </c>
      <c r="E472" s="1" t="s">
        <v>48</v>
      </c>
      <c r="F472" s="1" t="s">
        <v>1624</v>
      </c>
      <c r="G472" s="1" t="s">
        <v>1625</v>
      </c>
      <c r="H472" s="1" t="s">
        <v>39</v>
      </c>
      <c r="I472" s="1" t="s">
        <v>25</v>
      </c>
      <c r="J472" s="1" t="s">
        <v>1626</v>
      </c>
      <c r="K472" s="1" t="s">
        <v>265</v>
      </c>
      <c r="L472" s="1">
        <v>11757</v>
      </c>
      <c r="M472" s="1" t="s">
        <v>146</v>
      </c>
      <c r="N472" s="1" t="s">
        <v>1627</v>
      </c>
      <c r="O472" s="1" t="s">
        <v>44</v>
      </c>
      <c r="P472" s="1" t="s">
        <v>88</v>
      </c>
      <c r="Q472" s="1" t="s">
        <v>1628</v>
      </c>
      <c r="R472" s="1">
        <v>55.48</v>
      </c>
      <c r="S472" s="1">
        <v>1</v>
      </c>
      <c r="T472" s="3">
        <v>0</v>
      </c>
      <c r="U472" s="4">
        <v>26.630400000000002</v>
      </c>
      <c r="V472" s="1" t="str">
        <f t="shared" si="70"/>
        <v>Standard Class</v>
      </c>
      <c r="W472" s="1" t="str">
        <f t="shared" si="71"/>
        <v>Corporate</v>
      </c>
      <c r="X472" s="1" t="str">
        <f t="shared" si="72"/>
        <v>Lindenhurst - New York</v>
      </c>
      <c r="Y472" s="1" t="str">
        <f t="shared" si="73"/>
        <v>Paper</v>
      </c>
      <c r="Z472" s="1">
        <f t="shared" si="74"/>
        <v>55.48</v>
      </c>
      <c r="AA472" s="1">
        <f t="shared" si="75"/>
        <v>55.48</v>
      </c>
      <c r="AB472" s="1">
        <f t="shared" si="76"/>
        <v>55.48</v>
      </c>
      <c r="AC472" s="4">
        <f t="shared" si="77"/>
        <v>55.48</v>
      </c>
      <c r="AD472" s="1" t="s">
        <v>2013</v>
      </c>
      <c r="AE472" s="1" t="str">
        <f t="shared" si="78"/>
        <v>2015</v>
      </c>
      <c r="AF472" s="1" t="str">
        <f t="shared" si="79"/>
        <v>154144</v>
      </c>
    </row>
    <row r="473" spans="1:32" x14ac:dyDescent="0.3">
      <c r="A473" s="1">
        <v>472</v>
      </c>
      <c r="B473" s="1" t="s">
        <v>1629</v>
      </c>
      <c r="C473" s="2">
        <v>41952</v>
      </c>
      <c r="D473" s="2">
        <v>41954</v>
      </c>
      <c r="E473" s="1" t="s">
        <v>21</v>
      </c>
      <c r="F473" s="1" t="s">
        <v>1630</v>
      </c>
      <c r="G473" s="1" t="s">
        <v>1631</v>
      </c>
      <c r="H473" s="1" t="s">
        <v>24</v>
      </c>
      <c r="I473" s="1" t="s">
        <v>25</v>
      </c>
      <c r="J473" s="1" t="s">
        <v>125</v>
      </c>
      <c r="K473" s="1" t="s">
        <v>41</v>
      </c>
      <c r="L473" s="1">
        <v>94110</v>
      </c>
      <c r="M473" s="1" t="s">
        <v>42</v>
      </c>
      <c r="N473" s="1" t="s">
        <v>1632</v>
      </c>
      <c r="O473" s="1" t="s">
        <v>44</v>
      </c>
      <c r="P473" s="1" t="s">
        <v>57</v>
      </c>
      <c r="Q473" s="1" t="s">
        <v>1633</v>
      </c>
      <c r="R473" s="1">
        <v>340.92</v>
      </c>
      <c r="S473" s="1">
        <v>3</v>
      </c>
      <c r="T473" s="3">
        <v>0</v>
      </c>
      <c r="U473" s="4">
        <v>3.4091999999999998</v>
      </c>
      <c r="V473" s="1" t="str">
        <f t="shared" si="70"/>
        <v>Second Class</v>
      </c>
      <c r="W473" s="1" t="str">
        <f t="shared" si="71"/>
        <v>Consumer</v>
      </c>
      <c r="X473" s="1" t="str">
        <f t="shared" si="72"/>
        <v>San Francisco - California</v>
      </c>
      <c r="Y473" s="1" t="str">
        <f t="shared" si="73"/>
        <v>Storage</v>
      </c>
      <c r="Z473" s="1">
        <f t="shared" si="74"/>
        <v>340.92</v>
      </c>
      <c r="AA473" s="1">
        <f t="shared" si="75"/>
        <v>340.92</v>
      </c>
      <c r="AB473" s="1">
        <f t="shared" si="76"/>
        <v>1022.76</v>
      </c>
      <c r="AC473" s="4">
        <f t="shared" si="77"/>
        <v>1022.76</v>
      </c>
      <c r="AD473" s="1" t="s">
        <v>2013</v>
      </c>
      <c r="AE473" s="1" t="str">
        <f t="shared" si="78"/>
        <v>2014</v>
      </c>
      <c r="AF473" s="1" t="str">
        <f t="shared" si="79"/>
        <v>144666</v>
      </c>
    </row>
    <row r="474" spans="1:32" x14ac:dyDescent="0.3">
      <c r="A474" s="1">
        <v>473</v>
      </c>
      <c r="B474" s="1" t="s">
        <v>1629</v>
      </c>
      <c r="C474" s="2">
        <v>41952</v>
      </c>
      <c r="D474" s="2">
        <v>41954</v>
      </c>
      <c r="E474" s="1" t="s">
        <v>21</v>
      </c>
      <c r="F474" s="1" t="s">
        <v>1630</v>
      </c>
      <c r="G474" s="1" t="s">
        <v>1631</v>
      </c>
      <c r="H474" s="1" t="s">
        <v>24</v>
      </c>
      <c r="I474" s="1" t="s">
        <v>25</v>
      </c>
      <c r="J474" s="1" t="s">
        <v>125</v>
      </c>
      <c r="K474" s="1" t="s">
        <v>41</v>
      </c>
      <c r="L474" s="1">
        <v>94110</v>
      </c>
      <c r="M474" s="1" t="s">
        <v>42</v>
      </c>
      <c r="N474" s="1" t="s">
        <v>1634</v>
      </c>
      <c r="O474" s="1" t="s">
        <v>30</v>
      </c>
      <c r="P474" s="1" t="s">
        <v>31</v>
      </c>
      <c r="Q474" s="1" t="s">
        <v>1635</v>
      </c>
      <c r="R474" s="1">
        <v>222.666</v>
      </c>
      <c r="S474" s="1">
        <v>2</v>
      </c>
      <c r="T474" s="3">
        <v>0.15</v>
      </c>
      <c r="U474" s="4">
        <v>10.478400000000001</v>
      </c>
      <c r="V474" s="1" t="str">
        <f t="shared" si="70"/>
        <v>Second Class</v>
      </c>
      <c r="W474" s="1" t="str">
        <f t="shared" si="71"/>
        <v>Consumer</v>
      </c>
      <c r="X474" s="1" t="str">
        <f t="shared" si="72"/>
        <v>San Francisco - California</v>
      </c>
      <c r="Y474" s="1" t="str">
        <f t="shared" si="73"/>
        <v>Bookcases</v>
      </c>
      <c r="Z474" s="1">
        <f t="shared" si="74"/>
        <v>222.666</v>
      </c>
      <c r="AA474" s="1">
        <f t="shared" si="75"/>
        <v>222.666</v>
      </c>
      <c r="AB474" s="1">
        <f t="shared" si="76"/>
        <v>445.33199999999999</v>
      </c>
      <c r="AC474" s="4">
        <f t="shared" si="77"/>
        <v>378.53219999999999</v>
      </c>
      <c r="AD474" s="1" t="s">
        <v>2013</v>
      </c>
      <c r="AE474" s="1" t="str">
        <f t="shared" si="78"/>
        <v>2014</v>
      </c>
      <c r="AF474" s="1" t="str">
        <f t="shared" si="79"/>
        <v>144666</v>
      </c>
    </row>
    <row r="475" spans="1:32" x14ac:dyDescent="0.3">
      <c r="A475" s="1">
        <v>474</v>
      </c>
      <c r="B475" s="1" t="s">
        <v>1629</v>
      </c>
      <c r="C475" s="2">
        <v>41952</v>
      </c>
      <c r="D475" s="2">
        <v>41954</v>
      </c>
      <c r="E475" s="1" t="s">
        <v>21</v>
      </c>
      <c r="F475" s="1" t="s">
        <v>1630</v>
      </c>
      <c r="G475" s="1" t="s">
        <v>1631</v>
      </c>
      <c r="H475" s="1" t="s">
        <v>24</v>
      </c>
      <c r="I475" s="1" t="s">
        <v>25</v>
      </c>
      <c r="J475" s="1" t="s">
        <v>125</v>
      </c>
      <c r="K475" s="1" t="s">
        <v>41</v>
      </c>
      <c r="L475" s="1">
        <v>94110</v>
      </c>
      <c r="M475" s="1" t="s">
        <v>42</v>
      </c>
      <c r="N475" s="1" t="s">
        <v>1636</v>
      </c>
      <c r="O475" s="1" t="s">
        <v>69</v>
      </c>
      <c r="P475" s="1" t="s">
        <v>70</v>
      </c>
      <c r="Q475" s="1" t="s">
        <v>1637</v>
      </c>
      <c r="R475" s="1">
        <v>703.96799999999996</v>
      </c>
      <c r="S475" s="1">
        <v>4</v>
      </c>
      <c r="T475" s="3">
        <v>0.2</v>
      </c>
      <c r="U475" s="4">
        <v>87.995999999999995</v>
      </c>
      <c r="V475" s="1" t="str">
        <f t="shared" si="70"/>
        <v>Second Class</v>
      </c>
      <c r="W475" s="1" t="str">
        <f t="shared" si="71"/>
        <v>Consumer</v>
      </c>
      <c r="X475" s="1" t="str">
        <f t="shared" si="72"/>
        <v>San Francisco - California</v>
      </c>
      <c r="Y475" s="1" t="str">
        <f t="shared" si="73"/>
        <v>Phones</v>
      </c>
      <c r="Z475" s="1">
        <f t="shared" si="74"/>
        <v>703.96799999999996</v>
      </c>
      <c r="AA475" s="1">
        <f t="shared" si="75"/>
        <v>703.96799999999996</v>
      </c>
      <c r="AB475" s="1">
        <f t="shared" si="76"/>
        <v>2815.8719999999998</v>
      </c>
      <c r="AC475" s="4">
        <f t="shared" si="77"/>
        <v>2252.6976</v>
      </c>
      <c r="AD475" s="1" t="s">
        <v>2013</v>
      </c>
      <c r="AE475" s="1" t="str">
        <f t="shared" si="78"/>
        <v>2014</v>
      </c>
      <c r="AF475" s="1" t="str">
        <f t="shared" si="79"/>
        <v>144666</v>
      </c>
    </row>
    <row r="476" spans="1:32" x14ac:dyDescent="0.3">
      <c r="A476" s="1">
        <v>475</v>
      </c>
      <c r="B476" s="1" t="s">
        <v>1629</v>
      </c>
      <c r="C476" s="2">
        <v>41952</v>
      </c>
      <c r="D476" s="2">
        <v>41954</v>
      </c>
      <c r="E476" s="1" t="s">
        <v>21</v>
      </c>
      <c r="F476" s="1" t="s">
        <v>1630</v>
      </c>
      <c r="G476" s="1" t="s">
        <v>1631</v>
      </c>
      <c r="H476" s="1" t="s">
        <v>24</v>
      </c>
      <c r="I476" s="1" t="s">
        <v>25</v>
      </c>
      <c r="J476" s="1" t="s">
        <v>125</v>
      </c>
      <c r="K476" s="1" t="s">
        <v>41</v>
      </c>
      <c r="L476" s="1">
        <v>94110</v>
      </c>
      <c r="M476" s="1" t="s">
        <v>42</v>
      </c>
      <c r="N476" s="1" t="s">
        <v>1638</v>
      </c>
      <c r="O476" s="1" t="s">
        <v>44</v>
      </c>
      <c r="P476" s="1" t="s">
        <v>57</v>
      </c>
      <c r="Q476" s="1" t="s">
        <v>1639</v>
      </c>
      <c r="R476" s="1">
        <v>92.52</v>
      </c>
      <c r="S476" s="1">
        <v>6</v>
      </c>
      <c r="T476" s="3">
        <v>0</v>
      </c>
      <c r="U476" s="4">
        <v>24.980399999999999</v>
      </c>
      <c r="V476" s="1" t="str">
        <f t="shared" si="70"/>
        <v>Second Class</v>
      </c>
      <c r="W476" s="1" t="str">
        <f t="shared" si="71"/>
        <v>Consumer</v>
      </c>
      <c r="X476" s="1" t="str">
        <f t="shared" si="72"/>
        <v>San Francisco - California</v>
      </c>
      <c r="Y476" s="1" t="str">
        <f t="shared" si="73"/>
        <v>Storage</v>
      </c>
      <c r="Z476" s="1">
        <f t="shared" si="74"/>
        <v>92.52</v>
      </c>
      <c r="AA476" s="1">
        <f t="shared" si="75"/>
        <v>92.52</v>
      </c>
      <c r="AB476" s="1">
        <f t="shared" si="76"/>
        <v>555.12</v>
      </c>
      <c r="AC476" s="4">
        <f t="shared" si="77"/>
        <v>555.12</v>
      </c>
      <c r="AD476" s="1" t="s">
        <v>2013</v>
      </c>
      <c r="AE476" s="1" t="str">
        <f t="shared" si="78"/>
        <v>2014</v>
      </c>
      <c r="AF476" s="1" t="str">
        <f t="shared" si="79"/>
        <v>144666</v>
      </c>
    </row>
    <row r="477" spans="1:32" x14ac:dyDescent="0.3">
      <c r="A477" s="1">
        <v>476</v>
      </c>
      <c r="B477" s="1" t="s">
        <v>1629</v>
      </c>
      <c r="C477" s="2">
        <v>41952</v>
      </c>
      <c r="D477" s="2">
        <v>41954</v>
      </c>
      <c r="E477" s="1" t="s">
        <v>21</v>
      </c>
      <c r="F477" s="1" t="s">
        <v>1630</v>
      </c>
      <c r="G477" s="1" t="s">
        <v>1631</v>
      </c>
      <c r="H477" s="1" t="s">
        <v>24</v>
      </c>
      <c r="I477" s="1" t="s">
        <v>25</v>
      </c>
      <c r="J477" s="1" t="s">
        <v>125</v>
      </c>
      <c r="K477" s="1" t="s">
        <v>41</v>
      </c>
      <c r="L477" s="1">
        <v>94110</v>
      </c>
      <c r="M477" s="1" t="s">
        <v>42</v>
      </c>
      <c r="N477" s="1" t="s">
        <v>1640</v>
      </c>
      <c r="O477" s="1" t="s">
        <v>44</v>
      </c>
      <c r="P477" s="1" t="s">
        <v>88</v>
      </c>
      <c r="Q477" s="1" t="s">
        <v>1641</v>
      </c>
      <c r="R477" s="1">
        <v>62.65</v>
      </c>
      <c r="S477" s="1">
        <v>7</v>
      </c>
      <c r="T477" s="3">
        <v>0</v>
      </c>
      <c r="U477" s="4">
        <v>28.818999999999999</v>
      </c>
      <c r="V477" s="1" t="str">
        <f t="shared" si="70"/>
        <v>Second Class</v>
      </c>
      <c r="W477" s="1" t="str">
        <f t="shared" si="71"/>
        <v>Consumer</v>
      </c>
      <c r="X477" s="1" t="str">
        <f t="shared" si="72"/>
        <v>San Francisco - California</v>
      </c>
      <c r="Y477" s="1" t="str">
        <f t="shared" si="73"/>
        <v>Paper</v>
      </c>
      <c r="Z477" s="1">
        <f t="shared" si="74"/>
        <v>62.65</v>
      </c>
      <c r="AA477" s="1">
        <f t="shared" si="75"/>
        <v>62.65</v>
      </c>
      <c r="AB477" s="1">
        <f t="shared" si="76"/>
        <v>438.55</v>
      </c>
      <c r="AC477" s="4">
        <f t="shared" si="77"/>
        <v>438.55</v>
      </c>
      <c r="AD477" s="1" t="s">
        <v>2013</v>
      </c>
      <c r="AE477" s="1" t="str">
        <f t="shared" si="78"/>
        <v>2014</v>
      </c>
      <c r="AF477" s="1" t="str">
        <f t="shared" si="79"/>
        <v>144666</v>
      </c>
    </row>
    <row r="478" spans="1:32" x14ac:dyDescent="0.3">
      <c r="A478" s="1">
        <v>477</v>
      </c>
      <c r="B478" s="1" t="s">
        <v>1629</v>
      </c>
      <c r="C478" s="2">
        <v>41952</v>
      </c>
      <c r="D478" s="2">
        <v>41954</v>
      </c>
      <c r="E478" s="1" t="s">
        <v>21</v>
      </c>
      <c r="F478" s="1" t="s">
        <v>1630</v>
      </c>
      <c r="G478" s="1" t="s">
        <v>1631</v>
      </c>
      <c r="H478" s="1" t="s">
        <v>24</v>
      </c>
      <c r="I478" s="1" t="s">
        <v>25</v>
      </c>
      <c r="J478" s="1" t="s">
        <v>125</v>
      </c>
      <c r="K478" s="1" t="s">
        <v>41</v>
      </c>
      <c r="L478" s="1">
        <v>94110</v>
      </c>
      <c r="M478" s="1" t="s">
        <v>42</v>
      </c>
      <c r="N478" s="1" t="s">
        <v>1642</v>
      </c>
      <c r="O478" s="1" t="s">
        <v>44</v>
      </c>
      <c r="P478" s="1" t="s">
        <v>88</v>
      </c>
      <c r="Q478" s="1" t="s">
        <v>1643</v>
      </c>
      <c r="R478" s="1">
        <v>94.85</v>
      </c>
      <c r="S478" s="1">
        <v>5</v>
      </c>
      <c r="T478" s="3">
        <v>0</v>
      </c>
      <c r="U478" s="4">
        <v>45.527999999999999</v>
      </c>
      <c r="V478" s="1" t="str">
        <f t="shared" si="70"/>
        <v>Second Class</v>
      </c>
      <c r="W478" s="1" t="str">
        <f t="shared" si="71"/>
        <v>Consumer</v>
      </c>
      <c r="X478" s="1" t="str">
        <f t="shared" si="72"/>
        <v>San Francisco - California</v>
      </c>
      <c r="Y478" s="1" t="str">
        <f t="shared" si="73"/>
        <v>Paper</v>
      </c>
      <c r="Z478" s="1">
        <f t="shared" si="74"/>
        <v>94.85</v>
      </c>
      <c r="AA478" s="1">
        <f t="shared" si="75"/>
        <v>94.85</v>
      </c>
      <c r="AB478" s="1">
        <f t="shared" si="76"/>
        <v>474.25</v>
      </c>
      <c r="AC478" s="4">
        <f t="shared" si="77"/>
        <v>474.25</v>
      </c>
      <c r="AD478" s="1" t="s">
        <v>2013</v>
      </c>
      <c r="AE478" s="1" t="str">
        <f t="shared" si="78"/>
        <v>2014</v>
      </c>
      <c r="AF478" s="1" t="str">
        <f t="shared" si="79"/>
        <v>144666</v>
      </c>
    </row>
    <row r="479" spans="1:32" x14ac:dyDescent="0.3">
      <c r="A479" s="1">
        <v>478</v>
      </c>
      <c r="B479" s="1" t="s">
        <v>1644</v>
      </c>
      <c r="C479" s="2">
        <v>42563</v>
      </c>
      <c r="D479" s="2">
        <v>42570</v>
      </c>
      <c r="E479" s="1" t="s">
        <v>48</v>
      </c>
      <c r="F479" s="1" t="s">
        <v>1014</v>
      </c>
      <c r="G479" s="1" t="s">
        <v>1015</v>
      </c>
      <c r="H479" s="1" t="s">
        <v>39</v>
      </c>
      <c r="I479" s="1" t="s">
        <v>25</v>
      </c>
      <c r="J479" s="1" t="s">
        <v>40</v>
      </c>
      <c r="K479" s="1" t="s">
        <v>41</v>
      </c>
      <c r="L479" s="1">
        <v>90008</v>
      </c>
      <c r="M479" s="1" t="s">
        <v>42</v>
      </c>
      <c r="N479" s="1" t="s">
        <v>1645</v>
      </c>
      <c r="O479" s="1" t="s">
        <v>69</v>
      </c>
      <c r="P479" s="1" t="s">
        <v>70</v>
      </c>
      <c r="Q479" s="1" t="s">
        <v>1646</v>
      </c>
      <c r="R479" s="1">
        <v>95.76</v>
      </c>
      <c r="S479" s="1">
        <v>6</v>
      </c>
      <c r="T479" s="3">
        <v>0.2</v>
      </c>
      <c r="U479" s="4">
        <v>7.1820000000000004</v>
      </c>
      <c r="V479" s="1" t="str">
        <f t="shared" si="70"/>
        <v>Standard Class</v>
      </c>
      <c r="W479" s="1" t="str">
        <f t="shared" si="71"/>
        <v>Corporate</v>
      </c>
      <c r="X479" s="1" t="str">
        <f t="shared" si="72"/>
        <v>Los Angeles - California</v>
      </c>
      <c r="Y479" s="1" t="str">
        <f t="shared" si="73"/>
        <v>Phones</v>
      </c>
      <c r="Z479" s="1">
        <f t="shared" si="74"/>
        <v>95.76</v>
      </c>
      <c r="AA479" s="1">
        <f t="shared" si="75"/>
        <v>95.76</v>
      </c>
      <c r="AB479" s="1">
        <f t="shared" si="76"/>
        <v>574.56000000000006</v>
      </c>
      <c r="AC479" s="4">
        <f t="shared" si="77"/>
        <v>459.64800000000008</v>
      </c>
      <c r="AD479" s="1" t="s">
        <v>2013</v>
      </c>
      <c r="AE479" s="1" t="str">
        <f t="shared" si="78"/>
        <v>2016</v>
      </c>
      <c r="AF479" s="1" t="str">
        <f t="shared" si="79"/>
        <v>103891</v>
      </c>
    </row>
    <row r="480" spans="1:32" x14ac:dyDescent="0.3">
      <c r="A480" s="1">
        <v>479</v>
      </c>
      <c r="B480" s="1" t="s">
        <v>1647</v>
      </c>
      <c r="C480" s="2">
        <v>42670</v>
      </c>
      <c r="D480" s="2">
        <v>42676</v>
      </c>
      <c r="E480" s="1" t="s">
        <v>48</v>
      </c>
      <c r="F480" s="1" t="s">
        <v>1648</v>
      </c>
      <c r="G480" s="1" t="s">
        <v>1649</v>
      </c>
      <c r="H480" s="1" t="s">
        <v>24</v>
      </c>
      <c r="I480" s="1" t="s">
        <v>25</v>
      </c>
      <c r="J480" s="1" t="s">
        <v>274</v>
      </c>
      <c r="K480" s="1" t="s">
        <v>265</v>
      </c>
      <c r="L480" s="1">
        <v>12180</v>
      </c>
      <c r="M480" s="1" t="s">
        <v>146</v>
      </c>
      <c r="N480" s="1" t="s">
        <v>1111</v>
      </c>
      <c r="O480" s="1" t="s">
        <v>30</v>
      </c>
      <c r="P480" s="1" t="s">
        <v>63</v>
      </c>
      <c r="Q480" s="1" t="s">
        <v>1112</v>
      </c>
      <c r="R480" s="1">
        <v>40.200000000000003</v>
      </c>
      <c r="S480" s="1">
        <v>3</v>
      </c>
      <c r="T480" s="3">
        <v>0</v>
      </c>
      <c r="U480" s="4">
        <v>19.295999999999999</v>
      </c>
      <c r="V480" s="1" t="str">
        <f t="shared" si="70"/>
        <v>Standard Class</v>
      </c>
      <c r="W480" s="1" t="str">
        <f t="shared" si="71"/>
        <v>Consumer</v>
      </c>
      <c r="X480" s="1" t="str">
        <f t="shared" si="72"/>
        <v>Troy - New York</v>
      </c>
      <c r="Y480" s="1" t="str">
        <f t="shared" si="73"/>
        <v>Furnishings</v>
      </c>
      <c r="Z480" s="1">
        <f t="shared" si="74"/>
        <v>40.200000000000003</v>
      </c>
      <c r="AA480" s="1">
        <f t="shared" si="75"/>
        <v>40.200000000000003</v>
      </c>
      <c r="AB480" s="1">
        <f t="shared" si="76"/>
        <v>120.60000000000001</v>
      </c>
      <c r="AC480" s="4">
        <f t="shared" si="77"/>
        <v>120.60000000000001</v>
      </c>
      <c r="AD480" s="1" t="s">
        <v>2013</v>
      </c>
      <c r="AE480" s="1" t="str">
        <f t="shared" si="78"/>
        <v>2016</v>
      </c>
      <c r="AF480" s="1" t="str">
        <f t="shared" si="79"/>
        <v>152632</v>
      </c>
    </row>
    <row r="481" spans="1:32" x14ac:dyDescent="0.3">
      <c r="A481" s="1">
        <v>480</v>
      </c>
      <c r="B481" s="1" t="s">
        <v>1650</v>
      </c>
      <c r="C481" s="2">
        <v>42547</v>
      </c>
      <c r="D481" s="2">
        <v>42553</v>
      </c>
      <c r="E481" s="1" t="s">
        <v>48</v>
      </c>
      <c r="F481" s="1" t="s">
        <v>1651</v>
      </c>
      <c r="G481" s="1" t="s">
        <v>1652</v>
      </c>
      <c r="H481" s="1" t="s">
        <v>39</v>
      </c>
      <c r="I481" s="1" t="s">
        <v>25</v>
      </c>
      <c r="J481" s="1" t="s">
        <v>264</v>
      </c>
      <c r="K481" s="1" t="s">
        <v>265</v>
      </c>
      <c r="L481" s="1">
        <v>10024</v>
      </c>
      <c r="M481" s="1" t="s">
        <v>146</v>
      </c>
      <c r="N481" s="1" t="s">
        <v>1653</v>
      </c>
      <c r="O481" s="1" t="s">
        <v>44</v>
      </c>
      <c r="P481" s="1" t="s">
        <v>66</v>
      </c>
      <c r="Q481" s="1" t="s">
        <v>1654</v>
      </c>
      <c r="R481" s="1">
        <v>14.7</v>
      </c>
      <c r="S481" s="1">
        <v>5</v>
      </c>
      <c r="T481" s="3">
        <v>0</v>
      </c>
      <c r="U481" s="4">
        <v>6.6150000000000002</v>
      </c>
      <c r="V481" s="1" t="str">
        <f t="shared" si="70"/>
        <v>Standard Class</v>
      </c>
      <c r="W481" s="1" t="str">
        <f t="shared" si="71"/>
        <v>Corporate</v>
      </c>
      <c r="X481" s="1" t="str">
        <f t="shared" si="72"/>
        <v>New York City - New York</v>
      </c>
      <c r="Y481" s="1" t="str">
        <f t="shared" si="73"/>
        <v>Art</v>
      </c>
      <c r="Z481" s="1">
        <f t="shared" si="74"/>
        <v>14.7</v>
      </c>
      <c r="AA481" s="1">
        <f t="shared" si="75"/>
        <v>14.7</v>
      </c>
      <c r="AB481" s="1">
        <f t="shared" si="76"/>
        <v>73.5</v>
      </c>
      <c r="AC481" s="4">
        <f t="shared" si="77"/>
        <v>73.5</v>
      </c>
      <c r="AD481" s="1" t="s">
        <v>2013</v>
      </c>
      <c r="AE481" s="1" t="str">
        <f t="shared" si="78"/>
        <v>2016</v>
      </c>
      <c r="AF481" s="1" t="str">
        <f t="shared" si="79"/>
        <v>100790</v>
      </c>
    </row>
    <row r="482" spans="1:32" x14ac:dyDescent="0.3">
      <c r="A482" s="1">
        <v>481</v>
      </c>
      <c r="B482" s="1" t="s">
        <v>1650</v>
      </c>
      <c r="C482" s="2">
        <v>42547</v>
      </c>
      <c r="D482" s="2">
        <v>42553</v>
      </c>
      <c r="E482" s="1" t="s">
        <v>48</v>
      </c>
      <c r="F482" s="1" t="s">
        <v>1651</v>
      </c>
      <c r="G482" s="1" t="s">
        <v>1652</v>
      </c>
      <c r="H482" s="1" t="s">
        <v>39</v>
      </c>
      <c r="I482" s="1" t="s">
        <v>25</v>
      </c>
      <c r="J482" s="1" t="s">
        <v>264</v>
      </c>
      <c r="K482" s="1" t="s">
        <v>265</v>
      </c>
      <c r="L482" s="1">
        <v>10024</v>
      </c>
      <c r="M482" s="1" t="s">
        <v>146</v>
      </c>
      <c r="N482" s="1" t="s">
        <v>1655</v>
      </c>
      <c r="O482" s="1" t="s">
        <v>44</v>
      </c>
      <c r="P482" s="1" t="s">
        <v>57</v>
      </c>
      <c r="Q482" s="1" t="s">
        <v>1656</v>
      </c>
      <c r="R482" s="1">
        <v>704.25</v>
      </c>
      <c r="S482" s="1">
        <v>5</v>
      </c>
      <c r="T482" s="3">
        <v>0</v>
      </c>
      <c r="U482" s="4">
        <v>84.51</v>
      </c>
      <c r="V482" s="1" t="str">
        <f t="shared" si="70"/>
        <v>Standard Class</v>
      </c>
      <c r="W482" s="1" t="str">
        <f t="shared" si="71"/>
        <v>Corporate</v>
      </c>
      <c r="X482" s="1" t="str">
        <f t="shared" si="72"/>
        <v>New York City - New York</v>
      </c>
      <c r="Y482" s="1" t="str">
        <f t="shared" si="73"/>
        <v>Storage</v>
      </c>
      <c r="Z482" s="1">
        <f t="shared" si="74"/>
        <v>704.25</v>
      </c>
      <c r="AA482" s="1">
        <f t="shared" si="75"/>
        <v>704.25</v>
      </c>
      <c r="AB482" s="1">
        <f t="shared" si="76"/>
        <v>3521.25</v>
      </c>
      <c r="AC482" s="4">
        <f t="shared" si="77"/>
        <v>3521.25</v>
      </c>
      <c r="AD482" s="1" t="s">
        <v>2013</v>
      </c>
      <c r="AE482" s="1" t="str">
        <f t="shared" si="78"/>
        <v>2016</v>
      </c>
      <c r="AF482" s="1" t="str">
        <f t="shared" si="79"/>
        <v>100790</v>
      </c>
    </row>
    <row r="483" spans="1:32" x14ac:dyDescent="0.3">
      <c r="A483" s="1">
        <v>482</v>
      </c>
      <c r="B483" s="1" t="s">
        <v>1657</v>
      </c>
      <c r="C483" s="2">
        <v>41918</v>
      </c>
      <c r="D483" s="2">
        <v>41922</v>
      </c>
      <c r="E483" s="1" t="s">
        <v>48</v>
      </c>
      <c r="F483" s="1" t="s">
        <v>1658</v>
      </c>
      <c r="G483" s="1" t="s">
        <v>1659</v>
      </c>
      <c r="H483" s="1" t="s">
        <v>24</v>
      </c>
      <c r="I483" s="1" t="s">
        <v>25</v>
      </c>
      <c r="J483" s="1" t="s">
        <v>948</v>
      </c>
      <c r="K483" s="1" t="s">
        <v>41</v>
      </c>
      <c r="L483" s="1">
        <v>92024</v>
      </c>
      <c r="M483" s="1" t="s">
        <v>42</v>
      </c>
      <c r="N483" s="1" t="s">
        <v>1660</v>
      </c>
      <c r="O483" s="1" t="s">
        <v>69</v>
      </c>
      <c r="P483" s="1" t="s">
        <v>159</v>
      </c>
      <c r="Q483" s="1" t="s">
        <v>1661</v>
      </c>
      <c r="R483" s="1">
        <v>9.09</v>
      </c>
      <c r="S483" s="1">
        <v>3</v>
      </c>
      <c r="T483" s="3">
        <v>0</v>
      </c>
      <c r="U483" s="4">
        <v>1.9089</v>
      </c>
      <c r="V483" s="1" t="str">
        <f t="shared" si="70"/>
        <v>Standard Class</v>
      </c>
      <c r="W483" s="1" t="str">
        <f t="shared" si="71"/>
        <v>Consumer</v>
      </c>
      <c r="X483" s="1" t="str">
        <f t="shared" si="72"/>
        <v>San Diego - California</v>
      </c>
      <c r="Y483" s="1" t="str">
        <f t="shared" si="73"/>
        <v>Accessories</v>
      </c>
      <c r="Z483" s="1">
        <f t="shared" si="74"/>
        <v>9.09</v>
      </c>
      <c r="AA483" s="1">
        <f t="shared" si="75"/>
        <v>9.09</v>
      </c>
      <c r="AB483" s="1">
        <f t="shared" si="76"/>
        <v>27.27</v>
      </c>
      <c r="AC483" s="4">
        <f t="shared" si="77"/>
        <v>27.27</v>
      </c>
      <c r="AD483" s="1" t="s">
        <v>2013</v>
      </c>
      <c r="AE483" s="1" t="str">
        <f t="shared" si="78"/>
        <v>2014</v>
      </c>
      <c r="AF483" s="1" t="str">
        <f t="shared" si="79"/>
        <v>134677</v>
      </c>
    </row>
    <row r="484" spans="1:32" x14ac:dyDescent="0.3">
      <c r="A484" s="1">
        <v>483</v>
      </c>
      <c r="B484" s="1" t="s">
        <v>1662</v>
      </c>
      <c r="C484" s="2">
        <v>41842</v>
      </c>
      <c r="D484" s="2">
        <v>41847</v>
      </c>
      <c r="E484" s="1" t="s">
        <v>48</v>
      </c>
      <c r="F484" s="1" t="s">
        <v>1663</v>
      </c>
      <c r="G484" s="1" t="s">
        <v>1664</v>
      </c>
      <c r="H484" s="1" t="s">
        <v>24</v>
      </c>
      <c r="I484" s="1" t="s">
        <v>25</v>
      </c>
      <c r="J484" s="1" t="s">
        <v>264</v>
      </c>
      <c r="K484" s="1" t="s">
        <v>265</v>
      </c>
      <c r="L484" s="1">
        <v>10024</v>
      </c>
      <c r="M484" s="1" t="s">
        <v>146</v>
      </c>
      <c r="N484" s="1" t="s">
        <v>364</v>
      </c>
      <c r="O484" s="1" t="s">
        <v>44</v>
      </c>
      <c r="P484" s="1" t="s">
        <v>66</v>
      </c>
      <c r="Q484" s="1" t="s">
        <v>365</v>
      </c>
      <c r="R484" s="1">
        <v>5.96</v>
      </c>
      <c r="S484" s="1">
        <v>2</v>
      </c>
      <c r="T484" s="3">
        <v>0</v>
      </c>
      <c r="U484" s="4">
        <v>1.6688000000000001</v>
      </c>
      <c r="V484" s="1" t="str">
        <f t="shared" si="70"/>
        <v>Standard Class</v>
      </c>
      <c r="W484" s="1" t="str">
        <f t="shared" si="71"/>
        <v>Consumer</v>
      </c>
      <c r="X484" s="1" t="str">
        <f t="shared" si="72"/>
        <v>New York City - New York</v>
      </c>
      <c r="Y484" s="1" t="str">
        <f t="shared" si="73"/>
        <v>Art</v>
      </c>
      <c r="Z484" s="1">
        <f t="shared" si="74"/>
        <v>5.96</v>
      </c>
      <c r="AA484" s="1">
        <f t="shared" si="75"/>
        <v>5.96</v>
      </c>
      <c r="AB484" s="1">
        <f t="shared" si="76"/>
        <v>11.92</v>
      </c>
      <c r="AC484" s="4">
        <f t="shared" si="77"/>
        <v>11.92</v>
      </c>
      <c r="AD484" s="1" t="s">
        <v>2013</v>
      </c>
      <c r="AE484" s="1" t="str">
        <f t="shared" si="78"/>
        <v>2014</v>
      </c>
      <c r="AF484" s="1" t="str">
        <f t="shared" si="79"/>
        <v>127691</v>
      </c>
    </row>
    <row r="485" spans="1:32" x14ac:dyDescent="0.3">
      <c r="A485" s="1">
        <v>484</v>
      </c>
      <c r="B485" s="1" t="s">
        <v>1662</v>
      </c>
      <c r="C485" s="2">
        <v>41842</v>
      </c>
      <c r="D485" s="2">
        <v>41847</v>
      </c>
      <c r="E485" s="1" t="s">
        <v>48</v>
      </c>
      <c r="F485" s="1" t="s">
        <v>1663</v>
      </c>
      <c r="G485" s="1" t="s">
        <v>1664</v>
      </c>
      <c r="H485" s="1" t="s">
        <v>24</v>
      </c>
      <c r="I485" s="1" t="s">
        <v>25</v>
      </c>
      <c r="J485" s="1" t="s">
        <v>264</v>
      </c>
      <c r="K485" s="1" t="s">
        <v>265</v>
      </c>
      <c r="L485" s="1">
        <v>10024</v>
      </c>
      <c r="M485" s="1" t="s">
        <v>146</v>
      </c>
      <c r="N485" s="1" t="s">
        <v>1665</v>
      </c>
      <c r="O485" s="1" t="s">
        <v>69</v>
      </c>
      <c r="P485" s="1" t="s">
        <v>159</v>
      </c>
      <c r="Q485" s="1" t="s">
        <v>1666</v>
      </c>
      <c r="R485" s="1">
        <v>159.97999999999999</v>
      </c>
      <c r="S485" s="1">
        <v>2</v>
      </c>
      <c r="T485" s="3">
        <v>0</v>
      </c>
      <c r="U485" s="4">
        <v>57.592799999999997</v>
      </c>
      <c r="V485" s="1" t="str">
        <f t="shared" si="70"/>
        <v>Standard Class</v>
      </c>
      <c r="W485" s="1" t="str">
        <f t="shared" si="71"/>
        <v>Consumer</v>
      </c>
      <c r="X485" s="1" t="str">
        <f t="shared" si="72"/>
        <v>New York City - New York</v>
      </c>
      <c r="Y485" s="1" t="str">
        <f t="shared" si="73"/>
        <v>Accessories</v>
      </c>
      <c r="Z485" s="1">
        <f t="shared" si="74"/>
        <v>159.97999999999999</v>
      </c>
      <c r="AA485" s="1">
        <f t="shared" si="75"/>
        <v>159.97999999999999</v>
      </c>
      <c r="AB485" s="1">
        <f t="shared" si="76"/>
        <v>319.95999999999998</v>
      </c>
      <c r="AC485" s="4">
        <f t="shared" si="77"/>
        <v>319.95999999999998</v>
      </c>
      <c r="AD485" s="1" t="s">
        <v>2013</v>
      </c>
      <c r="AE485" s="1" t="str">
        <f t="shared" si="78"/>
        <v>2014</v>
      </c>
      <c r="AF485" s="1" t="str">
        <f t="shared" si="79"/>
        <v>127691</v>
      </c>
    </row>
    <row r="486" spans="1:32" x14ac:dyDescent="0.3">
      <c r="A486" s="1">
        <v>485</v>
      </c>
      <c r="B486" s="1" t="s">
        <v>1667</v>
      </c>
      <c r="C486" s="2">
        <v>42896</v>
      </c>
      <c r="D486" s="2">
        <v>42899</v>
      </c>
      <c r="E486" s="1" t="s">
        <v>186</v>
      </c>
      <c r="F486" s="1" t="s">
        <v>1668</v>
      </c>
      <c r="G486" s="1" t="s">
        <v>1669</v>
      </c>
      <c r="H486" s="1" t="s">
        <v>100</v>
      </c>
      <c r="I486" s="1" t="s">
        <v>25</v>
      </c>
      <c r="J486" s="1" t="s">
        <v>40</v>
      </c>
      <c r="K486" s="1" t="s">
        <v>41</v>
      </c>
      <c r="L486" s="1">
        <v>90045</v>
      </c>
      <c r="M486" s="1" t="s">
        <v>42</v>
      </c>
      <c r="N486" s="1" t="s">
        <v>1670</v>
      </c>
      <c r="O486" s="1" t="s">
        <v>44</v>
      </c>
      <c r="P486" s="1" t="s">
        <v>45</v>
      </c>
      <c r="Q486" s="1" t="s">
        <v>1671</v>
      </c>
      <c r="R486" s="1">
        <v>29.6</v>
      </c>
      <c r="S486" s="1">
        <v>2</v>
      </c>
      <c r="T486" s="3">
        <v>0</v>
      </c>
      <c r="U486" s="4">
        <v>14.8</v>
      </c>
      <c r="V486" s="1" t="str">
        <f t="shared" si="70"/>
        <v>First Class</v>
      </c>
      <c r="W486" s="1" t="str">
        <f t="shared" si="71"/>
        <v>Home Office</v>
      </c>
      <c r="X486" s="1" t="str">
        <f t="shared" si="72"/>
        <v>Los Angeles - California</v>
      </c>
      <c r="Y486" s="1" t="str">
        <f t="shared" si="73"/>
        <v>Labels</v>
      </c>
      <c r="Z486" s="1">
        <f t="shared" si="74"/>
        <v>29.6</v>
      </c>
      <c r="AA486" s="1">
        <f t="shared" si="75"/>
        <v>29.6</v>
      </c>
      <c r="AB486" s="1">
        <f t="shared" si="76"/>
        <v>59.2</v>
      </c>
      <c r="AC486" s="4">
        <f t="shared" si="77"/>
        <v>59.2</v>
      </c>
      <c r="AD486" s="1" t="s">
        <v>2013</v>
      </c>
      <c r="AE486" s="1" t="str">
        <f t="shared" si="78"/>
        <v>2017</v>
      </c>
      <c r="AF486" s="1" t="str">
        <f t="shared" si="79"/>
        <v>140963</v>
      </c>
    </row>
    <row r="487" spans="1:32" x14ac:dyDescent="0.3">
      <c r="A487" s="1">
        <v>486</v>
      </c>
      <c r="B487" s="1" t="s">
        <v>1667</v>
      </c>
      <c r="C487" s="2">
        <v>42896</v>
      </c>
      <c r="D487" s="2">
        <v>42899</v>
      </c>
      <c r="E487" s="1" t="s">
        <v>186</v>
      </c>
      <c r="F487" s="1" t="s">
        <v>1668</v>
      </c>
      <c r="G487" s="1" t="s">
        <v>1669</v>
      </c>
      <c r="H487" s="1" t="s">
        <v>100</v>
      </c>
      <c r="I487" s="1" t="s">
        <v>25</v>
      </c>
      <c r="J487" s="1" t="s">
        <v>40</v>
      </c>
      <c r="K487" s="1" t="s">
        <v>41</v>
      </c>
      <c r="L487" s="1">
        <v>90045</v>
      </c>
      <c r="M487" s="1" t="s">
        <v>42</v>
      </c>
      <c r="N487" s="1" t="s">
        <v>1672</v>
      </c>
      <c r="O487" s="1" t="s">
        <v>30</v>
      </c>
      <c r="P487" s="1" t="s">
        <v>31</v>
      </c>
      <c r="Q487" s="1" t="s">
        <v>1673</v>
      </c>
      <c r="R487" s="1">
        <v>514.16499999999996</v>
      </c>
      <c r="S487" s="1">
        <v>5</v>
      </c>
      <c r="T487" s="3">
        <v>0.15</v>
      </c>
      <c r="U487" s="4">
        <v>-30.245000000000001</v>
      </c>
      <c r="V487" s="1" t="str">
        <f t="shared" si="70"/>
        <v>First Class</v>
      </c>
      <c r="W487" s="1" t="str">
        <f t="shared" si="71"/>
        <v>Home Office</v>
      </c>
      <c r="X487" s="1" t="str">
        <f t="shared" si="72"/>
        <v>Los Angeles - California</v>
      </c>
      <c r="Y487" s="1" t="str">
        <f t="shared" si="73"/>
        <v>Bookcases</v>
      </c>
      <c r="Z487" s="1">
        <f t="shared" si="74"/>
        <v>514.16499999999996</v>
      </c>
      <c r="AA487" s="1">
        <f t="shared" si="75"/>
        <v>514.16499999999996</v>
      </c>
      <c r="AB487" s="1">
        <f t="shared" si="76"/>
        <v>2570.8249999999998</v>
      </c>
      <c r="AC487" s="4">
        <f t="shared" si="77"/>
        <v>2185.2012499999996</v>
      </c>
      <c r="AD487" s="1" t="s">
        <v>2013</v>
      </c>
      <c r="AE487" s="1" t="str">
        <f t="shared" si="78"/>
        <v>2017</v>
      </c>
      <c r="AF487" s="1" t="str">
        <f t="shared" si="79"/>
        <v>140963</v>
      </c>
    </row>
    <row r="488" spans="1:32" x14ac:dyDescent="0.3">
      <c r="A488" s="1">
        <v>487</v>
      </c>
      <c r="B488" s="1" t="s">
        <v>1667</v>
      </c>
      <c r="C488" s="2">
        <v>42896</v>
      </c>
      <c r="D488" s="2">
        <v>42899</v>
      </c>
      <c r="E488" s="1" t="s">
        <v>186</v>
      </c>
      <c r="F488" s="1" t="s">
        <v>1668</v>
      </c>
      <c r="G488" s="1" t="s">
        <v>1669</v>
      </c>
      <c r="H488" s="1" t="s">
        <v>100</v>
      </c>
      <c r="I488" s="1" t="s">
        <v>25</v>
      </c>
      <c r="J488" s="1" t="s">
        <v>40</v>
      </c>
      <c r="K488" s="1" t="s">
        <v>41</v>
      </c>
      <c r="L488" s="1">
        <v>90045</v>
      </c>
      <c r="M488" s="1" t="s">
        <v>42</v>
      </c>
      <c r="N488" s="1" t="s">
        <v>1674</v>
      </c>
      <c r="O488" s="1" t="s">
        <v>69</v>
      </c>
      <c r="P488" s="1" t="s">
        <v>70</v>
      </c>
      <c r="Q488" s="1" t="s">
        <v>1675</v>
      </c>
      <c r="R488" s="1">
        <v>279.95999999999998</v>
      </c>
      <c r="S488" s="1">
        <v>5</v>
      </c>
      <c r="T488" s="3">
        <v>0.2</v>
      </c>
      <c r="U488" s="4">
        <v>17.497499999999999</v>
      </c>
      <c r="V488" s="1" t="str">
        <f t="shared" si="70"/>
        <v>First Class</v>
      </c>
      <c r="W488" s="1" t="str">
        <f t="shared" si="71"/>
        <v>Home Office</v>
      </c>
      <c r="X488" s="1" t="str">
        <f t="shared" si="72"/>
        <v>Los Angeles - California</v>
      </c>
      <c r="Y488" s="1" t="str">
        <f t="shared" si="73"/>
        <v>Phones</v>
      </c>
      <c r="Z488" s="1">
        <f t="shared" si="74"/>
        <v>279.95999999999998</v>
      </c>
      <c r="AA488" s="1">
        <f t="shared" si="75"/>
        <v>279.95999999999998</v>
      </c>
      <c r="AB488" s="1">
        <f t="shared" si="76"/>
        <v>1399.8</v>
      </c>
      <c r="AC488" s="4">
        <f t="shared" si="77"/>
        <v>1119.8399999999999</v>
      </c>
      <c r="AD488" s="1" t="s">
        <v>2013</v>
      </c>
      <c r="AE488" s="1" t="str">
        <f t="shared" si="78"/>
        <v>2017</v>
      </c>
      <c r="AF488" s="1" t="str">
        <f t="shared" si="79"/>
        <v>140963</v>
      </c>
    </row>
    <row r="489" spans="1:32" x14ac:dyDescent="0.3">
      <c r="A489" s="1">
        <v>488</v>
      </c>
      <c r="B489" s="1" t="s">
        <v>1676</v>
      </c>
      <c r="C489" s="2">
        <v>41941</v>
      </c>
      <c r="D489" s="2">
        <v>41943</v>
      </c>
      <c r="E489" s="1" t="s">
        <v>186</v>
      </c>
      <c r="F489" s="1" t="s">
        <v>1677</v>
      </c>
      <c r="G489" s="1" t="s">
        <v>1678</v>
      </c>
      <c r="H489" s="1" t="s">
        <v>24</v>
      </c>
      <c r="I489" s="1" t="s">
        <v>25</v>
      </c>
      <c r="J489" s="1" t="s">
        <v>301</v>
      </c>
      <c r="K489" s="1" t="s">
        <v>209</v>
      </c>
      <c r="L489" s="1">
        <v>60610</v>
      </c>
      <c r="M489" s="1" t="s">
        <v>103</v>
      </c>
      <c r="N489" s="1" t="s">
        <v>1679</v>
      </c>
      <c r="O489" s="1" t="s">
        <v>69</v>
      </c>
      <c r="P489" s="1" t="s">
        <v>70</v>
      </c>
      <c r="Q489" s="1" t="s">
        <v>1680</v>
      </c>
      <c r="R489" s="1">
        <v>2735.9520000000002</v>
      </c>
      <c r="S489" s="1">
        <v>6</v>
      </c>
      <c r="T489" s="3">
        <v>0.2</v>
      </c>
      <c r="U489" s="4">
        <v>341.99400000000003</v>
      </c>
      <c r="V489" s="1" t="str">
        <f t="shared" si="70"/>
        <v>First Class</v>
      </c>
      <c r="W489" s="1" t="str">
        <f t="shared" si="71"/>
        <v>Consumer</v>
      </c>
      <c r="X489" s="1" t="str">
        <f t="shared" si="72"/>
        <v>Chicago - Illinois</v>
      </c>
      <c r="Y489" s="1" t="str">
        <f t="shared" si="73"/>
        <v>Phones</v>
      </c>
      <c r="Z489" s="1">
        <f t="shared" si="74"/>
        <v>2735.9520000000002</v>
      </c>
      <c r="AA489" s="1">
        <f t="shared" si="75"/>
        <v>2735.9520000000002</v>
      </c>
      <c r="AB489" s="1">
        <f t="shared" si="76"/>
        <v>16415.712</v>
      </c>
      <c r="AC489" s="4">
        <f t="shared" si="77"/>
        <v>13132.569600000001</v>
      </c>
      <c r="AD489" s="1" t="s">
        <v>2013</v>
      </c>
      <c r="AE489" s="1" t="str">
        <f t="shared" si="78"/>
        <v>2014</v>
      </c>
      <c r="AF489" s="1" t="str">
        <f t="shared" si="79"/>
        <v>154627</v>
      </c>
    </row>
    <row r="490" spans="1:32" x14ac:dyDescent="0.3">
      <c r="A490" s="1">
        <v>489</v>
      </c>
      <c r="B490" s="1" t="s">
        <v>1681</v>
      </c>
      <c r="C490" s="2">
        <v>41799</v>
      </c>
      <c r="D490" s="2">
        <v>41803</v>
      </c>
      <c r="E490" s="1" t="s">
        <v>21</v>
      </c>
      <c r="F490" s="1" t="s">
        <v>1682</v>
      </c>
      <c r="G490" s="1" t="s">
        <v>1683</v>
      </c>
      <c r="H490" s="1" t="s">
        <v>100</v>
      </c>
      <c r="I490" s="1" t="s">
        <v>25</v>
      </c>
      <c r="J490" s="1" t="s">
        <v>1684</v>
      </c>
      <c r="K490" s="1" t="s">
        <v>102</v>
      </c>
      <c r="L490" s="1">
        <v>77340</v>
      </c>
      <c r="M490" s="1" t="s">
        <v>103</v>
      </c>
      <c r="N490" s="1" t="s">
        <v>1685</v>
      </c>
      <c r="O490" s="1" t="s">
        <v>69</v>
      </c>
      <c r="P490" s="1" t="s">
        <v>70</v>
      </c>
      <c r="Q490" s="1" t="s">
        <v>1686</v>
      </c>
      <c r="R490" s="1">
        <v>7.992</v>
      </c>
      <c r="S490" s="1">
        <v>1</v>
      </c>
      <c r="T490" s="3">
        <v>0.2</v>
      </c>
      <c r="U490" s="4">
        <v>0.59940000000000004</v>
      </c>
      <c r="V490" s="1" t="str">
        <f t="shared" si="70"/>
        <v>Second Class</v>
      </c>
      <c r="W490" s="1" t="str">
        <f t="shared" si="71"/>
        <v>Home Office</v>
      </c>
      <c r="X490" s="1" t="str">
        <f t="shared" si="72"/>
        <v>Huntsville - Texas</v>
      </c>
      <c r="Y490" s="1" t="str">
        <f t="shared" si="73"/>
        <v>Phones</v>
      </c>
      <c r="Z490" s="1">
        <f t="shared" si="74"/>
        <v>7.992</v>
      </c>
      <c r="AA490" s="1">
        <f t="shared" si="75"/>
        <v>7.992</v>
      </c>
      <c r="AB490" s="1">
        <f t="shared" si="76"/>
        <v>7.992</v>
      </c>
      <c r="AC490" s="4">
        <f t="shared" si="77"/>
        <v>6.3936000000000002</v>
      </c>
      <c r="AD490" s="1" t="s">
        <v>2013</v>
      </c>
      <c r="AE490" s="1" t="str">
        <f t="shared" si="78"/>
        <v>2014</v>
      </c>
      <c r="AF490" s="1" t="str">
        <f t="shared" si="79"/>
        <v>133753</v>
      </c>
    </row>
    <row r="491" spans="1:32" x14ac:dyDescent="0.3">
      <c r="A491" s="1">
        <v>490</v>
      </c>
      <c r="B491" s="1" t="s">
        <v>1681</v>
      </c>
      <c r="C491" s="2">
        <v>41799</v>
      </c>
      <c r="D491" s="2">
        <v>41803</v>
      </c>
      <c r="E491" s="1" t="s">
        <v>21</v>
      </c>
      <c r="F491" s="1" t="s">
        <v>1682</v>
      </c>
      <c r="G491" s="1" t="s">
        <v>1683</v>
      </c>
      <c r="H491" s="1" t="s">
        <v>100</v>
      </c>
      <c r="I491" s="1" t="s">
        <v>25</v>
      </c>
      <c r="J491" s="1" t="s">
        <v>1684</v>
      </c>
      <c r="K491" s="1" t="s">
        <v>102</v>
      </c>
      <c r="L491" s="1">
        <v>77340</v>
      </c>
      <c r="M491" s="1" t="s">
        <v>103</v>
      </c>
      <c r="N491" s="1" t="s">
        <v>1687</v>
      </c>
      <c r="O491" s="1" t="s">
        <v>69</v>
      </c>
      <c r="P491" s="1" t="s">
        <v>159</v>
      </c>
      <c r="Q491" s="1" t="s">
        <v>1688</v>
      </c>
      <c r="R491" s="1">
        <v>63.984000000000002</v>
      </c>
      <c r="S491" s="1">
        <v>2</v>
      </c>
      <c r="T491" s="3">
        <v>0.2</v>
      </c>
      <c r="U491" s="4">
        <v>10.397399999999999</v>
      </c>
      <c r="V491" s="1" t="str">
        <f t="shared" si="70"/>
        <v>Second Class</v>
      </c>
      <c r="W491" s="1" t="str">
        <f t="shared" si="71"/>
        <v>Home Office</v>
      </c>
      <c r="X491" s="1" t="str">
        <f t="shared" si="72"/>
        <v>Huntsville - Texas</v>
      </c>
      <c r="Y491" s="1" t="str">
        <f t="shared" si="73"/>
        <v>Accessories</v>
      </c>
      <c r="Z491" s="1">
        <f t="shared" si="74"/>
        <v>63.984000000000002</v>
      </c>
      <c r="AA491" s="1">
        <f t="shared" si="75"/>
        <v>63.984000000000002</v>
      </c>
      <c r="AB491" s="1">
        <f t="shared" si="76"/>
        <v>127.968</v>
      </c>
      <c r="AC491" s="4">
        <f t="shared" si="77"/>
        <v>102.37440000000001</v>
      </c>
      <c r="AD491" s="1" t="s">
        <v>2013</v>
      </c>
      <c r="AE491" s="1" t="str">
        <f t="shared" si="78"/>
        <v>2014</v>
      </c>
      <c r="AF491" s="1" t="str">
        <f t="shared" si="79"/>
        <v>133753</v>
      </c>
    </row>
    <row r="492" spans="1:32" x14ac:dyDescent="0.3">
      <c r="A492" s="1">
        <v>491</v>
      </c>
      <c r="B492" s="1" t="s">
        <v>1681</v>
      </c>
      <c r="C492" s="2">
        <v>41799</v>
      </c>
      <c r="D492" s="2">
        <v>41803</v>
      </c>
      <c r="E492" s="1" t="s">
        <v>21</v>
      </c>
      <c r="F492" s="1" t="s">
        <v>1682</v>
      </c>
      <c r="G492" s="1" t="s">
        <v>1683</v>
      </c>
      <c r="H492" s="1" t="s">
        <v>100</v>
      </c>
      <c r="I492" s="1" t="s">
        <v>25</v>
      </c>
      <c r="J492" s="1" t="s">
        <v>1684</v>
      </c>
      <c r="K492" s="1" t="s">
        <v>102</v>
      </c>
      <c r="L492" s="1">
        <v>77340</v>
      </c>
      <c r="M492" s="1" t="s">
        <v>103</v>
      </c>
      <c r="N492" s="1" t="s">
        <v>1568</v>
      </c>
      <c r="O492" s="1" t="s">
        <v>44</v>
      </c>
      <c r="P492" s="1" t="s">
        <v>66</v>
      </c>
      <c r="Q492" s="1" t="s">
        <v>1569</v>
      </c>
      <c r="R492" s="1">
        <v>70.367999999999995</v>
      </c>
      <c r="S492" s="1">
        <v>2</v>
      </c>
      <c r="T492" s="3">
        <v>0.2</v>
      </c>
      <c r="U492" s="4">
        <v>6.1571999999999996</v>
      </c>
      <c r="V492" s="1" t="str">
        <f t="shared" si="70"/>
        <v>Second Class</v>
      </c>
      <c r="W492" s="1" t="str">
        <f t="shared" si="71"/>
        <v>Home Office</v>
      </c>
      <c r="X492" s="1" t="str">
        <f t="shared" si="72"/>
        <v>Huntsville - Texas</v>
      </c>
      <c r="Y492" s="1" t="str">
        <f t="shared" si="73"/>
        <v>Art</v>
      </c>
      <c r="Z492" s="1">
        <f t="shared" si="74"/>
        <v>70.367999999999995</v>
      </c>
      <c r="AA492" s="1">
        <f t="shared" si="75"/>
        <v>70.367999999999995</v>
      </c>
      <c r="AB492" s="1">
        <f t="shared" si="76"/>
        <v>140.73599999999999</v>
      </c>
      <c r="AC492" s="4">
        <f t="shared" si="77"/>
        <v>112.58879999999999</v>
      </c>
      <c r="AD492" s="1" t="s">
        <v>2013</v>
      </c>
      <c r="AE492" s="1" t="str">
        <f t="shared" si="78"/>
        <v>2014</v>
      </c>
      <c r="AF492" s="1" t="str">
        <f t="shared" si="79"/>
        <v>133753</v>
      </c>
    </row>
    <row r="493" spans="1:32" x14ac:dyDescent="0.3">
      <c r="A493" s="1">
        <v>492</v>
      </c>
      <c r="B493" s="1" t="s">
        <v>1689</v>
      </c>
      <c r="C493" s="2">
        <v>41896</v>
      </c>
      <c r="D493" s="2">
        <v>41901</v>
      </c>
      <c r="E493" s="1" t="s">
        <v>48</v>
      </c>
      <c r="F493" s="1" t="s">
        <v>1690</v>
      </c>
      <c r="G493" s="1" t="s">
        <v>1691</v>
      </c>
      <c r="H493" s="1" t="s">
        <v>24</v>
      </c>
      <c r="I493" s="1" t="s">
        <v>25</v>
      </c>
      <c r="J493" s="1" t="s">
        <v>387</v>
      </c>
      <c r="K493" s="1" t="s">
        <v>265</v>
      </c>
      <c r="L493" s="1">
        <v>14609</v>
      </c>
      <c r="M493" s="1" t="s">
        <v>146</v>
      </c>
      <c r="N493" s="1" t="s">
        <v>1692</v>
      </c>
      <c r="O493" s="1" t="s">
        <v>44</v>
      </c>
      <c r="P493" s="1" t="s">
        <v>57</v>
      </c>
      <c r="Q493" s="1" t="s">
        <v>1693</v>
      </c>
      <c r="R493" s="1">
        <v>449.15</v>
      </c>
      <c r="S493" s="1">
        <v>5</v>
      </c>
      <c r="T493" s="3">
        <v>0</v>
      </c>
      <c r="U493" s="4">
        <v>8.9830000000000005</v>
      </c>
      <c r="V493" s="1" t="str">
        <f t="shared" si="70"/>
        <v>Standard Class</v>
      </c>
      <c r="W493" s="1" t="str">
        <f t="shared" si="71"/>
        <v>Consumer</v>
      </c>
      <c r="X493" s="1" t="str">
        <f t="shared" si="72"/>
        <v>Rochester - New York</v>
      </c>
      <c r="Y493" s="1" t="str">
        <f t="shared" si="73"/>
        <v>Storage</v>
      </c>
      <c r="Z493" s="1">
        <f t="shared" si="74"/>
        <v>449.15</v>
      </c>
      <c r="AA493" s="1">
        <f t="shared" si="75"/>
        <v>449.15</v>
      </c>
      <c r="AB493" s="1">
        <f t="shared" si="76"/>
        <v>2245.75</v>
      </c>
      <c r="AC493" s="4">
        <f t="shared" si="77"/>
        <v>2245.75</v>
      </c>
      <c r="AD493" s="1" t="s">
        <v>2013</v>
      </c>
      <c r="AE493" s="1" t="str">
        <f t="shared" si="78"/>
        <v>2014</v>
      </c>
      <c r="AF493" s="1" t="str">
        <f t="shared" si="79"/>
        <v>113362</v>
      </c>
    </row>
    <row r="494" spans="1:32" x14ac:dyDescent="0.3">
      <c r="A494" s="1">
        <v>493</v>
      </c>
      <c r="B494" s="1" t="s">
        <v>1689</v>
      </c>
      <c r="C494" s="2">
        <v>41896</v>
      </c>
      <c r="D494" s="2">
        <v>41901</v>
      </c>
      <c r="E494" s="1" t="s">
        <v>48</v>
      </c>
      <c r="F494" s="1" t="s">
        <v>1690</v>
      </c>
      <c r="G494" s="1" t="s">
        <v>1691</v>
      </c>
      <c r="H494" s="1" t="s">
        <v>24</v>
      </c>
      <c r="I494" s="1" t="s">
        <v>25</v>
      </c>
      <c r="J494" s="1" t="s">
        <v>387</v>
      </c>
      <c r="K494" s="1" t="s">
        <v>265</v>
      </c>
      <c r="L494" s="1">
        <v>14609</v>
      </c>
      <c r="M494" s="1" t="s">
        <v>146</v>
      </c>
      <c r="N494" s="1" t="s">
        <v>1694</v>
      </c>
      <c r="O494" s="1" t="s">
        <v>44</v>
      </c>
      <c r="P494" s="1" t="s">
        <v>171</v>
      </c>
      <c r="Q494" s="1" t="s">
        <v>1695</v>
      </c>
      <c r="R494" s="1">
        <v>11.07</v>
      </c>
      <c r="S494" s="1">
        <v>3</v>
      </c>
      <c r="T494" s="3">
        <v>0</v>
      </c>
      <c r="U494" s="4">
        <v>5.0922000000000001</v>
      </c>
      <c r="V494" s="1" t="str">
        <f t="shared" si="70"/>
        <v>Standard Class</v>
      </c>
      <c r="W494" s="1" t="str">
        <f t="shared" si="71"/>
        <v>Consumer</v>
      </c>
      <c r="X494" s="1" t="str">
        <f t="shared" si="72"/>
        <v>Rochester - New York</v>
      </c>
      <c r="Y494" s="1" t="str">
        <f t="shared" si="73"/>
        <v>Envelopes</v>
      </c>
      <c r="Z494" s="1">
        <f t="shared" si="74"/>
        <v>11.07</v>
      </c>
      <c r="AA494" s="1">
        <f t="shared" si="75"/>
        <v>11.07</v>
      </c>
      <c r="AB494" s="1">
        <f t="shared" si="76"/>
        <v>33.21</v>
      </c>
      <c r="AC494" s="4">
        <f t="shared" si="77"/>
        <v>33.21</v>
      </c>
      <c r="AD494" s="1" t="s">
        <v>2013</v>
      </c>
      <c r="AE494" s="1" t="str">
        <f t="shared" si="78"/>
        <v>2014</v>
      </c>
      <c r="AF494" s="1" t="str">
        <f t="shared" si="79"/>
        <v>113362</v>
      </c>
    </row>
    <row r="495" spans="1:32" x14ac:dyDescent="0.3">
      <c r="A495" s="1">
        <v>494</v>
      </c>
      <c r="B495" s="1" t="s">
        <v>1696</v>
      </c>
      <c r="C495" s="2">
        <v>42499</v>
      </c>
      <c r="D495" s="2">
        <v>42504</v>
      </c>
      <c r="E495" s="1" t="s">
        <v>48</v>
      </c>
      <c r="F495" s="1" t="s">
        <v>1697</v>
      </c>
      <c r="G495" s="1" t="s">
        <v>1698</v>
      </c>
      <c r="H495" s="1" t="s">
        <v>24</v>
      </c>
      <c r="I495" s="1" t="s">
        <v>25</v>
      </c>
      <c r="J495" s="1" t="s">
        <v>93</v>
      </c>
      <c r="K495" s="1" t="s">
        <v>94</v>
      </c>
      <c r="L495" s="1">
        <v>98115</v>
      </c>
      <c r="M495" s="1" t="s">
        <v>42</v>
      </c>
      <c r="N495" s="1" t="s">
        <v>1699</v>
      </c>
      <c r="O495" s="1" t="s">
        <v>69</v>
      </c>
      <c r="P495" s="1" t="s">
        <v>159</v>
      </c>
      <c r="Q495" s="1" t="s">
        <v>1700</v>
      </c>
      <c r="R495" s="1">
        <v>93.98</v>
      </c>
      <c r="S495" s="1">
        <v>2</v>
      </c>
      <c r="T495" s="3">
        <v>0</v>
      </c>
      <c r="U495" s="4">
        <v>13.1572</v>
      </c>
      <c r="V495" s="1" t="str">
        <f t="shared" si="70"/>
        <v>Standard Class</v>
      </c>
      <c r="W495" s="1" t="str">
        <f t="shared" si="71"/>
        <v>Consumer</v>
      </c>
      <c r="X495" s="1" t="str">
        <f t="shared" si="72"/>
        <v>Seattle - Washington</v>
      </c>
      <c r="Y495" s="1" t="str">
        <f t="shared" si="73"/>
        <v>Accessories</v>
      </c>
      <c r="Z495" s="1">
        <f t="shared" si="74"/>
        <v>93.98</v>
      </c>
      <c r="AA495" s="1">
        <f t="shared" si="75"/>
        <v>93.98</v>
      </c>
      <c r="AB495" s="1">
        <f t="shared" si="76"/>
        <v>187.96</v>
      </c>
      <c r="AC495" s="4">
        <f t="shared" si="77"/>
        <v>187.96</v>
      </c>
      <c r="AD495" s="1" t="s">
        <v>2013</v>
      </c>
      <c r="AE495" s="1" t="str">
        <f t="shared" si="78"/>
        <v>2016</v>
      </c>
      <c r="AF495" s="1" t="str">
        <f t="shared" si="79"/>
        <v>169166</v>
      </c>
    </row>
    <row r="496" spans="1:32" x14ac:dyDescent="0.3">
      <c r="A496" s="1">
        <v>495</v>
      </c>
      <c r="B496" s="1" t="s">
        <v>1701</v>
      </c>
      <c r="C496" s="2">
        <v>42447</v>
      </c>
      <c r="D496" s="2">
        <v>42450</v>
      </c>
      <c r="E496" s="1" t="s">
        <v>21</v>
      </c>
      <c r="F496" s="1" t="s">
        <v>1702</v>
      </c>
      <c r="G496" s="1" t="s">
        <v>1703</v>
      </c>
      <c r="H496" s="1" t="s">
        <v>24</v>
      </c>
      <c r="I496" s="1" t="s">
        <v>25</v>
      </c>
      <c r="J496" s="1" t="s">
        <v>332</v>
      </c>
      <c r="K496" s="1" t="s">
        <v>333</v>
      </c>
      <c r="L496" s="1">
        <v>38109</v>
      </c>
      <c r="M496" s="1" t="s">
        <v>28</v>
      </c>
      <c r="N496" s="1" t="s">
        <v>1704</v>
      </c>
      <c r="O496" s="1" t="s">
        <v>30</v>
      </c>
      <c r="P496" s="1" t="s">
        <v>54</v>
      </c>
      <c r="Q496" s="1" t="s">
        <v>1705</v>
      </c>
      <c r="R496" s="1">
        <v>189.88200000000001</v>
      </c>
      <c r="S496" s="1">
        <v>3</v>
      </c>
      <c r="T496" s="3">
        <v>0.4</v>
      </c>
      <c r="U496" s="4">
        <v>-94.941000000000003</v>
      </c>
      <c r="V496" s="1" t="str">
        <f t="shared" si="70"/>
        <v>Second Class</v>
      </c>
      <c r="W496" s="1" t="str">
        <f t="shared" si="71"/>
        <v>Consumer</v>
      </c>
      <c r="X496" s="1" t="str">
        <f t="shared" si="72"/>
        <v>Memphis - Tennessee</v>
      </c>
      <c r="Y496" s="1" t="str">
        <f t="shared" si="73"/>
        <v>Tables</v>
      </c>
      <c r="Z496" s="1">
        <f t="shared" si="74"/>
        <v>189.88200000000001</v>
      </c>
      <c r="AA496" s="1">
        <f t="shared" si="75"/>
        <v>189.88200000000001</v>
      </c>
      <c r="AB496" s="1">
        <f t="shared" si="76"/>
        <v>569.64599999999996</v>
      </c>
      <c r="AC496" s="4">
        <f t="shared" si="77"/>
        <v>341.78759999999994</v>
      </c>
      <c r="AD496" s="1" t="s">
        <v>2014</v>
      </c>
      <c r="AE496" s="1" t="str">
        <f t="shared" si="78"/>
        <v>2016</v>
      </c>
      <c r="AF496" s="1" t="str">
        <f t="shared" si="79"/>
        <v>120929</v>
      </c>
    </row>
    <row r="497" spans="1:32" x14ac:dyDescent="0.3">
      <c r="A497" s="1">
        <v>496</v>
      </c>
      <c r="B497" s="1" t="s">
        <v>1706</v>
      </c>
      <c r="C497" s="2">
        <v>42365</v>
      </c>
      <c r="D497" s="2">
        <v>42369</v>
      </c>
      <c r="E497" s="1" t="s">
        <v>48</v>
      </c>
      <c r="F497" s="1" t="s">
        <v>1707</v>
      </c>
      <c r="G497" s="1" t="s">
        <v>1708</v>
      </c>
      <c r="H497" s="1" t="s">
        <v>24</v>
      </c>
      <c r="I497" s="1" t="s">
        <v>25</v>
      </c>
      <c r="J497" s="1" t="s">
        <v>1709</v>
      </c>
      <c r="K497" s="1" t="s">
        <v>1710</v>
      </c>
      <c r="L497" s="1">
        <v>72701</v>
      </c>
      <c r="M497" s="1" t="s">
        <v>28</v>
      </c>
      <c r="N497" s="1" t="s">
        <v>1711</v>
      </c>
      <c r="O497" s="1" t="s">
        <v>44</v>
      </c>
      <c r="P497" s="1" t="s">
        <v>171</v>
      </c>
      <c r="Q497" s="1" t="s">
        <v>1712</v>
      </c>
      <c r="R497" s="1">
        <v>105.42</v>
      </c>
      <c r="S497" s="1">
        <v>2</v>
      </c>
      <c r="T497" s="3">
        <v>0</v>
      </c>
      <c r="U497" s="4">
        <v>51.655799999999999</v>
      </c>
      <c r="V497" s="1" t="str">
        <f t="shared" si="70"/>
        <v>Standard Class</v>
      </c>
      <c r="W497" s="1" t="str">
        <f t="shared" si="71"/>
        <v>Consumer</v>
      </c>
      <c r="X497" s="1" t="str">
        <f t="shared" si="72"/>
        <v>Fayetteville - Arkansas</v>
      </c>
      <c r="Y497" s="1" t="str">
        <f t="shared" si="73"/>
        <v>Envelopes</v>
      </c>
      <c r="Z497" s="1">
        <f t="shared" si="74"/>
        <v>105.42</v>
      </c>
      <c r="AA497" s="1">
        <f t="shared" si="75"/>
        <v>105.42</v>
      </c>
      <c r="AB497" s="1">
        <f t="shared" si="76"/>
        <v>210.84</v>
      </c>
      <c r="AC497" s="4">
        <f t="shared" si="77"/>
        <v>210.84</v>
      </c>
      <c r="AD497" s="1" t="s">
        <v>2013</v>
      </c>
      <c r="AE497" s="1" t="str">
        <f t="shared" si="78"/>
        <v>2015</v>
      </c>
      <c r="AF497" s="1" t="str">
        <f t="shared" si="79"/>
        <v>134782</v>
      </c>
    </row>
    <row r="498" spans="1:32" x14ac:dyDescent="0.3">
      <c r="A498" s="1">
        <v>497</v>
      </c>
      <c r="B498" s="1" t="s">
        <v>1713</v>
      </c>
      <c r="C498" s="2">
        <v>42576</v>
      </c>
      <c r="D498" s="2">
        <v>42582</v>
      </c>
      <c r="E498" s="1" t="s">
        <v>48</v>
      </c>
      <c r="F498" s="1" t="s">
        <v>1586</v>
      </c>
      <c r="G498" s="1" t="s">
        <v>1587</v>
      </c>
      <c r="H498" s="1" t="s">
        <v>24</v>
      </c>
      <c r="I498" s="1" t="s">
        <v>25</v>
      </c>
      <c r="J498" s="1" t="s">
        <v>1714</v>
      </c>
      <c r="K498" s="1" t="s">
        <v>41</v>
      </c>
      <c r="L498" s="1">
        <v>92627</v>
      </c>
      <c r="M498" s="1" t="s">
        <v>42</v>
      </c>
      <c r="N498" s="1" t="s">
        <v>1715</v>
      </c>
      <c r="O498" s="1" t="s">
        <v>44</v>
      </c>
      <c r="P498" s="1" t="s">
        <v>73</v>
      </c>
      <c r="Q498" s="1" t="s">
        <v>1716</v>
      </c>
      <c r="R498" s="1">
        <v>119.616</v>
      </c>
      <c r="S498" s="1">
        <v>8</v>
      </c>
      <c r="T498" s="3">
        <v>0.2</v>
      </c>
      <c r="U498" s="4">
        <v>40.370399999999997</v>
      </c>
      <c r="V498" s="1" t="str">
        <f t="shared" si="70"/>
        <v>Standard Class</v>
      </c>
      <c r="W498" s="1" t="str">
        <f t="shared" si="71"/>
        <v>Consumer</v>
      </c>
      <c r="X498" s="1" t="str">
        <f t="shared" si="72"/>
        <v>Costa Mesa - California</v>
      </c>
      <c r="Y498" s="1" t="str">
        <f t="shared" si="73"/>
        <v>Binders</v>
      </c>
      <c r="Z498" s="1">
        <f t="shared" si="74"/>
        <v>119.616</v>
      </c>
      <c r="AA498" s="1">
        <f t="shared" si="75"/>
        <v>119.616</v>
      </c>
      <c r="AB498" s="1">
        <f t="shared" si="76"/>
        <v>956.928</v>
      </c>
      <c r="AC498" s="4">
        <f t="shared" si="77"/>
        <v>765.54240000000004</v>
      </c>
      <c r="AD498" s="1" t="s">
        <v>2013</v>
      </c>
      <c r="AE498" s="1" t="str">
        <f t="shared" si="78"/>
        <v>2016</v>
      </c>
      <c r="AF498" s="1" t="str">
        <f t="shared" si="79"/>
        <v>126158</v>
      </c>
    </row>
    <row r="499" spans="1:32" x14ac:dyDescent="0.3">
      <c r="A499" s="1">
        <v>498</v>
      </c>
      <c r="B499" s="1" t="s">
        <v>1713</v>
      </c>
      <c r="C499" s="2">
        <v>42576</v>
      </c>
      <c r="D499" s="2">
        <v>42582</v>
      </c>
      <c r="E499" s="1" t="s">
        <v>48</v>
      </c>
      <c r="F499" s="1" t="s">
        <v>1586</v>
      </c>
      <c r="G499" s="1" t="s">
        <v>1587</v>
      </c>
      <c r="H499" s="1" t="s">
        <v>24</v>
      </c>
      <c r="I499" s="1" t="s">
        <v>25</v>
      </c>
      <c r="J499" s="1" t="s">
        <v>1714</v>
      </c>
      <c r="K499" s="1" t="s">
        <v>41</v>
      </c>
      <c r="L499" s="1">
        <v>92627</v>
      </c>
      <c r="M499" s="1" t="s">
        <v>42</v>
      </c>
      <c r="N499" s="1" t="s">
        <v>1717</v>
      </c>
      <c r="O499" s="1" t="s">
        <v>30</v>
      </c>
      <c r="P499" s="1" t="s">
        <v>63</v>
      </c>
      <c r="Q499" s="1" t="s">
        <v>1718</v>
      </c>
      <c r="R499" s="1">
        <v>255.76</v>
      </c>
      <c r="S499" s="1">
        <v>4</v>
      </c>
      <c r="T499" s="3">
        <v>0</v>
      </c>
      <c r="U499" s="4">
        <v>81.843199999999996</v>
      </c>
      <c r="V499" s="1" t="str">
        <f t="shared" si="70"/>
        <v>Standard Class</v>
      </c>
      <c r="W499" s="1" t="str">
        <f t="shared" si="71"/>
        <v>Consumer</v>
      </c>
      <c r="X499" s="1" t="str">
        <f t="shared" si="72"/>
        <v>Costa Mesa - California</v>
      </c>
      <c r="Y499" s="1" t="str">
        <f t="shared" si="73"/>
        <v>Furnishings</v>
      </c>
      <c r="Z499" s="1">
        <f t="shared" si="74"/>
        <v>255.76</v>
      </c>
      <c r="AA499" s="1">
        <f t="shared" si="75"/>
        <v>255.76</v>
      </c>
      <c r="AB499" s="1">
        <f t="shared" si="76"/>
        <v>1023.04</v>
      </c>
      <c r="AC499" s="4">
        <f t="shared" si="77"/>
        <v>1023.04</v>
      </c>
      <c r="AD499" s="1" t="s">
        <v>2013</v>
      </c>
      <c r="AE499" s="1" t="str">
        <f t="shared" si="78"/>
        <v>2016</v>
      </c>
      <c r="AF499" s="1" t="str">
        <f t="shared" si="79"/>
        <v>126158</v>
      </c>
    </row>
    <row r="500" spans="1:32" x14ac:dyDescent="0.3">
      <c r="A500" s="1">
        <v>499</v>
      </c>
      <c r="B500" s="1" t="s">
        <v>1713</v>
      </c>
      <c r="C500" s="2">
        <v>42576</v>
      </c>
      <c r="D500" s="2">
        <v>42582</v>
      </c>
      <c r="E500" s="1" t="s">
        <v>48</v>
      </c>
      <c r="F500" s="1" t="s">
        <v>1586</v>
      </c>
      <c r="G500" s="1" t="s">
        <v>1587</v>
      </c>
      <c r="H500" s="1" t="s">
        <v>24</v>
      </c>
      <c r="I500" s="1" t="s">
        <v>25</v>
      </c>
      <c r="J500" s="1" t="s">
        <v>1714</v>
      </c>
      <c r="K500" s="1" t="s">
        <v>41</v>
      </c>
      <c r="L500" s="1">
        <v>92627</v>
      </c>
      <c r="M500" s="1" t="s">
        <v>42</v>
      </c>
      <c r="N500" s="1" t="s">
        <v>1165</v>
      </c>
      <c r="O500" s="1" t="s">
        <v>30</v>
      </c>
      <c r="P500" s="1" t="s">
        <v>34</v>
      </c>
      <c r="Q500" s="1" t="s">
        <v>1166</v>
      </c>
      <c r="R500" s="1">
        <v>241.56800000000001</v>
      </c>
      <c r="S500" s="1">
        <v>2</v>
      </c>
      <c r="T500" s="3">
        <v>0.2</v>
      </c>
      <c r="U500" s="4">
        <v>18.117599999999999</v>
      </c>
      <c r="V500" s="1" t="str">
        <f t="shared" si="70"/>
        <v>Standard Class</v>
      </c>
      <c r="W500" s="1" t="str">
        <f t="shared" si="71"/>
        <v>Consumer</v>
      </c>
      <c r="X500" s="1" t="str">
        <f t="shared" si="72"/>
        <v>Costa Mesa - California</v>
      </c>
      <c r="Y500" s="1" t="str">
        <f t="shared" si="73"/>
        <v>Chairs</v>
      </c>
      <c r="Z500" s="1">
        <f t="shared" si="74"/>
        <v>241.56800000000001</v>
      </c>
      <c r="AA500" s="1">
        <f t="shared" si="75"/>
        <v>241.56800000000001</v>
      </c>
      <c r="AB500" s="1">
        <f t="shared" si="76"/>
        <v>483.13600000000002</v>
      </c>
      <c r="AC500" s="4">
        <f t="shared" si="77"/>
        <v>386.50880000000006</v>
      </c>
      <c r="AD500" s="1" t="s">
        <v>2013</v>
      </c>
      <c r="AE500" s="1" t="str">
        <f t="shared" si="78"/>
        <v>2016</v>
      </c>
      <c r="AF500" s="1" t="str">
        <f t="shared" si="79"/>
        <v>126158</v>
      </c>
    </row>
    <row r="501" spans="1:32" x14ac:dyDescent="0.3">
      <c r="A501" s="1">
        <v>500</v>
      </c>
      <c r="B501" s="1" t="s">
        <v>1713</v>
      </c>
      <c r="C501" s="2">
        <v>42576</v>
      </c>
      <c r="D501" s="2">
        <v>42582</v>
      </c>
      <c r="E501" s="1" t="s">
        <v>48</v>
      </c>
      <c r="F501" s="1" t="s">
        <v>1586</v>
      </c>
      <c r="G501" s="1" t="s">
        <v>1587</v>
      </c>
      <c r="H501" s="1" t="s">
        <v>24</v>
      </c>
      <c r="I501" s="1" t="s">
        <v>25</v>
      </c>
      <c r="J501" s="1" t="s">
        <v>1714</v>
      </c>
      <c r="K501" s="1" t="s">
        <v>41</v>
      </c>
      <c r="L501" s="1">
        <v>92627</v>
      </c>
      <c r="M501" s="1" t="s">
        <v>42</v>
      </c>
      <c r="N501" s="1" t="s">
        <v>1719</v>
      </c>
      <c r="O501" s="1" t="s">
        <v>30</v>
      </c>
      <c r="P501" s="1" t="s">
        <v>63</v>
      </c>
      <c r="Q501" s="1" t="s">
        <v>1720</v>
      </c>
      <c r="R501" s="1">
        <v>69.3</v>
      </c>
      <c r="S501" s="1">
        <v>9</v>
      </c>
      <c r="T501" s="3">
        <v>0</v>
      </c>
      <c r="U501" s="4">
        <v>22.869</v>
      </c>
      <c r="V501" s="1" t="str">
        <f t="shared" si="70"/>
        <v>Standard Class</v>
      </c>
      <c r="W501" s="1" t="str">
        <f t="shared" si="71"/>
        <v>Consumer</v>
      </c>
      <c r="X501" s="1" t="str">
        <f t="shared" si="72"/>
        <v>Costa Mesa - California</v>
      </c>
      <c r="Y501" s="1" t="str">
        <f t="shared" si="73"/>
        <v>Furnishings</v>
      </c>
      <c r="Z501" s="1">
        <f t="shared" si="74"/>
        <v>69.3</v>
      </c>
      <c r="AA501" s="1">
        <f t="shared" si="75"/>
        <v>69.3</v>
      </c>
      <c r="AB501" s="1">
        <f t="shared" si="76"/>
        <v>623.69999999999993</v>
      </c>
      <c r="AC501" s="4">
        <f t="shared" si="77"/>
        <v>623.69999999999993</v>
      </c>
      <c r="AD501" s="1" t="s">
        <v>2013</v>
      </c>
      <c r="AE501" s="1" t="str">
        <f t="shared" si="78"/>
        <v>2016</v>
      </c>
      <c r="AF501" s="1" t="str">
        <f t="shared" si="79"/>
        <v>126158</v>
      </c>
    </row>
    <row r="502" spans="1:32" x14ac:dyDescent="0.3">
      <c r="A502" s="1">
        <v>501</v>
      </c>
      <c r="B502" s="1" t="s">
        <v>1721</v>
      </c>
      <c r="C502" s="2">
        <v>42520</v>
      </c>
      <c r="D502" s="2">
        <v>42525</v>
      </c>
      <c r="E502" s="1" t="s">
        <v>48</v>
      </c>
      <c r="F502" s="1" t="s">
        <v>1722</v>
      </c>
      <c r="G502" s="1" t="s">
        <v>1723</v>
      </c>
      <c r="H502" s="1" t="s">
        <v>39</v>
      </c>
      <c r="I502" s="1" t="s">
        <v>25</v>
      </c>
      <c r="J502" s="1" t="s">
        <v>1724</v>
      </c>
      <c r="K502" s="1" t="s">
        <v>455</v>
      </c>
      <c r="L502" s="1">
        <v>80134</v>
      </c>
      <c r="M502" s="1" t="s">
        <v>42</v>
      </c>
      <c r="N502" s="1" t="s">
        <v>1725</v>
      </c>
      <c r="O502" s="1" t="s">
        <v>44</v>
      </c>
      <c r="P502" s="1" t="s">
        <v>73</v>
      </c>
      <c r="Q502" s="1" t="s">
        <v>1726</v>
      </c>
      <c r="R502" s="1">
        <v>22.62</v>
      </c>
      <c r="S502" s="1">
        <v>2</v>
      </c>
      <c r="T502" s="3">
        <v>0.7</v>
      </c>
      <c r="U502" s="4">
        <v>-15.08</v>
      </c>
      <c r="V502" s="1" t="str">
        <f t="shared" si="70"/>
        <v>Standard Class</v>
      </c>
      <c r="W502" s="1" t="str">
        <f t="shared" si="71"/>
        <v>Corporate</v>
      </c>
      <c r="X502" s="1" t="str">
        <f t="shared" si="72"/>
        <v>Parker - Colorado</v>
      </c>
      <c r="Y502" s="1" t="str">
        <f t="shared" si="73"/>
        <v>Binders</v>
      </c>
      <c r="Z502" s="1">
        <f t="shared" si="74"/>
        <v>22.62</v>
      </c>
      <c r="AA502" s="1">
        <f t="shared" si="75"/>
        <v>22.62</v>
      </c>
      <c r="AB502" s="1">
        <f t="shared" si="76"/>
        <v>45.24</v>
      </c>
      <c r="AC502" s="4">
        <f t="shared" si="77"/>
        <v>13.572000000000003</v>
      </c>
      <c r="AD502" s="1" t="s">
        <v>2014</v>
      </c>
      <c r="AE502" s="1" t="str">
        <f t="shared" si="78"/>
        <v>2016</v>
      </c>
      <c r="AF502" s="1" t="str">
        <f t="shared" si="79"/>
        <v>105578</v>
      </c>
    </row>
    <row r="503" spans="1:32" x14ac:dyDescent="0.3">
      <c r="A503" s="1">
        <v>502</v>
      </c>
      <c r="B503" s="1" t="s">
        <v>1721</v>
      </c>
      <c r="C503" s="2">
        <v>42520</v>
      </c>
      <c r="D503" s="2">
        <v>42525</v>
      </c>
      <c r="E503" s="1" t="s">
        <v>48</v>
      </c>
      <c r="F503" s="1" t="s">
        <v>1722</v>
      </c>
      <c r="G503" s="1" t="s">
        <v>1723</v>
      </c>
      <c r="H503" s="1" t="s">
        <v>39</v>
      </c>
      <c r="I503" s="1" t="s">
        <v>25</v>
      </c>
      <c r="J503" s="1" t="s">
        <v>1724</v>
      </c>
      <c r="K503" s="1" t="s">
        <v>455</v>
      </c>
      <c r="L503" s="1">
        <v>80134</v>
      </c>
      <c r="M503" s="1" t="s">
        <v>42</v>
      </c>
      <c r="N503" s="1" t="s">
        <v>1727</v>
      </c>
      <c r="O503" s="1" t="s">
        <v>44</v>
      </c>
      <c r="P503" s="1" t="s">
        <v>73</v>
      </c>
      <c r="Q503" s="1" t="s">
        <v>1728</v>
      </c>
      <c r="R503" s="1">
        <v>14.952</v>
      </c>
      <c r="S503" s="1">
        <v>2</v>
      </c>
      <c r="T503" s="3">
        <v>0.7</v>
      </c>
      <c r="U503" s="4">
        <v>-11.961600000000001</v>
      </c>
      <c r="V503" s="1" t="str">
        <f t="shared" si="70"/>
        <v>Standard Class</v>
      </c>
      <c r="W503" s="1" t="str">
        <f t="shared" si="71"/>
        <v>Corporate</v>
      </c>
      <c r="X503" s="1" t="str">
        <f t="shared" si="72"/>
        <v>Parker - Colorado</v>
      </c>
      <c r="Y503" s="1" t="str">
        <f t="shared" si="73"/>
        <v>Binders</v>
      </c>
      <c r="Z503" s="1">
        <f t="shared" si="74"/>
        <v>14.952</v>
      </c>
      <c r="AA503" s="1">
        <f t="shared" si="75"/>
        <v>14.952</v>
      </c>
      <c r="AB503" s="1">
        <f t="shared" si="76"/>
        <v>29.904</v>
      </c>
      <c r="AC503" s="4">
        <f t="shared" si="77"/>
        <v>8.9712000000000014</v>
      </c>
      <c r="AD503" s="1" t="s">
        <v>2014</v>
      </c>
      <c r="AE503" s="1" t="str">
        <f t="shared" si="78"/>
        <v>2016</v>
      </c>
      <c r="AF503" s="1" t="str">
        <f t="shared" si="79"/>
        <v>105578</v>
      </c>
    </row>
    <row r="504" spans="1:32" x14ac:dyDescent="0.3">
      <c r="A504" s="1">
        <v>503</v>
      </c>
      <c r="B504" s="1" t="s">
        <v>1721</v>
      </c>
      <c r="C504" s="2">
        <v>42520</v>
      </c>
      <c r="D504" s="2">
        <v>42525</v>
      </c>
      <c r="E504" s="1" t="s">
        <v>48</v>
      </c>
      <c r="F504" s="1" t="s">
        <v>1722</v>
      </c>
      <c r="G504" s="1" t="s">
        <v>1723</v>
      </c>
      <c r="H504" s="1" t="s">
        <v>39</v>
      </c>
      <c r="I504" s="1" t="s">
        <v>25</v>
      </c>
      <c r="J504" s="1" t="s">
        <v>1724</v>
      </c>
      <c r="K504" s="1" t="s">
        <v>455</v>
      </c>
      <c r="L504" s="1">
        <v>80134</v>
      </c>
      <c r="M504" s="1" t="s">
        <v>42</v>
      </c>
      <c r="N504" s="1" t="s">
        <v>1729</v>
      </c>
      <c r="O504" s="1" t="s">
        <v>30</v>
      </c>
      <c r="P504" s="1" t="s">
        <v>34</v>
      </c>
      <c r="Q504" s="1" t="s">
        <v>1730</v>
      </c>
      <c r="R504" s="1">
        <v>801.56799999999998</v>
      </c>
      <c r="S504" s="1">
        <v>2</v>
      </c>
      <c r="T504" s="3">
        <v>0.2</v>
      </c>
      <c r="U504" s="4">
        <v>50.097999999999999</v>
      </c>
      <c r="V504" s="1" t="str">
        <f t="shared" si="70"/>
        <v>Standard Class</v>
      </c>
      <c r="W504" s="1" t="str">
        <f t="shared" si="71"/>
        <v>Corporate</v>
      </c>
      <c r="X504" s="1" t="str">
        <f t="shared" si="72"/>
        <v>Parker - Colorado</v>
      </c>
      <c r="Y504" s="1" t="str">
        <f t="shared" si="73"/>
        <v>Chairs</v>
      </c>
      <c r="Z504" s="1">
        <f t="shared" si="74"/>
        <v>801.56799999999998</v>
      </c>
      <c r="AA504" s="1">
        <f t="shared" si="75"/>
        <v>801.56799999999998</v>
      </c>
      <c r="AB504" s="1">
        <f t="shared" si="76"/>
        <v>1603.136</v>
      </c>
      <c r="AC504" s="4">
        <f t="shared" si="77"/>
        <v>1282.5088000000001</v>
      </c>
      <c r="AD504" s="1" t="s">
        <v>2014</v>
      </c>
      <c r="AE504" s="1" t="str">
        <f t="shared" si="78"/>
        <v>2016</v>
      </c>
      <c r="AF504" s="1" t="str">
        <f t="shared" si="79"/>
        <v>105578</v>
      </c>
    </row>
    <row r="505" spans="1:32" x14ac:dyDescent="0.3">
      <c r="A505" s="1">
        <v>504</v>
      </c>
      <c r="B505" s="1" t="s">
        <v>1721</v>
      </c>
      <c r="C505" s="2">
        <v>42520</v>
      </c>
      <c r="D505" s="2">
        <v>42525</v>
      </c>
      <c r="E505" s="1" t="s">
        <v>48</v>
      </c>
      <c r="F505" s="1" t="s">
        <v>1722</v>
      </c>
      <c r="G505" s="1" t="s">
        <v>1723</v>
      </c>
      <c r="H505" s="1" t="s">
        <v>39</v>
      </c>
      <c r="I505" s="1" t="s">
        <v>25</v>
      </c>
      <c r="J505" s="1" t="s">
        <v>1724</v>
      </c>
      <c r="K505" s="1" t="s">
        <v>455</v>
      </c>
      <c r="L505" s="1">
        <v>80134</v>
      </c>
      <c r="M505" s="1" t="s">
        <v>42</v>
      </c>
      <c r="N505" s="1" t="s">
        <v>1731</v>
      </c>
      <c r="O505" s="1" t="s">
        <v>44</v>
      </c>
      <c r="P505" s="1" t="s">
        <v>73</v>
      </c>
      <c r="Q505" s="1" t="s">
        <v>1732</v>
      </c>
      <c r="R505" s="1">
        <v>2.3759999999999999</v>
      </c>
      <c r="S505" s="1">
        <v>3</v>
      </c>
      <c r="T505" s="3">
        <v>0.7</v>
      </c>
      <c r="U505" s="4">
        <v>-1.9008</v>
      </c>
      <c r="V505" s="1" t="str">
        <f t="shared" si="70"/>
        <v>Standard Class</v>
      </c>
      <c r="W505" s="1" t="str">
        <f t="shared" si="71"/>
        <v>Corporate</v>
      </c>
      <c r="X505" s="1" t="str">
        <f t="shared" si="72"/>
        <v>Parker - Colorado</v>
      </c>
      <c r="Y505" s="1" t="str">
        <f t="shared" si="73"/>
        <v>Binders</v>
      </c>
      <c r="Z505" s="1">
        <f t="shared" si="74"/>
        <v>2.3759999999999999</v>
      </c>
      <c r="AA505" s="1">
        <f t="shared" si="75"/>
        <v>2.3759999999999999</v>
      </c>
      <c r="AB505" s="1">
        <f t="shared" si="76"/>
        <v>7.1280000000000001</v>
      </c>
      <c r="AC505" s="4">
        <f t="shared" si="77"/>
        <v>2.1384000000000003</v>
      </c>
      <c r="AD505" s="1" t="s">
        <v>2014</v>
      </c>
      <c r="AE505" s="1" t="str">
        <f t="shared" si="78"/>
        <v>2016</v>
      </c>
      <c r="AF505" s="1" t="str">
        <f t="shared" si="79"/>
        <v>105578</v>
      </c>
    </row>
    <row r="506" spans="1:32" x14ac:dyDescent="0.3">
      <c r="A506" s="1">
        <v>505</v>
      </c>
      <c r="B506" s="1" t="s">
        <v>1721</v>
      </c>
      <c r="C506" s="2">
        <v>42520</v>
      </c>
      <c r="D506" s="2">
        <v>42525</v>
      </c>
      <c r="E506" s="1" t="s">
        <v>48</v>
      </c>
      <c r="F506" s="1" t="s">
        <v>1722</v>
      </c>
      <c r="G506" s="1" t="s">
        <v>1723</v>
      </c>
      <c r="H506" s="1" t="s">
        <v>39</v>
      </c>
      <c r="I506" s="1" t="s">
        <v>25</v>
      </c>
      <c r="J506" s="1" t="s">
        <v>1724</v>
      </c>
      <c r="K506" s="1" t="s">
        <v>455</v>
      </c>
      <c r="L506" s="1">
        <v>80134</v>
      </c>
      <c r="M506" s="1" t="s">
        <v>42</v>
      </c>
      <c r="N506" s="1" t="s">
        <v>1733</v>
      </c>
      <c r="O506" s="1" t="s">
        <v>44</v>
      </c>
      <c r="P506" s="1" t="s">
        <v>88</v>
      </c>
      <c r="Q506" s="1" t="s">
        <v>1734</v>
      </c>
      <c r="R506" s="1">
        <v>32.792000000000002</v>
      </c>
      <c r="S506" s="1">
        <v>1</v>
      </c>
      <c r="T506" s="3">
        <v>0.2</v>
      </c>
      <c r="U506" s="4">
        <v>11.8871</v>
      </c>
      <c r="V506" s="1" t="str">
        <f t="shared" si="70"/>
        <v>Standard Class</v>
      </c>
      <c r="W506" s="1" t="str">
        <f t="shared" si="71"/>
        <v>Corporate</v>
      </c>
      <c r="X506" s="1" t="str">
        <f t="shared" si="72"/>
        <v>Parker - Colorado</v>
      </c>
      <c r="Y506" s="1" t="str">
        <f t="shared" si="73"/>
        <v>Paper</v>
      </c>
      <c r="Z506" s="1">
        <f t="shared" si="74"/>
        <v>32.792000000000002</v>
      </c>
      <c r="AA506" s="1">
        <f t="shared" si="75"/>
        <v>32.792000000000002</v>
      </c>
      <c r="AB506" s="1">
        <f t="shared" si="76"/>
        <v>32.792000000000002</v>
      </c>
      <c r="AC506" s="4">
        <f t="shared" si="77"/>
        <v>26.233600000000003</v>
      </c>
      <c r="AD506" s="1" t="s">
        <v>2014</v>
      </c>
      <c r="AE506" s="1" t="str">
        <f t="shared" si="78"/>
        <v>2016</v>
      </c>
      <c r="AF506" s="1" t="str">
        <f t="shared" si="79"/>
        <v>105578</v>
      </c>
    </row>
    <row r="507" spans="1:32" x14ac:dyDescent="0.3">
      <c r="A507" s="1">
        <v>506</v>
      </c>
      <c r="B507" s="1" t="s">
        <v>1735</v>
      </c>
      <c r="C507" s="2">
        <v>43051</v>
      </c>
      <c r="D507" s="2">
        <v>43054</v>
      </c>
      <c r="E507" s="1" t="s">
        <v>21</v>
      </c>
      <c r="F507" s="1" t="s">
        <v>1577</v>
      </c>
      <c r="G507" s="1" t="s">
        <v>1578</v>
      </c>
      <c r="H507" s="1" t="s">
        <v>39</v>
      </c>
      <c r="I507" s="1" t="s">
        <v>25</v>
      </c>
      <c r="J507" s="1" t="s">
        <v>264</v>
      </c>
      <c r="K507" s="1" t="s">
        <v>265</v>
      </c>
      <c r="L507" s="1">
        <v>10024</v>
      </c>
      <c r="M507" s="1" t="s">
        <v>146</v>
      </c>
      <c r="N507" s="1" t="s">
        <v>543</v>
      </c>
      <c r="O507" s="1" t="s">
        <v>44</v>
      </c>
      <c r="P507" s="1" t="s">
        <v>73</v>
      </c>
      <c r="Q507" s="1" t="s">
        <v>544</v>
      </c>
      <c r="R507" s="1">
        <v>15.92</v>
      </c>
      <c r="S507" s="1">
        <v>5</v>
      </c>
      <c r="T507" s="3">
        <v>0.2</v>
      </c>
      <c r="U507" s="4">
        <v>5.3730000000000002</v>
      </c>
      <c r="V507" s="1" t="str">
        <f t="shared" si="70"/>
        <v>Second Class</v>
      </c>
      <c r="W507" s="1" t="str">
        <f t="shared" si="71"/>
        <v>Corporate</v>
      </c>
      <c r="X507" s="1" t="str">
        <f t="shared" si="72"/>
        <v>New York City - New York</v>
      </c>
      <c r="Y507" s="1" t="str">
        <f t="shared" si="73"/>
        <v>Binders</v>
      </c>
      <c r="Z507" s="1">
        <f t="shared" si="74"/>
        <v>15.92</v>
      </c>
      <c r="AA507" s="1">
        <f t="shared" si="75"/>
        <v>15.92</v>
      </c>
      <c r="AB507" s="1">
        <f t="shared" si="76"/>
        <v>79.599999999999994</v>
      </c>
      <c r="AC507" s="4">
        <f t="shared" si="77"/>
        <v>63.68</v>
      </c>
      <c r="AD507" s="1" t="s">
        <v>2013</v>
      </c>
      <c r="AE507" s="1" t="str">
        <f t="shared" si="78"/>
        <v>2017</v>
      </c>
      <c r="AF507" s="1" t="str">
        <f t="shared" si="79"/>
        <v>134978</v>
      </c>
    </row>
    <row r="508" spans="1:32" x14ac:dyDescent="0.3">
      <c r="A508" s="1">
        <v>507</v>
      </c>
      <c r="B508" s="1" t="s">
        <v>1736</v>
      </c>
      <c r="C508" s="2">
        <v>42079</v>
      </c>
      <c r="D508" s="2">
        <v>42085</v>
      </c>
      <c r="E508" s="1" t="s">
        <v>48</v>
      </c>
      <c r="F508" s="1" t="s">
        <v>1737</v>
      </c>
      <c r="G508" s="1" t="s">
        <v>1738</v>
      </c>
      <c r="H508" s="1" t="s">
        <v>24</v>
      </c>
      <c r="I508" s="1" t="s">
        <v>25</v>
      </c>
      <c r="J508" s="1" t="s">
        <v>1739</v>
      </c>
      <c r="K508" s="1" t="s">
        <v>1273</v>
      </c>
      <c r="L508" s="1">
        <v>30318</v>
      </c>
      <c r="M508" s="1" t="s">
        <v>28</v>
      </c>
      <c r="N508" s="1" t="s">
        <v>1740</v>
      </c>
      <c r="O508" s="1" t="s">
        <v>44</v>
      </c>
      <c r="P508" s="1" t="s">
        <v>66</v>
      </c>
      <c r="Q508" s="1" t="s">
        <v>1741</v>
      </c>
      <c r="R508" s="1">
        <v>2.74</v>
      </c>
      <c r="S508" s="1">
        <v>1</v>
      </c>
      <c r="T508" s="3">
        <v>0</v>
      </c>
      <c r="U508" s="4">
        <v>0.73980000000000001</v>
      </c>
      <c r="V508" s="1" t="str">
        <f t="shared" si="70"/>
        <v>Standard Class</v>
      </c>
      <c r="W508" s="1" t="str">
        <f t="shared" si="71"/>
        <v>Consumer</v>
      </c>
      <c r="X508" s="1" t="str">
        <f t="shared" si="72"/>
        <v>Atlanta - Georgia</v>
      </c>
      <c r="Y508" s="1" t="str">
        <f t="shared" si="73"/>
        <v>Art</v>
      </c>
      <c r="Z508" s="1">
        <f t="shared" si="74"/>
        <v>2.74</v>
      </c>
      <c r="AA508" s="1">
        <f t="shared" si="75"/>
        <v>2.74</v>
      </c>
      <c r="AB508" s="1">
        <f t="shared" si="76"/>
        <v>2.74</v>
      </c>
      <c r="AC508" s="4">
        <f t="shared" si="77"/>
        <v>2.74</v>
      </c>
      <c r="AD508" s="1" t="s">
        <v>2013</v>
      </c>
      <c r="AE508" s="1" t="str">
        <f t="shared" si="78"/>
        <v>2015</v>
      </c>
      <c r="AF508" s="1" t="str">
        <f t="shared" si="79"/>
        <v>145352</v>
      </c>
    </row>
    <row r="509" spans="1:32" x14ac:dyDescent="0.3">
      <c r="A509" s="1">
        <v>508</v>
      </c>
      <c r="B509" s="1" t="s">
        <v>1736</v>
      </c>
      <c r="C509" s="2">
        <v>42079</v>
      </c>
      <c r="D509" s="2">
        <v>42085</v>
      </c>
      <c r="E509" s="1" t="s">
        <v>48</v>
      </c>
      <c r="F509" s="1" t="s">
        <v>1737</v>
      </c>
      <c r="G509" s="1" t="s">
        <v>1738</v>
      </c>
      <c r="H509" s="1" t="s">
        <v>24</v>
      </c>
      <c r="I509" s="1" t="s">
        <v>25</v>
      </c>
      <c r="J509" s="1" t="s">
        <v>1739</v>
      </c>
      <c r="K509" s="1" t="s">
        <v>1273</v>
      </c>
      <c r="L509" s="1">
        <v>30318</v>
      </c>
      <c r="M509" s="1" t="s">
        <v>28</v>
      </c>
      <c r="N509" s="1" t="s">
        <v>1742</v>
      </c>
      <c r="O509" s="1" t="s">
        <v>44</v>
      </c>
      <c r="P509" s="1" t="s">
        <v>66</v>
      </c>
      <c r="Q509" s="1" t="s">
        <v>1743</v>
      </c>
      <c r="R509" s="1">
        <v>8.34</v>
      </c>
      <c r="S509" s="1">
        <v>3</v>
      </c>
      <c r="T509" s="3">
        <v>0</v>
      </c>
      <c r="U509" s="4">
        <v>2.1684000000000001</v>
      </c>
      <c r="V509" s="1" t="str">
        <f t="shared" si="70"/>
        <v>Standard Class</v>
      </c>
      <c r="W509" s="1" t="str">
        <f t="shared" si="71"/>
        <v>Consumer</v>
      </c>
      <c r="X509" s="1" t="str">
        <f t="shared" si="72"/>
        <v>Atlanta - Georgia</v>
      </c>
      <c r="Y509" s="1" t="str">
        <f t="shared" si="73"/>
        <v>Art</v>
      </c>
      <c r="Z509" s="1">
        <f t="shared" si="74"/>
        <v>8.34</v>
      </c>
      <c r="AA509" s="1">
        <f t="shared" si="75"/>
        <v>8.34</v>
      </c>
      <c r="AB509" s="1">
        <f t="shared" si="76"/>
        <v>25.02</v>
      </c>
      <c r="AC509" s="4">
        <f t="shared" si="77"/>
        <v>25.02</v>
      </c>
      <c r="AD509" s="1" t="s">
        <v>2013</v>
      </c>
      <c r="AE509" s="1" t="str">
        <f t="shared" si="78"/>
        <v>2015</v>
      </c>
      <c r="AF509" s="1" t="str">
        <f t="shared" si="79"/>
        <v>145352</v>
      </c>
    </row>
    <row r="510" spans="1:32" x14ac:dyDescent="0.3">
      <c r="A510" s="1">
        <v>509</v>
      </c>
      <c r="B510" s="1" t="s">
        <v>1736</v>
      </c>
      <c r="C510" s="2">
        <v>42079</v>
      </c>
      <c r="D510" s="2">
        <v>42085</v>
      </c>
      <c r="E510" s="1" t="s">
        <v>48</v>
      </c>
      <c r="F510" s="1" t="s">
        <v>1737</v>
      </c>
      <c r="G510" s="1" t="s">
        <v>1738</v>
      </c>
      <c r="H510" s="1" t="s">
        <v>24</v>
      </c>
      <c r="I510" s="1" t="s">
        <v>25</v>
      </c>
      <c r="J510" s="1" t="s">
        <v>1739</v>
      </c>
      <c r="K510" s="1" t="s">
        <v>1273</v>
      </c>
      <c r="L510" s="1">
        <v>30318</v>
      </c>
      <c r="M510" s="1" t="s">
        <v>28</v>
      </c>
      <c r="N510" s="1" t="s">
        <v>954</v>
      </c>
      <c r="O510" s="1" t="s">
        <v>44</v>
      </c>
      <c r="P510" s="1" t="s">
        <v>57</v>
      </c>
      <c r="Q510" s="1" t="s">
        <v>1744</v>
      </c>
      <c r="R510" s="1">
        <v>46.74</v>
      </c>
      <c r="S510" s="1">
        <v>3</v>
      </c>
      <c r="T510" s="3">
        <v>0</v>
      </c>
      <c r="U510" s="4">
        <v>11.685</v>
      </c>
      <c r="V510" s="1" t="str">
        <f t="shared" si="70"/>
        <v>Standard Class</v>
      </c>
      <c r="W510" s="1" t="str">
        <f t="shared" si="71"/>
        <v>Consumer</v>
      </c>
      <c r="X510" s="1" t="str">
        <f t="shared" si="72"/>
        <v>Atlanta - Georgia</v>
      </c>
      <c r="Y510" s="1" t="str">
        <f t="shared" si="73"/>
        <v>Storage</v>
      </c>
      <c r="Z510" s="1">
        <f t="shared" si="74"/>
        <v>46.74</v>
      </c>
      <c r="AA510" s="1">
        <f t="shared" si="75"/>
        <v>46.74</v>
      </c>
      <c r="AB510" s="1">
        <f t="shared" si="76"/>
        <v>140.22</v>
      </c>
      <c r="AC510" s="4">
        <f t="shared" si="77"/>
        <v>140.22</v>
      </c>
      <c r="AD510" s="1" t="s">
        <v>2013</v>
      </c>
      <c r="AE510" s="1" t="str">
        <f t="shared" si="78"/>
        <v>2015</v>
      </c>
      <c r="AF510" s="1" t="str">
        <f t="shared" si="79"/>
        <v>145352</v>
      </c>
    </row>
    <row r="511" spans="1:32" x14ac:dyDescent="0.3">
      <c r="A511" s="1">
        <v>510</v>
      </c>
      <c r="B511" s="1" t="s">
        <v>1736</v>
      </c>
      <c r="C511" s="2">
        <v>42079</v>
      </c>
      <c r="D511" s="2">
        <v>42085</v>
      </c>
      <c r="E511" s="1" t="s">
        <v>48</v>
      </c>
      <c r="F511" s="1" t="s">
        <v>1737</v>
      </c>
      <c r="G511" s="1" t="s">
        <v>1738</v>
      </c>
      <c r="H511" s="1" t="s">
        <v>24</v>
      </c>
      <c r="I511" s="1" t="s">
        <v>25</v>
      </c>
      <c r="J511" s="1" t="s">
        <v>1739</v>
      </c>
      <c r="K511" s="1" t="s">
        <v>1273</v>
      </c>
      <c r="L511" s="1">
        <v>30318</v>
      </c>
      <c r="M511" s="1" t="s">
        <v>28</v>
      </c>
      <c r="N511" s="1" t="s">
        <v>1745</v>
      </c>
      <c r="O511" s="1" t="s">
        <v>44</v>
      </c>
      <c r="P511" s="1" t="s">
        <v>73</v>
      </c>
      <c r="Q511" s="1" t="s">
        <v>1746</v>
      </c>
      <c r="R511" s="1">
        <v>6354.95</v>
      </c>
      <c r="S511" s="1">
        <v>5</v>
      </c>
      <c r="T511" s="3">
        <v>0</v>
      </c>
      <c r="U511" s="4">
        <v>3177.4749999999999</v>
      </c>
      <c r="V511" s="1" t="str">
        <f t="shared" si="70"/>
        <v>Standard Class</v>
      </c>
      <c r="W511" s="1" t="str">
        <f t="shared" si="71"/>
        <v>Consumer</v>
      </c>
      <c r="X511" s="1" t="str">
        <f t="shared" si="72"/>
        <v>Atlanta - Georgia</v>
      </c>
      <c r="Y511" s="1" t="str">
        <f t="shared" si="73"/>
        <v>Binders</v>
      </c>
      <c r="Z511" s="1">
        <f t="shared" si="74"/>
        <v>6354.95</v>
      </c>
      <c r="AA511" s="1">
        <f t="shared" si="75"/>
        <v>6354.95</v>
      </c>
      <c r="AB511" s="1">
        <f t="shared" si="76"/>
        <v>31774.75</v>
      </c>
      <c r="AC511" s="4">
        <f t="shared" si="77"/>
        <v>31774.75</v>
      </c>
      <c r="AD511" s="1" t="s">
        <v>2013</v>
      </c>
      <c r="AE511" s="1" t="str">
        <f t="shared" si="78"/>
        <v>2015</v>
      </c>
      <c r="AF511" s="1" t="str">
        <f t="shared" si="79"/>
        <v>145352</v>
      </c>
    </row>
    <row r="512" spans="1:32" x14ac:dyDescent="0.3">
      <c r="A512" s="1">
        <v>511</v>
      </c>
      <c r="B512" s="1" t="s">
        <v>1747</v>
      </c>
      <c r="C512" s="2">
        <v>43065</v>
      </c>
      <c r="D512" s="2">
        <v>43066</v>
      </c>
      <c r="E512" s="1" t="s">
        <v>186</v>
      </c>
      <c r="F512" s="1" t="s">
        <v>1748</v>
      </c>
      <c r="G512" s="1" t="s">
        <v>1749</v>
      </c>
      <c r="H512" s="1" t="s">
        <v>24</v>
      </c>
      <c r="I512" s="1" t="s">
        <v>25</v>
      </c>
      <c r="J512" s="1" t="s">
        <v>1750</v>
      </c>
      <c r="K512" s="1" t="s">
        <v>595</v>
      </c>
      <c r="L512" s="1">
        <v>64118</v>
      </c>
      <c r="M512" s="1" t="s">
        <v>103</v>
      </c>
      <c r="N512" s="1" t="s">
        <v>1751</v>
      </c>
      <c r="O512" s="1" t="s">
        <v>30</v>
      </c>
      <c r="P512" s="1" t="s">
        <v>63</v>
      </c>
      <c r="Q512" s="1" t="s">
        <v>1752</v>
      </c>
      <c r="R512" s="1">
        <v>126.3</v>
      </c>
      <c r="S512" s="1">
        <v>3</v>
      </c>
      <c r="T512" s="3">
        <v>0</v>
      </c>
      <c r="U512" s="4">
        <v>40.415999999999997</v>
      </c>
      <c r="V512" s="1" t="str">
        <f t="shared" si="70"/>
        <v>First Class</v>
      </c>
      <c r="W512" s="1" t="str">
        <f t="shared" si="71"/>
        <v>Consumer</v>
      </c>
      <c r="X512" s="1" t="str">
        <f t="shared" si="72"/>
        <v>Gladstone - Missouri</v>
      </c>
      <c r="Y512" s="1" t="str">
        <f t="shared" si="73"/>
        <v>Furnishings</v>
      </c>
      <c r="Z512" s="1">
        <f t="shared" si="74"/>
        <v>126.3</v>
      </c>
      <c r="AA512" s="1">
        <f t="shared" si="75"/>
        <v>126.3</v>
      </c>
      <c r="AB512" s="1">
        <f t="shared" si="76"/>
        <v>378.9</v>
      </c>
      <c r="AC512" s="4">
        <f t="shared" si="77"/>
        <v>378.9</v>
      </c>
      <c r="AD512" s="1" t="s">
        <v>2013</v>
      </c>
      <c r="AE512" s="1" t="str">
        <f t="shared" si="78"/>
        <v>2017</v>
      </c>
      <c r="AF512" s="1" t="str">
        <f t="shared" si="79"/>
        <v>135307</v>
      </c>
    </row>
    <row r="513" spans="1:32" x14ac:dyDescent="0.3">
      <c r="A513" s="1">
        <v>512</v>
      </c>
      <c r="B513" s="1" t="s">
        <v>1747</v>
      </c>
      <c r="C513" s="2">
        <v>43065</v>
      </c>
      <c r="D513" s="2">
        <v>43066</v>
      </c>
      <c r="E513" s="1" t="s">
        <v>186</v>
      </c>
      <c r="F513" s="1" t="s">
        <v>1748</v>
      </c>
      <c r="G513" s="1" t="s">
        <v>1749</v>
      </c>
      <c r="H513" s="1" t="s">
        <v>24</v>
      </c>
      <c r="I513" s="1" t="s">
        <v>25</v>
      </c>
      <c r="J513" s="1" t="s">
        <v>1750</v>
      </c>
      <c r="K513" s="1" t="s">
        <v>595</v>
      </c>
      <c r="L513" s="1">
        <v>64118</v>
      </c>
      <c r="M513" s="1" t="s">
        <v>103</v>
      </c>
      <c r="N513" s="1" t="s">
        <v>1753</v>
      </c>
      <c r="O513" s="1" t="s">
        <v>69</v>
      </c>
      <c r="P513" s="1" t="s">
        <v>159</v>
      </c>
      <c r="Q513" s="1" t="s">
        <v>1754</v>
      </c>
      <c r="R513" s="1">
        <v>38.04</v>
      </c>
      <c r="S513" s="1">
        <v>2</v>
      </c>
      <c r="T513" s="3">
        <v>0</v>
      </c>
      <c r="U513" s="4">
        <v>12.172800000000001</v>
      </c>
      <c r="V513" s="1" t="str">
        <f t="shared" si="70"/>
        <v>First Class</v>
      </c>
      <c r="W513" s="1" t="str">
        <f t="shared" si="71"/>
        <v>Consumer</v>
      </c>
      <c r="X513" s="1" t="str">
        <f t="shared" si="72"/>
        <v>Gladstone - Missouri</v>
      </c>
      <c r="Y513" s="1" t="str">
        <f t="shared" si="73"/>
        <v>Accessories</v>
      </c>
      <c r="Z513" s="1">
        <f t="shared" si="74"/>
        <v>38.04</v>
      </c>
      <c r="AA513" s="1">
        <f t="shared" si="75"/>
        <v>38.04</v>
      </c>
      <c r="AB513" s="1">
        <f t="shared" si="76"/>
        <v>76.08</v>
      </c>
      <c r="AC513" s="4">
        <f t="shared" si="77"/>
        <v>76.08</v>
      </c>
      <c r="AD513" s="1" t="s">
        <v>2013</v>
      </c>
      <c r="AE513" s="1" t="str">
        <f t="shared" si="78"/>
        <v>2017</v>
      </c>
      <c r="AF513" s="1" t="str">
        <f t="shared" si="79"/>
        <v>135307</v>
      </c>
    </row>
    <row r="514" spans="1:32" x14ac:dyDescent="0.3">
      <c r="A514" s="1">
        <v>513</v>
      </c>
      <c r="B514" s="1" t="s">
        <v>1755</v>
      </c>
      <c r="C514" s="2">
        <v>42663</v>
      </c>
      <c r="D514" s="2">
        <v>42666</v>
      </c>
      <c r="E514" s="1" t="s">
        <v>186</v>
      </c>
      <c r="F514" s="1" t="s">
        <v>1419</v>
      </c>
      <c r="G514" s="1" t="s">
        <v>1420</v>
      </c>
      <c r="H514" s="1" t="s">
        <v>24</v>
      </c>
      <c r="I514" s="1" t="s">
        <v>25</v>
      </c>
      <c r="J514" s="1" t="s">
        <v>605</v>
      </c>
      <c r="K514" s="1" t="s">
        <v>496</v>
      </c>
      <c r="L514" s="1">
        <v>43055</v>
      </c>
      <c r="M514" s="1" t="s">
        <v>146</v>
      </c>
      <c r="N514" s="1" t="s">
        <v>364</v>
      </c>
      <c r="O514" s="1" t="s">
        <v>44</v>
      </c>
      <c r="P514" s="1" t="s">
        <v>66</v>
      </c>
      <c r="Q514" s="1" t="s">
        <v>365</v>
      </c>
      <c r="R514" s="1">
        <v>7.1520000000000001</v>
      </c>
      <c r="S514" s="1">
        <v>3</v>
      </c>
      <c r="T514" s="3">
        <v>0.2</v>
      </c>
      <c r="U514" s="4">
        <v>0.71519999999999995</v>
      </c>
      <c r="V514" s="1" t="str">
        <f t="shared" ref="V514:V577" si="80">IF(ISBLANK(E514),"UNKNOWN",E514)</f>
        <v>First Class</v>
      </c>
      <c r="W514" s="1" t="str">
        <f t="shared" ref="W514:W577" si="81">IF(ISBLANK(H514),"UNKNOWN",H514)</f>
        <v>Consumer</v>
      </c>
      <c r="X514" s="1" t="str">
        <f t="shared" ref="X514:X577" si="82">CONCATENATE(J514," - ",K514)</f>
        <v>Newark - Ohio</v>
      </c>
      <c r="Y514" s="1" t="str">
        <f t="shared" ref="Y514:Y577" si="83">IF(ISBLANK(P514),"UNKNOWN",P514)</f>
        <v>Art</v>
      </c>
      <c r="Z514" s="1">
        <f t="shared" ref="Z514:Z577" si="84">IF(ISBLANK(R514),ROUND(AVERAGEIF($O$2:$O$600,O514,$R$2:$R$29),0),R514)</f>
        <v>7.1520000000000001</v>
      </c>
      <c r="AA514" s="1">
        <f t="shared" ref="AA514:AA577" si="85">IF(ISBLANK(R514),ROUND(AVERAGEIF($Y$2:$Y$600,Y514,$R$2:$R$29),0),R514)</f>
        <v>7.1520000000000001</v>
      </c>
      <c r="AB514" s="1">
        <f t="shared" ref="AB514:AB577" si="86">AA514*S514</f>
        <v>21.456</v>
      </c>
      <c r="AC514" s="4">
        <f t="shared" si="77"/>
        <v>17.1648</v>
      </c>
      <c r="AD514" s="1" t="s">
        <v>2013</v>
      </c>
      <c r="AE514" s="1" t="str">
        <f t="shared" si="78"/>
        <v>2016</v>
      </c>
      <c r="AF514" s="1" t="str">
        <f t="shared" si="79"/>
        <v>106341</v>
      </c>
    </row>
    <row r="515" spans="1:32" x14ac:dyDescent="0.3">
      <c r="A515" s="1">
        <v>514</v>
      </c>
      <c r="B515" s="1" t="s">
        <v>1756</v>
      </c>
      <c r="C515" s="2">
        <v>43090</v>
      </c>
      <c r="D515" s="2">
        <v>43094</v>
      </c>
      <c r="E515" s="1" t="s">
        <v>48</v>
      </c>
      <c r="F515" s="1" t="s">
        <v>1757</v>
      </c>
      <c r="G515" s="1" t="s">
        <v>1758</v>
      </c>
      <c r="H515" s="1" t="s">
        <v>24</v>
      </c>
      <c r="I515" s="1" t="s">
        <v>25</v>
      </c>
      <c r="J515" s="1" t="s">
        <v>40</v>
      </c>
      <c r="K515" s="1" t="s">
        <v>41</v>
      </c>
      <c r="L515" s="1">
        <v>90049</v>
      </c>
      <c r="M515" s="1" t="s">
        <v>42</v>
      </c>
      <c r="N515" s="1" t="s">
        <v>1759</v>
      </c>
      <c r="O515" s="1" t="s">
        <v>44</v>
      </c>
      <c r="P515" s="1" t="s">
        <v>66</v>
      </c>
      <c r="Q515" s="1" t="s">
        <v>1760</v>
      </c>
      <c r="R515" s="1">
        <v>6.63</v>
      </c>
      <c r="S515" s="1">
        <v>3</v>
      </c>
      <c r="T515" s="3">
        <v>0</v>
      </c>
      <c r="U515" s="4">
        <v>1.7901</v>
      </c>
      <c r="V515" s="1" t="str">
        <f t="shared" si="80"/>
        <v>Standard Class</v>
      </c>
      <c r="W515" s="1" t="str">
        <f t="shared" si="81"/>
        <v>Consumer</v>
      </c>
      <c r="X515" s="1" t="str">
        <f t="shared" si="82"/>
        <v>Los Angeles - California</v>
      </c>
      <c r="Y515" s="1" t="str">
        <f t="shared" si="83"/>
        <v>Art</v>
      </c>
      <c r="Z515" s="1">
        <f t="shared" si="84"/>
        <v>6.63</v>
      </c>
      <c r="AA515" s="1">
        <f t="shared" si="85"/>
        <v>6.63</v>
      </c>
      <c r="AB515" s="1">
        <f t="shared" si="86"/>
        <v>19.89</v>
      </c>
      <c r="AC515" s="4">
        <f t="shared" ref="AC515:AC578" si="87">AB515*(1-T515)</f>
        <v>19.89</v>
      </c>
      <c r="AD515" s="1" t="s">
        <v>2013</v>
      </c>
      <c r="AE515" s="1" t="str">
        <f t="shared" ref="AE515:AE578" si="88">MID(B515,4,4)</f>
        <v>2017</v>
      </c>
      <c r="AF515" s="1" t="str">
        <f t="shared" ref="AF515:AF578" si="89">RIGHT(B515,6)</f>
        <v>163405</v>
      </c>
    </row>
    <row r="516" spans="1:32" x14ac:dyDescent="0.3">
      <c r="A516" s="1">
        <v>515</v>
      </c>
      <c r="B516" s="1" t="s">
        <v>1756</v>
      </c>
      <c r="C516" s="2">
        <v>43090</v>
      </c>
      <c r="D516" s="2">
        <v>43094</v>
      </c>
      <c r="E516" s="1" t="s">
        <v>48</v>
      </c>
      <c r="F516" s="1" t="s">
        <v>1757</v>
      </c>
      <c r="G516" s="1" t="s">
        <v>1758</v>
      </c>
      <c r="H516" s="1" t="s">
        <v>24</v>
      </c>
      <c r="I516" s="1" t="s">
        <v>25</v>
      </c>
      <c r="J516" s="1" t="s">
        <v>40</v>
      </c>
      <c r="K516" s="1" t="s">
        <v>41</v>
      </c>
      <c r="L516" s="1">
        <v>90049</v>
      </c>
      <c r="M516" s="1" t="s">
        <v>42</v>
      </c>
      <c r="N516" s="1" t="s">
        <v>1761</v>
      </c>
      <c r="O516" s="1" t="s">
        <v>44</v>
      </c>
      <c r="P516" s="1" t="s">
        <v>66</v>
      </c>
      <c r="Q516" s="1" t="s">
        <v>1762</v>
      </c>
      <c r="R516" s="1">
        <v>5.88</v>
      </c>
      <c r="S516" s="1">
        <v>2</v>
      </c>
      <c r="T516" s="3">
        <v>0</v>
      </c>
      <c r="U516" s="4">
        <v>1.7052</v>
      </c>
      <c r="V516" s="1" t="str">
        <f t="shared" si="80"/>
        <v>Standard Class</v>
      </c>
      <c r="W516" s="1" t="str">
        <f t="shared" si="81"/>
        <v>Consumer</v>
      </c>
      <c r="X516" s="1" t="str">
        <f t="shared" si="82"/>
        <v>Los Angeles - California</v>
      </c>
      <c r="Y516" s="1" t="str">
        <f t="shared" si="83"/>
        <v>Art</v>
      </c>
      <c r="Z516" s="1">
        <f t="shared" si="84"/>
        <v>5.88</v>
      </c>
      <c r="AA516" s="1">
        <f t="shared" si="85"/>
        <v>5.88</v>
      </c>
      <c r="AB516" s="1">
        <f t="shared" si="86"/>
        <v>11.76</v>
      </c>
      <c r="AC516" s="4">
        <f t="shared" si="87"/>
        <v>11.76</v>
      </c>
      <c r="AD516" s="1" t="s">
        <v>2013</v>
      </c>
      <c r="AE516" s="1" t="str">
        <f t="shared" si="88"/>
        <v>2017</v>
      </c>
      <c r="AF516" s="1" t="str">
        <f t="shared" si="89"/>
        <v>163405</v>
      </c>
    </row>
    <row r="517" spans="1:32" x14ac:dyDescent="0.3">
      <c r="A517" s="1">
        <v>516</v>
      </c>
      <c r="B517" s="1" t="s">
        <v>1763</v>
      </c>
      <c r="C517" s="2">
        <v>42757</v>
      </c>
      <c r="D517" s="2">
        <v>42762</v>
      </c>
      <c r="E517" s="1" t="s">
        <v>48</v>
      </c>
      <c r="F517" s="1" t="s">
        <v>529</v>
      </c>
      <c r="G517" s="1" t="s">
        <v>530</v>
      </c>
      <c r="H517" s="1" t="s">
        <v>100</v>
      </c>
      <c r="I517" s="1" t="s">
        <v>25</v>
      </c>
      <c r="J517" s="1" t="s">
        <v>1764</v>
      </c>
      <c r="K517" s="1" t="s">
        <v>1765</v>
      </c>
      <c r="L517" s="1">
        <v>59405</v>
      </c>
      <c r="M517" s="1" t="s">
        <v>42</v>
      </c>
      <c r="N517" s="1" t="s">
        <v>1766</v>
      </c>
      <c r="O517" s="1" t="s">
        <v>69</v>
      </c>
      <c r="P517" s="1" t="s">
        <v>1217</v>
      </c>
      <c r="Q517" s="1" t="s">
        <v>1767</v>
      </c>
      <c r="R517" s="1">
        <v>2999.95</v>
      </c>
      <c r="S517" s="1">
        <v>5</v>
      </c>
      <c r="T517" s="3">
        <v>0</v>
      </c>
      <c r="U517" s="4">
        <v>1379.9770000000001</v>
      </c>
      <c r="V517" s="1" t="str">
        <f t="shared" si="80"/>
        <v>Standard Class</v>
      </c>
      <c r="W517" s="1" t="str">
        <f t="shared" si="81"/>
        <v>Home Office</v>
      </c>
      <c r="X517" s="1" t="str">
        <f t="shared" si="82"/>
        <v>Great Falls - Montana</v>
      </c>
      <c r="Y517" s="1" t="str">
        <f t="shared" si="83"/>
        <v>Copiers</v>
      </c>
      <c r="Z517" s="1">
        <f t="shared" si="84"/>
        <v>2999.95</v>
      </c>
      <c r="AA517" s="1">
        <f t="shared" si="85"/>
        <v>2999.95</v>
      </c>
      <c r="AB517" s="1">
        <f t="shared" si="86"/>
        <v>14999.75</v>
      </c>
      <c r="AC517" s="4">
        <f t="shared" si="87"/>
        <v>14999.75</v>
      </c>
      <c r="AD517" s="1" t="s">
        <v>2013</v>
      </c>
      <c r="AE517" s="1" t="str">
        <f t="shared" si="88"/>
        <v>2017</v>
      </c>
      <c r="AF517" s="1" t="str">
        <f t="shared" si="89"/>
        <v>127432</v>
      </c>
    </row>
    <row r="518" spans="1:32" x14ac:dyDescent="0.3">
      <c r="A518" s="1">
        <v>517</v>
      </c>
      <c r="B518" s="1" t="s">
        <v>1763</v>
      </c>
      <c r="C518" s="2">
        <v>42757</v>
      </c>
      <c r="D518" s="2">
        <v>42762</v>
      </c>
      <c r="E518" s="1" t="s">
        <v>48</v>
      </c>
      <c r="F518" s="1" t="s">
        <v>529</v>
      </c>
      <c r="G518" s="1" t="s">
        <v>530</v>
      </c>
      <c r="H518" s="1" t="s">
        <v>100</v>
      </c>
      <c r="I518" s="1" t="s">
        <v>25</v>
      </c>
      <c r="J518" s="1" t="s">
        <v>1764</v>
      </c>
      <c r="K518" s="1" t="s">
        <v>1765</v>
      </c>
      <c r="L518" s="1">
        <v>59405</v>
      </c>
      <c r="M518" s="1" t="s">
        <v>42</v>
      </c>
      <c r="N518" s="1" t="s">
        <v>1768</v>
      </c>
      <c r="O518" s="1" t="s">
        <v>44</v>
      </c>
      <c r="P518" s="1" t="s">
        <v>57</v>
      </c>
      <c r="Q518" s="1" t="s">
        <v>1769</v>
      </c>
      <c r="R518" s="1">
        <v>51.45</v>
      </c>
      <c r="S518" s="1">
        <v>3</v>
      </c>
      <c r="T518" s="3">
        <v>0</v>
      </c>
      <c r="U518" s="4">
        <v>13.891500000000001</v>
      </c>
      <c r="V518" s="1" t="str">
        <f t="shared" si="80"/>
        <v>Standard Class</v>
      </c>
      <c r="W518" s="1" t="str">
        <f t="shared" si="81"/>
        <v>Home Office</v>
      </c>
      <c r="X518" s="1" t="str">
        <f t="shared" si="82"/>
        <v>Great Falls - Montana</v>
      </c>
      <c r="Y518" s="1" t="str">
        <f t="shared" si="83"/>
        <v>Storage</v>
      </c>
      <c r="Z518" s="1">
        <f t="shared" si="84"/>
        <v>51.45</v>
      </c>
      <c r="AA518" s="1">
        <f t="shared" si="85"/>
        <v>51.45</v>
      </c>
      <c r="AB518" s="1">
        <f t="shared" si="86"/>
        <v>154.35000000000002</v>
      </c>
      <c r="AC518" s="4">
        <f t="shared" si="87"/>
        <v>154.35000000000002</v>
      </c>
      <c r="AD518" s="1" t="s">
        <v>2013</v>
      </c>
      <c r="AE518" s="1" t="str">
        <f t="shared" si="88"/>
        <v>2017</v>
      </c>
      <c r="AF518" s="1" t="str">
        <f t="shared" si="89"/>
        <v>127432</v>
      </c>
    </row>
    <row r="519" spans="1:32" x14ac:dyDescent="0.3">
      <c r="A519" s="1">
        <v>518</v>
      </c>
      <c r="B519" s="1" t="s">
        <v>1763</v>
      </c>
      <c r="C519" s="2">
        <v>42757</v>
      </c>
      <c r="D519" s="2">
        <v>42762</v>
      </c>
      <c r="E519" s="1" t="s">
        <v>48</v>
      </c>
      <c r="F519" s="1" t="s">
        <v>529</v>
      </c>
      <c r="G519" s="1" t="s">
        <v>530</v>
      </c>
      <c r="H519" s="1" t="s">
        <v>100</v>
      </c>
      <c r="I519" s="1" t="s">
        <v>25</v>
      </c>
      <c r="J519" s="1" t="s">
        <v>1764</v>
      </c>
      <c r="K519" s="1" t="s">
        <v>1765</v>
      </c>
      <c r="L519" s="1">
        <v>59405</v>
      </c>
      <c r="M519" s="1" t="s">
        <v>42</v>
      </c>
      <c r="N519" s="1" t="s">
        <v>1770</v>
      </c>
      <c r="O519" s="1" t="s">
        <v>44</v>
      </c>
      <c r="P519" s="1" t="s">
        <v>88</v>
      </c>
      <c r="Q519" s="1" t="s">
        <v>1771</v>
      </c>
      <c r="R519" s="1">
        <v>11.96</v>
      </c>
      <c r="S519" s="1">
        <v>2</v>
      </c>
      <c r="T519" s="3">
        <v>0</v>
      </c>
      <c r="U519" s="4">
        <v>5.3819999999999997</v>
      </c>
      <c r="V519" s="1" t="str">
        <f t="shared" si="80"/>
        <v>Standard Class</v>
      </c>
      <c r="W519" s="1" t="str">
        <f t="shared" si="81"/>
        <v>Home Office</v>
      </c>
      <c r="X519" s="1" t="str">
        <f t="shared" si="82"/>
        <v>Great Falls - Montana</v>
      </c>
      <c r="Y519" s="1" t="str">
        <f t="shared" si="83"/>
        <v>Paper</v>
      </c>
      <c r="Z519" s="1">
        <f t="shared" si="84"/>
        <v>11.96</v>
      </c>
      <c r="AA519" s="1">
        <f t="shared" si="85"/>
        <v>11.96</v>
      </c>
      <c r="AB519" s="1">
        <f t="shared" si="86"/>
        <v>23.92</v>
      </c>
      <c r="AC519" s="4">
        <f t="shared" si="87"/>
        <v>23.92</v>
      </c>
      <c r="AD519" s="1" t="s">
        <v>2013</v>
      </c>
      <c r="AE519" s="1" t="str">
        <f t="shared" si="88"/>
        <v>2017</v>
      </c>
      <c r="AF519" s="1" t="str">
        <f t="shared" si="89"/>
        <v>127432</v>
      </c>
    </row>
    <row r="520" spans="1:32" x14ac:dyDescent="0.3">
      <c r="A520" s="1">
        <v>519</v>
      </c>
      <c r="B520" s="1" t="s">
        <v>1763</v>
      </c>
      <c r="C520" s="2">
        <v>42757</v>
      </c>
      <c r="D520" s="2">
        <v>42762</v>
      </c>
      <c r="E520" s="1" t="s">
        <v>48</v>
      </c>
      <c r="F520" s="1" t="s">
        <v>529</v>
      </c>
      <c r="G520" s="1" t="s">
        <v>530</v>
      </c>
      <c r="H520" s="1" t="s">
        <v>100</v>
      </c>
      <c r="I520" s="1" t="s">
        <v>25</v>
      </c>
      <c r="J520" s="1" t="s">
        <v>1764</v>
      </c>
      <c r="K520" s="1" t="s">
        <v>1765</v>
      </c>
      <c r="L520" s="1">
        <v>59405</v>
      </c>
      <c r="M520" s="1" t="s">
        <v>42</v>
      </c>
      <c r="N520" s="1" t="s">
        <v>1772</v>
      </c>
      <c r="O520" s="1" t="s">
        <v>44</v>
      </c>
      <c r="P520" s="1" t="s">
        <v>57</v>
      </c>
      <c r="Q520" s="1" t="s">
        <v>1773</v>
      </c>
      <c r="R520" s="1">
        <v>1126.02</v>
      </c>
      <c r="S520" s="1">
        <v>3</v>
      </c>
      <c r="T520" s="3">
        <v>0</v>
      </c>
      <c r="U520" s="4">
        <v>56.301000000000002</v>
      </c>
      <c r="V520" s="1" t="str">
        <f t="shared" si="80"/>
        <v>Standard Class</v>
      </c>
      <c r="W520" s="1" t="str">
        <f t="shared" si="81"/>
        <v>Home Office</v>
      </c>
      <c r="X520" s="1" t="str">
        <f t="shared" si="82"/>
        <v>Great Falls - Montana</v>
      </c>
      <c r="Y520" s="1" t="str">
        <f t="shared" si="83"/>
        <v>Storage</v>
      </c>
      <c r="Z520" s="1">
        <f t="shared" si="84"/>
        <v>1126.02</v>
      </c>
      <c r="AA520" s="1">
        <f t="shared" si="85"/>
        <v>1126.02</v>
      </c>
      <c r="AB520" s="1">
        <f t="shared" si="86"/>
        <v>3378.06</v>
      </c>
      <c r="AC520" s="4">
        <f t="shared" si="87"/>
        <v>3378.06</v>
      </c>
      <c r="AD520" s="1" t="s">
        <v>2013</v>
      </c>
      <c r="AE520" s="1" t="str">
        <f t="shared" si="88"/>
        <v>2017</v>
      </c>
      <c r="AF520" s="1" t="str">
        <f t="shared" si="89"/>
        <v>127432</v>
      </c>
    </row>
    <row r="521" spans="1:32" x14ac:dyDescent="0.3">
      <c r="A521" s="1">
        <v>520</v>
      </c>
      <c r="B521" s="1" t="s">
        <v>1774</v>
      </c>
      <c r="C521" s="2">
        <v>42085</v>
      </c>
      <c r="D521" s="2">
        <v>42089</v>
      </c>
      <c r="E521" s="1" t="s">
        <v>48</v>
      </c>
      <c r="F521" s="1" t="s">
        <v>1775</v>
      </c>
      <c r="G521" s="1" t="s">
        <v>1776</v>
      </c>
      <c r="H521" s="1" t="s">
        <v>24</v>
      </c>
      <c r="I521" s="1" t="s">
        <v>25</v>
      </c>
      <c r="J521" s="1" t="s">
        <v>182</v>
      </c>
      <c r="K521" s="1" t="s">
        <v>102</v>
      </c>
      <c r="L521" s="1">
        <v>77041</v>
      </c>
      <c r="M521" s="1" t="s">
        <v>103</v>
      </c>
      <c r="N521" s="1" t="s">
        <v>228</v>
      </c>
      <c r="O521" s="1" t="s">
        <v>69</v>
      </c>
      <c r="P521" s="1" t="s">
        <v>159</v>
      </c>
      <c r="Q521" s="1" t="s">
        <v>229</v>
      </c>
      <c r="R521" s="1">
        <v>18.391999999999999</v>
      </c>
      <c r="S521" s="1">
        <v>1</v>
      </c>
      <c r="T521" s="3">
        <v>0.2</v>
      </c>
      <c r="U521" s="4">
        <v>5.2877000000000001</v>
      </c>
      <c r="V521" s="1" t="str">
        <f t="shared" si="80"/>
        <v>Standard Class</v>
      </c>
      <c r="W521" s="1" t="str">
        <f t="shared" si="81"/>
        <v>Consumer</v>
      </c>
      <c r="X521" s="1" t="str">
        <f t="shared" si="82"/>
        <v>Houston - Texas</v>
      </c>
      <c r="Y521" s="1" t="str">
        <f t="shared" si="83"/>
        <v>Accessories</v>
      </c>
      <c r="Z521" s="1">
        <f t="shared" si="84"/>
        <v>18.391999999999999</v>
      </c>
      <c r="AA521" s="1">
        <f t="shared" si="85"/>
        <v>18.391999999999999</v>
      </c>
      <c r="AB521" s="1">
        <f t="shared" si="86"/>
        <v>18.391999999999999</v>
      </c>
      <c r="AC521" s="4">
        <f t="shared" si="87"/>
        <v>14.7136</v>
      </c>
      <c r="AD521" s="1" t="s">
        <v>2013</v>
      </c>
      <c r="AE521" s="1" t="str">
        <f t="shared" si="88"/>
        <v>2015</v>
      </c>
      <c r="AF521" s="1" t="str">
        <f t="shared" si="89"/>
        <v>157812</v>
      </c>
    </row>
    <row r="522" spans="1:32" x14ac:dyDescent="0.3">
      <c r="A522" s="1">
        <v>521</v>
      </c>
      <c r="B522" s="1" t="s">
        <v>1774</v>
      </c>
      <c r="C522" s="2">
        <v>42085</v>
      </c>
      <c r="D522" s="2">
        <v>42089</v>
      </c>
      <c r="E522" s="1" t="s">
        <v>48</v>
      </c>
      <c r="F522" s="1" t="s">
        <v>1775</v>
      </c>
      <c r="G522" s="1" t="s">
        <v>1776</v>
      </c>
      <c r="H522" s="1" t="s">
        <v>24</v>
      </c>
      <c r="I522" s="1" t="s">
        <v>25</v>
      </c>
      <c r="J522" s="1" t="s">
        <v>182</v>
      </c>
      <c r="K522" s="1" t="s">
        <v>102</v>
      </c>
      <c r="L522" s="1">
        <v>77041</v>
      </c>
      <c r="M522" s="1" t="s">
        <v>103</v>
      </c>
      <c r="N522" s="1" t="s">
        <v>1777</v>
      </c>
      <c r="O522" s="1" t="s">
        <v>44</v>
      </c>
      <c r="P522" s="1" t="s">
        <v>57</v>
      </c>
      <c r="Q522" s="1" t="s">
        <v>1778</v>
      </c>
      <c r="R522" s="1">
        <v>129.56800000000001</v>
      </c>
      <c r="S522" s="1">
        <v>2</v>
      </c>
      <c r="T522" s="3">
        <v>0.2</v>
      </c>
      <c r="U522" s="4">
        <v>-25.913599999999999</v>
      </c>
      <c r="V522" s="1" t="str">
        <f t="shared" si="80"/>
        <v>Standard Class</v>
      </c>
      <c r="W522" s="1" t="str">
        <f t="shared" si="81"/>
        <v>Consumer</v>
      </c>
      <c r="X522" s="1" t="str">
        <f t="shared" si="82"/>
        <v>Houston - Texas</v>
      </c>
      <c r="Y522" s="1" t="str">
        <f t="shared" si="83"/>
        <v>Storage</v>
      </c>
      <c r="Z522" s="1">
        <f t="shared" si="84"/>
        <v>129.56800000000001</v>
      </c>
      <c r="AA522" s="1">
        <f t="shared" si="85"/>
        <v>129.56800000000001</v>
      </c>
      <c r="AB522" s="1">
        <f t="shared" si="86"/>
        <v>259.13600000000002</v>
      </c>
      <c r="AC522" s="4">
        <f t="shared" si="87"/>
        <v>207.30880000000002</v>
      </c>
      <c r="AD522" s="1" t="s">
        <v>2013</v>
      </c>
      <c r="AE522" s="1" t="str">
        <f t="shared" si="88"/>
        <v>2015</v>
      </c>
      <c r="AF522" s="1" t="str">
        <f t="shared" si="89"/>
        <v>157812</v>
      </c>
    </row>
    <row r="523" spans="1:32" x14ac:dyDescent="0.3">
      <c r="A523" s="1">
        <v>522</v>
      </c>
      <c r="B523" s="1" t="s">
        <v>1774</v>
      </c>
      <c r="C523" s="2">
        <v>42085</v>
      </c>
      <c r="D523" s="2">
        <v>42089</v>
      </c>
      <c r="E523" s="1" t="s">
        <v>48</v>
      </c>
      <c r="F523" s="1" t="s">
        <v>1775</v>
      </c>
      <c r="G523" s="1" t="s">
        <v>1776</v>
      </c>
      <c r="H523" s="1" t="s">
        <v>24</v>
      </c>
      <c r="I523" s="1" t="s">
        <v>25</v>
      </c>
      <c r="J523" s="1" t="s">
        <v>182</v>
      </c>
      <c r="K523" s="1" t="s">
        <v>102</v>
      </c>
      <c r="L523" s="1">
        <v>77041</v>
      </c>
      <c r="M523" s="1" t="s">
        <v>103</v>
      </c>
      <c r="N523" s="1" t="s">
        <v>1779</v>
      </c>
      <c r="O523" s="1" t="s">
        <v>44</v>
      </c>
      <c r="P523" s="1" t="s">
        <v>73</v>
      </c>
      <c r="Q523" s="1" t="s">
        <v>1780</v>
      </c>
      <c r="R523" s="1">
        <v>14.112</v>
      </c>
      <c r="S523" s="1">
        <v>9</v>
      </c>
      <c r="T523" s="3">
        <v>0.8</v>
      </c>
      <c r="U523" s="4">
        <v>-21.167999999999999</v>
      </c>
      <c r="V523" s="1" t="str">
        <f t="shared" si="80"/>
        <v>Standard Class</v>
      </c>
      <c r="W523" s="1" t="str">
        <f t="shared" si="81"/>
        <v>Consumer</v>
      </c>
      <c r="X523" s="1" t="str">
        <f t="shared" si="82"/>
        <v>Houston - Texas</v>
      </c>
      <c r="Y523" s="1" t="str">
        <f t="shared" si="83"/>
        <v>Binders</v>
      </c>
      <c r="Z523" s="1">
        <f t="shared" si="84"/>
        <v>14.112</v>
      </c>
      <c r="AA523" s="1">
        <f t="shared" si="85"/>
        <v>14.112</v>
      </c>
      <c r="AB523" s="1">
        <f t="shared" si="86"/>
        <v>127.008</v>
      </c>
      <c r="AC523" s="4">
        <f t="shared" si="87"/>
        <v>25.401599999999995</v>
      </c>
      <c r="AD523" s="1" t="s">
        <v>2013</v>
      </c>
      <c r="AE523" s="1" t="str">
        <f t="shared" si="88"/>
        <v>2015</v>
      </c>
      <c r="AF523" s="1" t="str">
        <f t="shared" si="89"/>
        <v>157812</v>
      </c>
    </row>
    <row r="524" spans="1:32" x14ac:dyDescent="0.3">
      <c r="A524" s="1">
        <v>523</v>
      </c>
      <c r="B524" s="1" t="s">
        <v>1781</v>
      </c>
      <c r="C524" s="2">
        <v>42758</v>
      </c>
      <c r="D524" s="2">
        <v>42760</v>
      </c>
      <c r="E524" s="1" t="s">
        <v>186</v>
      </c>
      <c r="F524" s="1" t="s">
        <v>1782</v>
      </c>
      <c r="G524" s="1" t="s">
        <v>1783</v>
      </c>
      <c r="H524" s="1" t="s">
        <v>39</v>
      </c>
      <c r="I524" s="1" t="s">
        <v>25</v>
      </c>
      <c r="J524" s="1" t="s">
        <v>880</v>
      </c>
      <c r="K524" s="1" t="s">
        <v>236</v>
      </c>
      <c r="L524" s="1">
        <v>48234</v>
      </c>
      <c r="M524" s="1" t="s">
        <v>103</v>
      </c>
      <c r="N524" s="1" t="s">
        <v>1704</v>
      </c>
      <c r="O524" s="1" t="s">
        <v>30</v>
      </c>
      <c r="P524" s="1" t="s">
        <v>54</v>
      </c>
      <c r="Q524" s="1" t="s">
        <v>1705</v>
      </c>
      <c r="R524" s="1">
        <v>210.98</v>
      </c>
      <c r="S524" s="1">
        <v>2</v>
      </c>
      <c r="T524" s="3">
        <v>0</v>
      </c>
      <c r="U524" s="4">
        <v>21.097999999999999</v>
      </c>
      <c r="V524" s="1" t="str">
        <f t="shared" si="80"/>
        <v>First Class</v>
      </c>
      <c r="W524" s="1" t="str">
        <f t="shared" si="81"/>
        <v>Corporate</v>
      </c>
      <c r="X524" s="1" t="str">
        <f t="shared" si="82"/>
        <v>Detroit - Michigan</v>
      </c>
      <c r="Y524" s="1" t="str">
        <f t="shared" si="83"/>
        <v>Tables</v>
      </c>
      <c r="Z524" s="1">
        <f t="shared" si="84"/>
        <v>210.98</v>
      </c>
      <c r="AA524" s="1">
        <f t="shared" si="85"/>
        <v>210.98</v>
      </c>
      <c r="AB524" s="1">
        <f t="shared" si="86"/>
        <v>421.96</v>
      </c>
      <c r="AC524" s="4">
        <f t="shared" si="87"/>
        <v>421.96</v>
      </c>
      <c r="AD524" s="1" t="s">
        <v>2013</v>
      </c>
      <c r="AE524" s="1" t="str">
        <f t="shared" si="88"/>
        <v>2017</v>
      </c>
      <c r="AF524" s="1" t="str">
        <f t="shared" si="89"/>
        <v>145142</v>
      </c>
    </row>
    <row r="525" spans="1:32" x14ac:dyDescent="0.3">
      <c r="A525" s="1">
        <v>524</v>
      </c>
      <c r="B525" s="1" t="s">
        <v>1784</v>
      </c>
      <c r="C525" s="2">
        <v>42511</v>
      </c>
      <c r="D525" s="2">
        <v>42513</v>
      </c>
      <c r="E525" s="1" t="s">
        <v>186</v>
      </c>
      <c r="F525" s="1" t="s">
        <v>941</v>
      </c>
      <c r="G525" s="1" t="s">
        <v>942</v>
      </c>
      <c r="H525" s="1" t="s">
        <v>24</v>
      </c>
      <c r="I525" s="1" t="s">
        <v>25</v>
      </c>
      <c r="J525" s="1" t="s">
        <v>40</v>
      </c>
      <c r="K525" s="1" t="s">
        <v>41</v>
      </c>
      <c r="L525" s="1">
        <v>90032</v>
      </c>
      <c r="M525" s="1" t="s">
        <v>42</v>
      </c>
      <c r="N525" s="1" t="s">
        <v>1785</v>
      </c>
      <c r="O525" s="1" t="s">
        <v>69</v>
      </c>
      <c r="P525" s="1" t="s">
        <v>70</v>
      </c>
      <c r="Q525" s="1" t="s">
        <v>1786</v>
      </c>
      <c r="R525" s="1">
        <v>55.176000000000002</v>
      </c>
      <c r="S525" s="1">
        <v>3</v>
      </c>
      <c r="T525" s="3">
        <v>0.2</v>
      </c>
      <c r="U525" s="4">
        <v>-12.4146</v>
      </c>
      <c r="V525" s="1" t="str">
        <f t="shared" si="80"/>
        <v>First Class</v>
      </c>
      <c r="W525" s="1" t="str">
        <f t="shared" si="81"/>
        <v>Consumer</v>
      </c>
      <c r="X525" s="1" t="str">
        <f t="shared" si="82"/>
        <v>Los Angeles - California</v>
      </c>
      <c r="Y525" s="1" t="str">
        <f t="shared" si="83"/>
        <v>Phones</v>
      </c>
      <c r="Z525" s="1">
        <f t="shared" si="84"/>
        <v>55.176000000000002</v>
      </c>
      <c r="AA525" s="1">
        <f t="shared" si="85"/>
        <v>55.176000000000002</v>
      </c>
      <c r="AB525" s="1">
        <f t="shared" si="86"/>
        <v>165.52800000000002</v>
      </c>
      <c r="AC525" s="4">
        <f t="shared" si="87"/>
        <v>132.42240000000001</v>
      </c>
      <c r="AD525" s="1" t="s">
        <v>2014</v>
      </c>
      <c r="AE525" s="1" t="str">
        <f t="shared" si="88"/>
        <v>2016</v>
      </c>
      <c r="AF525" s="1" t="str">
        <f t="shared" si="89"/>
        <v>139486</v>
      </c>
    </row>
    <row r="526" spans="1:32" x14ac:dyDescent="0.3">
      <c r="A526" s="1">
        <v>525</v>
      </c>
      <c r="B526" s="1" t="s">
        <v>1784</v>
      </c>
      <c r="C526" s="2">
        <v>42511</v>
      </c>
      <c r="D526" s="2">
        <v>42513</v>
      </c>
      <c r="E526" s="1" t="s">
        <v>186</v>
      </c>
      <c r="F526" s="1" t="s">
        <v>941</v>
      </c>
      <c r="G526" s="1" t="s">
        <v>942</v>
      </c>
      <c r="H526" s="1" t="s">
        <v>24</v>
      </c>
      <c r="I526" s="1" t="s">
        <v>25</v>
      </c>
      <c r="J526" s="1" t="s">
        <v>40</v>
      </c>
      <c r="K526" s="1" t="s">
        <v>41</v>
      </c>
      <c r="L526" s="1">
        <v>90032</v>
      </c>
      <c r="M526" s="1" t="s">
        <v>42</v>
      </c>
      <c r="N526" s="1" t="s">
        <v>907</v>
      </c>
      <c r="O526" s="1" t="s">
        <v>69</v>
      </c>
      <c r="P526" s="1" t="s">
        <v>159</v>
      </c>
      <c r="Q526" s="1" t="s">
        <v>1787</v>
      </c>
      <c r="R526" s="1">
        <v>66.260000000000005</v>
      </c>
      <c r="S526" s="1">
        <v>2</v>
      </c>
      <c r="T526" s="3">
        <v>0</v>
      </c>
      <c r="U526" s="4">
        <v>27.166599999999999</v>
      </c>
      <c r="V526" s="1" t="str">
        <f t="shared" si="80"/>
        <v>First Class</v>
      </c>
      <c r="W526" s="1" t="str">
        <f t="shared" si="81"/>
        <v>Consumer</v>
      </c>
      <c r="X526" s="1" t="str">
        <f t="shared" si="82"/>
        <v>Los Angeles - California</v>
      </c>
      <c r="Y526" s="1" t="str">
        <f t="shared" si="83"/>
        <v>Accessories</v>
      </c>
      <c r="Z526" s="1">
        <f t="shared" si="84"/>
        <v>66.260000000000005</v>
      </c>
      <c r="AA526" s="1">
        <f t="shared" si="85"/>
        <v>66.260000000000005</v>
      </c>
      <c r="AB526" s="1">
        <f t="shared" si="86"/>
        <v>132.52000000000001</v>
      </c>
      <c r="AC526" s="4">
        <f t="shared" si="87"/>
        <v>132.52000000000001</v>
      </c>
      <c r="AD526" s="1" t="s">
        <v>2014</v>
      </c>
      <c r="AE526" s="1" t="str">
        <f t="shared" si="88"/>
        <v>2016</v>
      </c>
      <c r="AF526" s="1" t="str">
        <f t="shared" si="89"/>
        <v>139486</v>
      </c>
    </row>
    <row r="527" spans="1:32" x14ac:dyDescent="0.3">
      <c r="A527" s="1">
        <v>526</v>
      </c>
      <c r="B527" s="1" t="s">
        <v>1788</v>
      </c>
      <c r="C527" s="2">
        <v>42364</v>
      </c>
      <c r="D527" s="2">
        <v>42371</v>
      </c>
      <c r="E527" s="1" t="s">
        <v>48</v>
      </c>
      <c r="F527" s="1" t="s">
        <v>1789</v>
      </c>
      <c r="G527" s="1" t="s">
        <v>1790</v>
      </c>
      <c r="H527" s="1" t="s">
        <v>24</v>
      </c>
      <c r="I527" s="1" t="s">
        <v>25</v>
      </c>
      <c r="J527" s="1" t="s">
        <v>1482</v>
      </c>
      <c r="K527" s="1" t="s">
        <v>1246</v>
      </c>
      <c r="L527" s="1">
        <v>1841</v>
      </c>
      <c r="M527" s="1" t="s">
        <v>146</v>
      </c>
      <c r="N527" s="1" t="s">
        <v>1791</v>
      </c>
      <c r="O527" s="1" t="s">
        <v>44</v>
      </c>
      <c r="P527" s="1" t="s">
        <v>267</v>
      </c>
      <c r="Q527" s="1" t="s">
        <v>561</v>
      </c>
      <c r="R527" s="1">
        <v>22.2</v>
      </c>
      <c r="S527" s="1">
        <v>5</v>
      </c>
      <c r="T527" s="3">
        <v>0</v>
      </c>
      <c r="U527" s="4">
        <v>10.433999999999999</v>
      </c>
      <c r="V527" s="1" t="str">
        <f t="shared" si="80"/>
        <v>Standard Class</v>
      </c>
      <c r="W527" s="1" t="str">
        <f t="shared" si="81"/>
        <v>Consumer</v>
      </c>
      <c r="X527" s="1" t="str">
        <f t="shared" si="82"/>
        <v>Lawrence - Massachusetts</v>
      </c>
      <c r="Y527" s="1" t="str">
        <f t="shared" si="83"/>
        <v>Fasteners</v>
      </c>
      <c r="Z527" s="1">
        <f t="shared" si="84"/>
        <v>22.2</v>
      </c>
      <c r="AA527" s="1">
        <f t="shared" si="85"/>
        <v>22.2</v>
      </c>
      <c r="AB527" s="1">
        <f t="shared" si="86"/>
        <v>111</v>
      </c>
      <c r="AC527" s="4">
        <f t="shared" si="87"/>
        <v>111</v>
      </c>
      <c r="AD527" s="1" t="s">
        <v>2013</v>
      </c>
      <c r="AE527" s="1" t="str">
        <f t="shared" si="88"/>
        <v>2015</v>
      </c>
      <c r="AF527" s="1" t="str">
        <f t="shared" si="89"/>
        <v>158792</v>
      </c>
    </row>
    <row r="528" spans="1:32" x14ac:dyDescent="0.3">
      <c r="A528" s="1">
        <v>527</v>
      </c>
      <c r="B528" s="1" t="s">
        <v>1792</v>
      </c>
      <c r="C528" s="2">
        <v>43029</v>
      </c>
      <c r="D528" s="2">
        <v>43034</v>
      </c>
      <c r="E528" s="1" t="s">
        <v>48</v>
      </c>
      <c r="F528" s="1" t="s">
        <v>1793</v>
      </c>
      <c r="G528" s="1" t="s">
        <v>1794</v>
      </c>
      <c r="H528" s="1" t="s">
        <v>100</v>
      </c>
      <c r="I528" s="1" t="s">
        <v>25</v>
      </c>
      <c r="J528" s="1" t="s">
        <v>1795</v>
      </c>
      <c r="K528" s="1" t="s">
        <v>52</v>
      </c>
      <c r="L528" s="1">
        <v>33801</v>
      </c>
      <c r="M528" s="1" t="s">
        <v>28</v>
      </c>
      <c r="N528" s="1" t="s">
        <v>1796</v>
      </c>
      <c r="O528" s="1" t="s">
        <v>30</v>
      </c>
      <c r="P528" s="1" t="s">
        <v>34</v>
      </c>
      <c r="Q528" s="1" t="s">
        <v>1797</v>
      </c>
      <c r="R528" s="1">
        <v>683.952</v>
      </c>
      <c r="S528" s="1">
        <v>3</v>
      </c>
      <c r="T528" s="3">
        <v>0.2</v>
      </c>
      <c r="U528" s="4">
        <v>42.747</v>
      </c>
      <c r="V528" s="1" t="str">
        <f t="shared" si="80"/>
        <v>Standard Class</v>
      </c>
      <c r="W528" s="1" t="str">
        <f t="shared" si="81"/>
        <v>Home Office</v>
      </c>
      <c r="X528" s="1" t="str">
        <f t="shared" si="82"/>
        <v>Lakeland - Florida</v>
      </c>
      <c r="Y528" s="1" t="str">
        <f t="shared" si="83"/>
        <v>Chairs</v>
      </c>
      <c r="Z528" s="1">
        <f t="shared" si="84"/>
        <v>683.952</v>
      </c>
      <c r="AA528" s="1">
        <f t="shared" si="85"/>
        <v>683.952</v>
      </c>
      <c r="AB528" s="1">
        <f t="shared" si="86"/>
        <v>2051.8559999999998</v>
      </c>
      <c r="AC528" s="4">
        <f t="shared" si="87"/>
        <v>1641.4848</v>
      </c>
      <c r="AD528" s="1" t="s">
        <v>2013</v>
      </c>
      <c r="AE528" s="1" t="str">
        <f t="shared" si="88"/>
        <v>2017</v>
      </c>
      <c r="AF528" s="1" t="str">
        <f t="shared" si="89"/>
        <v>113558</v>
      </c>
    </row>
    <row r="529" spans="1:32" x14ac:dyDescent="0.3">
      <c r="A529" s="1">
        <v>528</v>
      </c>
      <c r="B529" s="1" t="s">
        <v>1792</v>
      </c>
      <c r="C529" s="2">
        <v>43029</v>
      </c>
      <c r="D529" s="2">
        <v>43034</v>
      </c>
      <c r="E529" s="1" t="s">
        <v>48</v>
      </c>
      <c r="F529" s="1" t="s">
        <v>1793</v>
      </c>
      <c r="G529" s="1" t="s">
        <v>1794</v>
      </c>
      <c r="H529" s="1" t="s">
        <v>100</v>
      </c>
      <c r="I529" s="1" t="s">
        <v>25</v>
      </c>
      <c r="J529" s="1" t="s">
        <v>1795</v>
      </c>
      <c r="K529" s="1" t="s">
        <v>52</v>
      </c>
      <c r="L529" s="1">
        <v>33801</v>
      </c>
      <c r="M529" s="1" t="s">
        <v>28</v>
      </c>
      <c r="N529" s="1" t="s">
        <v>1139</v>
      </c>
      <c r="O529" s="1" t="s">
        <v>30</v>
      </c>
      <c r="P529" s="1" t="s">
        <v>63</v>
      </c>
      <c r="Q529" s="1" t="s">
        <v>1140</v>
      </c>
      <c r="R529" s="1">
        <v>45.695999999999998</v>
      </c>
      <c r="S529" s="1">
        <v>3</v>
      </c>
      <c r="T529" s="3">
        <v>0.2</v>
      </c>
      <c r="U529" s="4">
        <v>5.1407999999999996</v>
      </c>
      <c r="V529" s="1" t="str">
        <f t="shared" si="80"/>
        <v>Standard Class</v>
      </c>
      <c r="W529" s="1" t="str">
        <f t="shared" si="81"/>
        <v>Home Office</v>
      </c>
      <c r="X529" s="1" t="str">
        <f t="shared" si="82"/>
        <v>Lakeland - Florida</v>
      </c>
      <c r="Y529" s="1" t="str">
        <f t="shared" si="83"/>
        <v>Furnishings</v>
      </c>
      <c r="Z529" s="1">
        <f t="shared" si="84"/>
        <v>45.695999999999998</v>
      </c>
      <c r="AA529" s="1">
        <f t="shared" si="85"/>
        <v>45.695999999999998</v>
      </c>
      <c r="AB529" s="1">
        <f t="shared" si="86"/>
        <v>137.08799999999999</v>
      </c>
      <c r="AC529" s="4">
        <f t="shared" si="87"/>
        <v>109.6704</v>
      </c>
      <c r="AD529" s="1" t="s">
        <v>2013</v>
      </c>
      <c r="AE529" s="1" t="str">
        <f t="shared" si="88"/>
        <v>2017</v>
      </c>
      <c r="AF529" s="1" t="str">
        <f t="shared" si="89"/>
        <v>113558</v>
      </c>
    </row>
    <row r="530" spans="1:32" x14ac:dyDescent="0.3">
      <c r="A530" s="1">
        <v>529</v>
      </c>
      <c r="B530" s="1" t="s">
        <v>1798</v>
      </c>
      <c r="C530" s="2">
        <v>42250</v>
      </c>
      <c r="D530" s="2">
        <v>42254</v>
      </c>
      <c r="E530" s="1" t="s">
        <v>48</v>
      </c>
      <c r="F530" s="1" t="s">
        <v>1799</v>
      </c>
      <c r="G530" s="1" t="s">
        <v>1800</v>
      </c>
      <c r="H530" s="1" t="s">
        <v>24</v>
      </c>
      <c r="I530" s="1" t="s">
        <v>25</v>
      </c>
      <c r="J530" s="1" t="s">
        <v>144</v>
      </c>
      <c r="K530" s="1" t="s">
        <v>145</v>
      </c>
      <c r="L530" s="1">
        <v>19134</v>
      </c>
      <c r="M530" s="1" t="s">
        <v>146</v>
      </c>
      <c r="N530" s="1" t="s">
        <v>1801</v>
      </c>
      <c r="O530" s="1" t="s">
        <v>44</v>
      </c>
      <c r="P530" s="1" t="s">
        <v>57</v>
      </c>
      <c r="Q530" s="1" t="s">
        <v>1802</v>
      </c>
      <c r="R530" s="1">
        <v>36.335999999999999</v>
      </c>
      <c r="S530" s="1">
        <v>3</v>
      </c>
      <c r="T530" s="3">
        <v>0.2</v>
      </c>
      <c r="U530" s="4">
        <v>-7.2671999999999999</v>
      </c>
      <c r="V530" s="1" t="str">
        <f t="shared" si="80"/>
        <v>Standard Class</v>
      </c>
      <c r="W530" s="1" t="str">
        <f t="shared" si="81"/>
        <v>Consumer</v>
      </c>
      <c r="X530" s="1" t="str">
        <f t="shared" si="82"/>
        <v>Philadelphia - Pennsylvania</v>
      </c>
      <c r="Y530" s="1" t="str">
        <f t="shared" si="83"/>
        <v>Storage</v>
      </c>
      <c r="Z530" s="1">
        <f t="shared" si="84"/>
        <v>36.335999999999999</v>
      </c>
      <c r="AA530" s="1">
        <f t="shared" si="85"/>
        <v>36.335999999999999</v>
      </c>
      <c r="AB530" s="1">
        <f t="shared" si="86"/>
        <v>109.008</v>
      </c>
      <c r="AC530" s="4">
        <f t="shared" si="87"/>
        <v>87.206400000000002</v>
      </c>
      <c r="AD530" s="1" t="s">
        <v>2014</v>
      </c>
      <c r="AE530" s="1" t="str">
        <f t="shared" si="88"/>
        <v>2015</v>
      </c>
      <c r="AF530" s="1" t="str">
        <f t="shared" si="89"/>
        <v>138303</v>
      </c>
    </row>
    <row r="531" spans="1:32" x14ac:dyDescent="0.3">
      <c r="A531" s="1">
        <v>530</v>
      </c>
      <c r="B531" s="1" t="s">
        <v>1798</v>
      </c>
      <c r="C531" s="2">
        <v>42250</v>
      </c>
      <c r="D531" s="2">
        <v>42254</v>
      </c>
      <c r="E531" s="1" t="s">
        <v>48</v>
      </c>
      <c r="F531" s="1" t="s">
        <v>1799</v>
      </c>
      <c r="G531" s="1" t="s">
        <v>1800</v>
      </c>
      <c r="H531" s="1" t="s">
        <v>24</v>
      </c>
      <c r="I531" s="1" t="s">
        <v>25</v>
      </c>
      <c r="J531" s="1" t="s">
        <v>144</v>
      </c>
      <c r="K531" s="1" t="s">
        <v>145</v>
      </c>
      <c r="L531" s="1">
        <v>19134</v>
      </c>
      <c r="M531" s="1" t="s">
        <v>146</v>
      </c>
      <c r="N531" s="1" t="s">
        <v>1803</v>
      </c>
      <c r="O531" s="1" t="s">
        <v>44</v>
      </c>
      <c r="P531" s="1" t="s">
        <v>577</v>
      </c>
      <c r="Q531" s="1" t="s">
        <v>1804</v>
      </c>
      <c r="R531" s="1">
        <v>666.24800000000005</v>
      </c>
      <c r="S531" s="1">
        <v>1</v>
      </c>
      <c r="T531" s="3">
        <v>0.2</v>
      </c>
      <c r="U531" s="4">
        <v>-149.9058</v>
      </c>
      <c r="V531" s="1" t="str">
        <f t="shared" si="80"/>
        <v>Standard Class</v>
      </c>
      <c r="W531" s="1" t="str">
        <f t="shared" si="81"/>
        <v>Consumer</v>
      </c>
      <c r="X531" s="1" t="str">
        <f t="shared" si="82"/>
        <v>Philadelphia - Pennsylvania</v>
      </c>
      <c r="Y531" s="1" t="str">
        <f t="shared" si="83"/>
        <v>Supplies</v>
      </c>
      <c r="Z531" s="1">
        <f t="shared" si="84"/>
        <v>666.24800000000005</v>
      </c>
      <c r="AA531" s="1">
        <f t="shared" si="85"/>
        <v>666.24800000000005</v>
      </c>
      <c r="AB531" s="1">
        <f t="shared" si="86"/>
        <v>666.24800000000005</v>
      </c>
      <c r="AC531" s="4">
        <f t="shared" si="87"/>
        <v>532.99840000000006</v>
      </c>
      <c r="AD531" s="1" t="s">
        <v>2014</v>
      </c>
      <c r="AE531" s="1" t="str">
        <f t="shared" si="88"/>
        <v>2015</v>
      </c>
      <c r="AF531" s="1" t="str">
        <f t="shared" si="89"/>
        <v>138303</v>
      </c>
    </row>
    <row r="532" spans="1:32" x14ac:dyDescent="0.3">
      <c r="A532" s="1">
        <v>531</v>
      </c>
      <c r="B532" s="1" t="s">
        <v>1798</v>
      </c>
      <c r="C532" s="2">
        <v>42250</v>
      </c>
      <c r="D532" s="2">
        <v>42254</v>
      </c>
      <c r="E532" s="1" t="s">
        <v>48</v>
      </c>
      <c r="F532" s="1" t="s">
        <v>1799</v>
      </c>
      <c r="G532" s="1" t="s">
        <v>1800</v>
      </c>
      <c r="H532" s="1" t="s">
        <v>24</v>
      </c>
      <c r="I532" s="1" t="s">
        <v>25</v>
      </c>
      <c r="J532" s="1" t="s">
        <v>144</v>
      </c>
      <c r="K532" s="1" t="s">
        <v>145</v>
      </c>
      <c r="L532" s="1">
        <v>19134</v>
      </c>
      <c r="M532" s="1" t="s">
        <v>146</v>
      </c>
      <c r="N532" s="1" t="s">
        <v>1805</v>
      </c>
      <c r="O532" s="1" t="s">
        <v>44</v>
      </c>
      <c r="P532" s="1" t="s">
        <v>171</v>
      </c>
      <c r="Q532" s="1" t="s">
        <v>1806</v>
      </c>
      <c r="R532" s="1">
        <v>52.512</v>
      </c>
      <c r="S532" s="1">
        <v>6</v>
      </c>
      <c r="T532" s="3">
        <v>0.2</v>
      </c>
      <c r="U532" s="4">
        <v>19.692</v>
      </c>
      <c r="V532" s="1" t="str">
        <f t="shared" si="80"/>
        <v>Standard Class</v>
      </c>
      <c r="W532" s="1" t="str">
        <f t="shared" si="81"/>
        <v>Consumer</v>
      </c>
      <c r="X532" s="1" t="str">
        <f t="shared" si="82"/>
        <v>Philadelphia - Pennsylvania</v>
      </c>
      <c r="Y532" s="1" t="str">
        <f t="shared" si="83"/>
        <v>Envelopes</v>
      </c>
      <c r="Z532" s="1">
        <f t="shared" si="84"/>
        <v>52.512</v>
      </c>
      <c r="AA532" s="1">
        <f t="shared" si="85"/>
        <v>52.512</v>
      </c>
      <c r="AB532" s="1">
        <f t="shared" si="86"/>
        <v>315.072</v>
      </c>
      <c r="AC532" s="4">
        <f t="shared" si="87"/>
        <v>252.05760000000001</v>
      </c>
      <c r="AD532" s="1" t="s">
        <v>2014</v>
      </c>
      <c r="AE532" s="1" t="str">
        <f t="shared" si="88"/>
        <v>2015</v>
      </c>
      <c r="AF532" s="1" t="str">
        <f t="shared" si="89"/>
        <v>138303</v>
      </c>
    </row>
    <row r="533" spans="1:32" x14ac:dyDescent="0.3">
      <c r="A533" s="1">
        <v>532</v>
      </c>
      <c r="B533" s="1" t="s">
        <v>1807</v>
      </c>
      <c r="C533" s="2">
        <v>42315</v>
      </c>
      <c r="D533" s="2">
        <v>42317</v>
      </c>
      <c r="E533" s="1" t="s">
        <v>21</v>
      </c>
      <c r="F533" s="1" t="s">
        <v>1808</v>
      </c>
      <c r="G533" s="1" t="s">
        <v>1809</v>
      </c>
      <c r="H533" s="1" t="s">
        <v>39</v>
      </c>
      <c r="I533" s="1" t="s">
        <v>25</v>
      </c>
      <c r="J533" s="1" t="s">
        <v>40</v>
      </c>
      <c r="K533" s="1" t="s">
        <v>41</v>
      </c>
      <c r="L533" s="1">
        <v>90036</v>
      </c>
      <c r="M533" s="1" t="s">
        <v>42</v>
      </c>
      <c r="N533" s="1" t="s">
        <v>1810</v>
      </c>
      <c r="O533" s="1" t="s">
        <v>30</v>
      </c>
      <c r="P533" s="1" t="s">
        <v>34</v>
      </c>
      <c r="Q533" s="1" t="s">
        <v>1811</v>
      </c>
      <c r="R533" s="1">
        <v>190.72</v>
      </c>
      <c r="S533" s="1">
        <v>1</v>
      </c>
      <c r="T533" s="3">
        <v>0.2</v>
      </c>
      <c r="U533" s="4">
        <v>11.92</v>
      </c>
      <c r="V533" s="1" t="str">
        <f t="shared" si="80"/>
        <v>Second Class</v>
      </c>
      <c r="W533" s="1" t="str">
        <f t="shared" si="81"/>
        <v>Corporate</v>
      </c>
      <c r="X533" s="1" t="str">
        <f t="shared" si="82"/>
        <v>Los Angeles - California</v>
      </c>
      <c r="Y533" s="1" t="str">
        <f t="shared" si="83"/>
        <v>Chairs</v>
      </c>
      <c r="Z533" s="1">
        <f t="shared" si="84"/>
        <v>190.72</v>
      </c>
      <c r="AA533" s="1">
        <f t="shared" si="85"/>
        <v>190.72</v>
      </c>
      <c r="AB533" s="1">
        <f t="shared" si="86"/>
        <v>190.72</v>
      </c>
      <c r="AC533" s="4">
        <f t="shared" si="87"/>
        <v>152.57599999999999</v>
      </c>
      <c r="AD533" s="1" t="s">
        <v>2013</v>
      </c>
      <c r="AE533" s="1" t="str">
        <f t="shared" si="88"/>
        <v>2015</v>
      </c>
      <c r="AF533" s="1" t="str">
        <f t="shared" si="89"/>
        <v>102848</v>
      </c>
    </row>
    <row r="534" spans="1:32" x14ac:dyDescent="0.3">
      <c r="A534" s="1">
        <v>533</v>
      </c>
      <c r="B534" s="1" t="s">
        <v>1812</v>
      </c>
      <c r="C534" s="2">
        <v>42985</v>
      </c>
      <c r="D534" s="2">
        <v>42989</v>
      </c>
      <c r="E534" s="1" t="s">
        <v>48</v>
      </c>
      <c r="F534" s="1" t="s">
        <v>1813</v>
      </c>
      <c r="G534" s="1" t="s">
        <v>1814</v>
      </c>
      <c r="H534" s="1" t="s">
        <v>24</v>
      </c>
      <c r="I534" s="1" t="s">
        <v>25</v>
      </c>
      <c r="J534" s="1" t="s">
        <v>40</v>
      </c>
      <c r="K534" s="1" t="s">
        <v>41</v>
      </c>
      <c r="L534" s="1">
        <v>90032</v>
      </c>
      <c r="M534" s="1" t="s">
        <v>42</v>
      </c>
      <c r="N534" s="1" t="s">
        <v>1815</v>
      </c>
      <c r="O534" s="1" t="s">
        <v>30</v>
      </c>
      <c r="P534" s="1" t="s">
        <v>63</v>
      </c>
      <c r="Q534" s="1" t="s">
        <v>1816</v>
      </c>
      <c r="R534" s="1">
        <v>47.94</v>
      </c>
      <c r="S534" s="1">
        <v>3</v>
      </c>
      <c r="T534" s="3">
        <v>0</v>
      </c>
      <c r="U534" s="4">
        <v>2.3969999999999998</v>
      </c>
      <c r="V534" s="1" t="str">
        <f t="shared" si="80"/>
        <v>Standard Class</v>
      </c>
      <c r="W534" s="1" t="str">
        <f t="shared" si="81"/>
        <v>Consumer</v>
      </c>
      <c r="X534" s="1" t="str">
        <f t="shared" si="82"/>
        <v>Los Angeles - California</v>
      </c>
      <c r="Y534" s="1" t="str">
        <f t="shared" si="83"/>
        <v>Furnishings</v>
      </c>
      <c r="Z534" s="1">
        <f t="shared" si="84"/>
        <v>47.94</v>
      </c>
      <c r="AA534" s="1">
        <f t="shared" si="85"/>
        <v>47.94</v>
      </c>
      <c r="AB534" s="1">
        <f t="shared" si="86"/>
        <v>143.82</v>
      </c>
      <c r="AC534" s="4">
        <f t="shared" si="87"/>
        <v>143.82</v>
      </c>
      <c r="AD534" s="1" t="s">
        <v>2014</v>
      </c>
      <c r="AE534" s="1" t="str">
        <f t="shared" si="88"/>
        <v>2017</v>
      </c>
      <c r="AF534" s="1" t="str">
        <f t="shared" si="89"/>
        <v>129441</v>
      </c>
    </row>
    <row r="535" spans="1:32" x14ac:dyDescent="0.3">
      <c r="A535" s="1">
        <v>534</v>
      </c>
      <c r="B535" s="1" t="s">
        <v>1817</v>
      </c>
      <c r="C535" s="2">
        <v>42519</v>
      </c>
      <c r="D535" s="2">
        <v>42522</v>
      </c>
      <c r="E535" s="1" t="s">
        <v>21</v>
      </c>
      <c r="F535" s="1" t="s">
        <v>1818</v>
      </c>
      <c r="G535" s="1" t="s">
        <v>1819</v>
      </c>
      <c r="H535" s="1" t="s">
        <v>24</v>
      </c>
      <c r="I535" s="1" t="s">
        <v>25</v>
      </c>
      <c r="J535" s="1" t="s">
        <v>1820</v>
      </c>
      <c r="K535" s="1" t="s">
        <v>356</v>
      </c>
      <c r="L535" s="1">
        <v>36116</v>
      </c>
      <c r="M535" s="1" t="s">
        <v>28</v>
      </c>
      <c r="N535" s="1" t="s">
        <v>1821</v>
      </c>
      <c r="O535" s="1" t="s">
        <v>69</v>
      </c>
      <c r="P535" s="1" t="s">
        <v>70</v>
      </c>
      <c r="Q535" s="1" t="s">
        <v>1822</v>
      </c>
      <c r="R535" s="1">
        <v>979.95</v>
      </c>
      <c r="S535" s="1">
        <v>5</v>
      </c>
      <c r="T535" s="3">
        <v>0</v>
      </c>
      <c r="U535" s="4">
        <v>274.38600000000002</v>
      </c>
      <c r="V535" s="1" t="str">
        <f t="shared" si="80"/>
        <v>Second Class</v>
      </c>
      <c r="W535" s="1" t="str">
        <f t="shared" si="81"/>
        <v>Consumer</v>
      </c>
      <c r="X535" s="1" t="str">
        <f t="shared" si="82"/>
        <v>Montgomery - Alabama</v>
      </c>
      <c r="Y535" s="1" t="str">
        <f t="shared" si="83"/>
        <v>Phones</v>
      </c>
      <c r="Z535" s="1">
        <f t="shared" si="84"/>
        <v>979.95</v>
      </c>
      <c r="AA535" s="1">
        <f t="shared" si="85"/>
        <v>979.95</v>
      </c>
      <c r="AB535" s="1">
        <f t="shared" si="86"/>
        <v>4899.75</v>
      </c>
      <c r="AC535" s="4">
        <f t="shared" si="87"/>
        <v>4899.75</v>
      </c>
      <c r="AD535" s="1" t="s">
        <v>2013</v>
      </c>
      <c r="AE535" s="1" t="str">
        <f t="shared" si="88"/>
        <v>2016</v>
      </c>
      <c r="AF535" s="1" t="str">
        <f t="shared" si="89"/>
        <v>168753</v>
      </c>
    </row>
    <row r="536" spans="1:32" x14ac:dyDescent="0.3">
      <c r="A536" s="1">
        <v>535</v>
      </c>
      <c r="B536" s="1" t="s">
        <v>1817</v>
      </c>
      <c r="C536" s="2">
        <v>42519</v>
      </c>
      <c r="D536" s="2">
        <v>42522</v>
      </c>
      <c r="E536" s="1" t="s">
        <v>21</v>
      </c>
      <c r="F536" s="1" t="s">
        <v>1818</v>
      </c>
      <c r="G536" s="1" t="s">
        <v>1819</v>
      </c>
      <c r="H536" s="1" t="s">
        <v>24</v>
      </c>
      <c r="I536" s="1" t="s">
        <v>25</v>
      </c>
      <c r="J536" s="1" t="s">
        <v>1820</v>
      </c>
      <c r="K536" s="1" t="s">
        <v>356</v>
      </c>
      <c r="L536" s="1">
        <v>36116</v>
      </c>
      <c r="M536" s="1" t="s">
        <v>28</v>
      </c>
      <c r="N536" s="1" t="s">
        <v>1023</v>
      </c>
      <c r="O536" s="1" t="s">
        <v>44</v>
      </c>
      <c r="P536" s="1" t="s">
        <v>73</v>
      </c>
      <c r="Q536" s="1" t="s">
        <v>1024</v>
      </c>
      <c r="R536" s="1">
        <v>22.75</v>
      </c>
      <c r="S536" s="1">
        <v>5</v>
      </c>
      <c r="T536" s="3">
        <v>0</v>
      </c>
      <c r="U536" s="4">
        <v>11.375</v>
      </c>
      <c r="V536" s="1" t="str">
        <f t="shared" si="80"/>
        <v>Second Class</v>
      </c>
      <c r="W536" s="1" t="str">
        <f t="shared" si="81"/>
        <v>Consumer</v>
      </c>
      <c r="X536" s="1" t="str">
        <f t="shared" si="82"/>
        <v>Montgomery - Alabama</v>
      </c>
      <c r="Y536" s="1" t="str">
        <f t="shared" si="83"/>
        <v>Binders</v>
      </c>
      <c r="Z536" s="1">
        <f t="shared" si="84"/>
        <v>22.75</v>
      </c>
      <c r="AA536" s="1">
        <f t="shared" si="85"/>
        <v>22.75</v>
      </c>
      <c r="AB536" s="1">
        <f t="shared" si="86"/>
        <v>113.75</v>
      </c>
      <c r="AC536" s="4">
        <f t="shared" si="87"/>
        <v>113.75</v>
      </c>
      <c r="AD536" s="1" t="s">
        <v>2013</v>
      </c>
      <c r="AE536" s="1" t="str">
        <f t="shared" si="88"/>
        <v>2016</v>
      </c>
      <c r="AF536" s="1" t="str">
        <f t="shared" si="89"/>
        <v>168753</v>
      </c>
    </row>
    <row r="537" spans="1:32" x14ac:dyDescent="0.3">
      <c r="A537" s="1">
        <v>536</v>
      </c>
      <c r="B537" s="1" t="s">
        <v>1823</v>
      </c>
      <c r="C537" s="2">
        <v>42561</v>
      </c>
      <c r="D537" s="2">
        <v>42567</v>
      </c>
      <c r="E537" s="1" t="s">
        <v>48</v>
      </c>
      <c r="F537" s="1" t="s">
        <v>1824</v>
      </c>
      <c r="G537" s="1" t="s">
        <v>1825</v>
      </c>
      <c r="H537" s="1" t="s">
        <v>24</v>
      </c>
      <c r="I537" s="1" t="s">
        <v>25</v>
      </c>
      <c r="J537" s="1" t="s">
        <v>1826</v>
      </c>
      <c r="K537" s="1" t="s">
        <v>308</v>
      </c>
      <c r="L537" s="1">
        <v>85204</v>
      </c>
      <c r="M537" s="1" t="s">
        <v>42</v>
      </c>
      <c r="N537" s="1" t="s">
        <v>1827</v>
      </c>
      <c r="O537" s="1" t="s">
        <v>44</v>
      </c>
      <c r="P537" s="1" t="s">
        <v>57</v>
      </c>
      <c r="Q537" s="1" t="s">
        <v>1828</v>
      </c>
      <c r="R537" s="1">
        <v>16.768000000000001</v>
      </c>
      <c r="S537" s="1">
        <v>2</v>
      </c>
      <c r="T537" s="3">
        <v>0.2</v>
      </c>
      <c r="U537" s="4">
        <v>1.4672000000000001</v>
      </c>
      <c r="V537" s="1" t="str">
        <f t="shared" si="80"/>
        <v>Standard Class</v>
      </c>
      <c r="W537" s="1" t="str">
        <f t="shared" si="81"/>
        <v>Consumer</v>
      </c>
      <c r="X537" s="1" t="str">
        <f t="shared" si="82"/>
        <v>Mesa - Arizona</v>
      </c>
      <c r="Y537" s="1" t="str">
        <f t="shared" si="83"/>
        <v>Storage</v>
      </c>
      <c r="Z537" s="1">
        <f t="shared" si="84"/>
        <v>16.768000000000001</v>
      </c>
      <c r="AA537" s="1">
        <f t="shared" si="85"/>
        <v>16.768000000000001</v>
      </c>
      <c r="AB537" s="1">
        <f t="shared" si="86"/>
        <v>33.536000000000001</v>
      </c>
      <c r="AC537" s="4">
        <f t="shared" si="87"/>
        <v>26.828800000000001</v>
      </c>
      <c r="AD537" s="1" t="s">
        <v>2013</v>
      </c>
      <c r="AE537" s="1" t="str">
        <f t="shared" si="88"/>
        <v>2016</v>
      </c>
      <c r="AF537" s="1" t="str">
        <f t="shared" si="89"/>
        <v>126613</v>
      </c>
    </row>
    <row r="538" spans="1:32" x14ac:dyDescent="0.3">
      <c r="A538" s="1">
        <v>537</v>
      </c>
      <c r="B538" s="1" t="s">
        <v>1829</v>
      </c>
      <c r="C538" s="2">
        <v>42981</v>
      </c>
      <c r="D538" s="2">
        <v>42986</v>
      </c>
      <c r="E538" s="1" t="s">
        <v>21</v>
      </c>
      <c r="F538" s="1" t="s">
        <v>1830</v>
      </c>
      <c r="G538" s="1" t="s">
        <v>1831</v>
      </c>
      <c r="H538" s="1"/>
      <c r="I538" s="1" t="s">
        <v>25</v>
      </c>
      <c r="J538" s="1" t="s">
        <v>301</v>
      </c>
      <c r="K538" s="1" t="s">
        <v>209</v>
      </c>
      <c r="L538" s="1">
        <v>60653</v>
      </c>
      <c r="M538" s="1" t="s">
        <v>103</v>
      </c>
      <c r="N538" s="1" t="s">
        <v>1832</v>
      </c>
      <c r="O538" s="1" t="s">
        <v>44</v>
      </c>
      <c r="P538" s="1" t="s">
        <v>73</v>
      </c>
      <c r="Q538" s="1" t="s">
        <v>1833</v>
      </c>
      <c r="R538" s="1">
        <v>42.616</v>
      </c>
      <c r="S538" s="1">
        <v>7</v>
      </c>
      <c r="T538" s="3">
        <v>0.8</v>
      </c>
      <c r="U538" s="4">
        <v>-68.185599999999994</v>
      </c>
      <c r="V538" s="1" t="str">
        <f t="shared" si="80"/>
        <v>Second Class</v>
      </c>
      <c r="W538" s="1" t="str">
        <f t="shared" si="81"/>
        <v>UNKNOWN</v>
      </c>
      <c r="X538" s="1" t="str">
        <f t="shared" si="82"/>
        <v>Chicago - Illinois</v>
      </c>
      <c r="Y538" s="1" t="str">
        <f t="shared" si="83"/>
        <v>Binders</v>
      </c>
      <c r="Z538" s="1">
        <f t="shared" si="84"/>
        <v>42.616</v>
      </c>
      <c r="AA538" s="1">
        <f t="shared" si="85"/>
        <v>42.616</v>
      </c>
      <c r="AB538" s="1">
        <f t="shared" si="86"/>
        <v>298.31200000000001</v>
      </c>
      <c r="AC538" s="4">
        <f t="shared" si="87"/>
        <v>59.662399999999991</v>
      </c>
      <c r="AD538" s="1" t="s">
        <v>2014</v>
      </c>
      <c r="AE538" s="1" t="str">
        <f t="shared" si="88"/>
        <v>2017</v>
      </c>
      <c r="AF538" s="1" t="str">
        <f t="shared" si="89"/>
        <v>122637</v>
      </c>
    </row>
    <row r="539" spans="1:32" x14ac:dyDescent="0.3">
      <c r="A539" s="1">
        <v>538</v>
      </c>
      <c r="B539" s="1" t="s">
        <v>1834</v>
      </c>
      <c r="C539" s="2">
        <v>42341</v>
      </c>
      <c r="D539" s="2">
        <v>42346</v>
      </c>
      <c r="E539" s="1" t="s">
        <v>48</v>
      </c>
      <c r="F539" s="1" t="s">
        <v>762</v>
      </c>
      <c r="G539" s="1" t="s">
        <v>763</v>
      </c>
      <c r="H539" s="1" t="s">
        <v>100</v>
      </c>
      <c r="I539" s="1" t="s">
        <v>25</v>
      </c>
      <c r="J539" s="1" t="s">
        <v>264</v>
      </c>
      <c r="K539" s="1" t="s">
        <v>265</v>
      </c>
      <c r="L539" s="1">
        <v>10009</v>
      </c>
      <c r="M539" s="1" t="s">
        <v>146</v>
      </c>
      <c r="N539" s="1" t="s">
        <v>1835</v>
      </c>
      <c r="O539" s="1" t="s">
        <v>44</v>
      </c>
      <c r="P539" s="1" t="s">
        <v>73</v>
      </c>
      <c r="Q539" s="1" t="s">
        <v>1836</v>
      </c>
      <c r="R539" s="1">
        <v>10.752000000000001</v>
      </c>
      <c r="S539" s="1">
        <v>4</v>
      </c>
      <c r="T539" s="3">
        <v>0.2</v>
      </c>
      <c r="U539" s="4">
        <v>3.36</v>
      </c>
      <c r="V539" s="1" t="str">
        <f t="shared" si="80"/>
        <v>Standard Class</v>
      </c>
      <c r="W539" s="1" t="str">
        <f t="shared" si="81"/>
        <v>Home Office</v>
      </c>
      <c r="X539" s="1" t="str">
        <f t="shared" si="82"/>
        <v>New York City - New York</v>
      </c>
      <c r="Y539" s="1" t="str">
        <f t="shared" si="83"/>
        <v>Binders</v>
      </c>
      <c r="Z539" s="1">
        <f t="shared" si="84"/>
        <v>10.752000000000001</v>
      </c>
      <c r="AA539" s="1">
        <f t="shared" si="85"/>
        <v>10.752000000000001</v>
      </c>
      <c r="AB539" s="1">
        <f t="shared" si="86"/>
        <v>43.008000000000003</v>
      </c>
      <c r="AC539" s="4">
        <f t="shared" si="87"/>
        <v>34.406400000000005</v>
      </c>
      <c r="AD539" s="1" t="s">
        <v>2013</v>
      </c>
      <c r="AE539" s="1" t="str">
        <f t="shared" si="88"/>
        <v>2015</v>
      </c>
      <c r="AF539" s="1" t="str">
        <f t="shared" si="89"/>
        <v>147851</v>
      </c>
    </row>
    <row r="540" spans="1:32" x14ac:dyDescent="0.3">
      <c r="A540" s="1">
        <v>539</v>
      </c>
      <c r="B540" s="1" t="s">
        <v>1837</v>
      </c>
      <c r="C540" s="2">
        <v>42345</v>
      </c>
      <c r="D540" s="2">
        <v>42349</v>
      </c>
      <c r="E540" s="1" t="s">
        <v>48</v>
      </c>
      <c r="F540" s="1" t="s">
        <v>1838</v>
      </c>
      <c r="G540" s="1" t="s">
        <v>1839</v>
      </c>
      <c r="H540" s="1" t="s">
        <v>24</v>
      </c>
      <c r="I540" s="1" t="s">
        <v>25</v>
      </c>
      <c r="J540" s="1" t="s">
        <v>26</v>
      </c>
      <c r="K540" s="1" t="s">
        <v>27</v>
      </c>
      <c r="L540" s="1">
        <v>42420</v>
      </c>
      <c r="M540" s="1" t="s">
        <v>28</v>
      </c>
      <c r="N540" s="1" t="s">
        <v>1840</v>
      </c>
      <c r="O540" s="1" t="s">
        <v>44</v>
      </c>
      <c r="P540" s="1" t="s">
        <v>76</v>
      </c>
      <c r="Q540" s="1" t="s">
        <v>1841</v>
      </c>
      <c r="R540" s="1">
        <v>152.94</v>
      </c>
      <c r="S540" s="1">
        <v>3</v>
      </c>
      <c r="T540" s="3">
        <v>0</v>
      </c>
      <c r="U540" s="4">
        <v>41.293799999999997</v>
      </c>
      <c r="V540" s="1" t="str">
        <f t="shared" si="80"/>
        <v>Standard Class</v>
      </c>
      <c r="W540" s="1" t="str">
        <f t="shared" si="81"/>
        <v>Consumer</v>
      </c>
      <c r="X540" s="1" t="str">
        <f t="shared" si="82"/>
        <v>Henderson - Kentucky</v>
      </c>
      <c r="Y540" s="1" t="str">
        <f t="shared" si="83"/>
        <v>Appliances</v>
      </c>
      <c r="Z540" s="1">
        <f t="shared" si="84"/>
        <v>152.94</v>
      </c>
      <c r="AA540" s="1">
        <f t="shared" si="85"/>
        <v>152.94</v>
      </c>
      <c r="AB540" s="1">
        <f t="shared" si="86"/>
        <v>458.82</v>
      </c>
      <c r="AC540" s="4">
        <f t="shared" si="87"/>
        <v>458.82</v>
      </c>
      <c r="AD540" s="1" t="s">
        <v>2013</v>
      </c>
      <c r="AE540" s="1" t="str">
        <f t="shared" si="88"/>
        <v>2015</v>
      </c>
      <c r="AF540" s="1" t="str">
        <f t="shared" si="89"/>
        <v>134894</v>
      </c>
    </row>
    <row r="541" spans="1:32" x14ac:dyDescent="0.3">
      <c r="A541" s="1">
        <v>540</v>
      </c>
      <c r="B541" s="1" t="s">
        <v>1837</v>
      </c>
      <c r="C541" s="2">
        <v>42345</v>
      </c>
      <c r="D541" s="2">
        <v>42349</v>
      </c>
      <c r="E541" s="1" t="s">
        <v>48</v>
      </c>
      <c r="F541" s="1" t="s">
        <v>1838</v>
      </c>
      <c r="G541" s="1" t="s">
        <v>1839</v>
      </c>
      <c r="H541" s="1" t="s">
        <v>24</v>
      </c>
      <c r="I541" s="1" t="s">
        <v>25</v>
      </c>
      <c r="J541" s="1" t="s">
        <v>26</v>
      </c>
      <c r="K541" s="1" t="s">
        <v>27</v>
      </c>
      <c r="L541" s="1">
        <v>42420</v>
      </c>
      <c r="M541" s="1" t="s">
        <v>28</v>
      </c>
      <c r="N541" s="1" t="s">
        <v>1842</v>
      </c>
      <c r="O541" s="1" t="s">
        <v>30</v>
      </c>
      <c r="P541" s="1" t="s">
        <v>34</v>
      </c>
      <c r="Q541" s="1" t="s">
        <v>1843</v>
      </c>
      <c r="R541" s="1">
        <v>283.92</v>
      </c>
      <c r="S541" s="1">
        <v>4</v>
      </c>
      <c r="T541" s="3">
        <v>0</v>
      </c>
      <c r="U541" s="4">
        <v>70.98</v>
      </c>
      <c r="V541" s="1" t="str">
        <f t="shared" si="80"/>
        <v>Standard Class</v>
      </c>
      <c r="W541" s="1" t="str">
        <f t="shared" si="81"/>
        <v>Consumer</v>
      </c>
      <c r="X541" s="1" t="str">
        <f t="shared" si="82"/>
        <v>Henderson - Kentucky</v>
      </c>
      <c r="Y541" s="1" t="str">
        <f t="shared" si="83"/>
        <v>Chairs</v>
      </c>
      <c r="Z541" s="1">
        <f t="shared" si="84"/>
        <v>283.92</v>
      </c>
      <c r="AA541" s="1">
        <f t="shared" si="85"/>
        <v>283.92</v>
      </c>
      <c r="AB541" s="1">
        <f t="shared" si="86"/>
        <v>1135.68</v>
      </c>
      <c r="AC541" s="4">
        <f t="shared" si="87"/>
        <v>1135.68</v>
      </c>
      <c r="AD541" s="1" t="s">
        <v>2013</v>
      </c>
      <c r="AE541" s="1" t="str">
        <f t="shared" si="88"/>
        <v>2015</v>
      </c>
      <c r="AF541" s="1" t="str">
        <f t="shared" si="89"/>
        <v>134894</v>
      </c>
    </row>
    <row r="542" spans="1:32" x14ac:dyDescent="0.3">
      <c r="A542" s="1">
        <v>541</v>
      </c>
      <c r="B542" s="1" t="s">
        <v>1844</v>
      </c>
      <c r="C542" s="2">
        <v>41671</v>
      </c>
      <c r="D542" s="2">
        <v>41673</v>
      </c>
      <c r="E542" s="1" t="s">
        <v>186</v>
      </c>
      <c r="F542" s="1" t="s">
        <v>1845</v>
      </c>
      <c r="G542" s="1" t="s">
        <v>1846</v>
      </c>
      <c r="H542" s="1" t="s">
        <v>24</v>
      </c>
      <c r="I542" s="1" t="s">
        <v>25</v>
      </c>
      <c r="J542" s="1" t="s">
        <v>1847</v>
      </c>
      <c r="K542" s="1" t="s">
        <v>112</v>
      </c>
      <c r="L542" s="1">
        <v>54302</v>
      </c>
      <c r="M542" s="1" t="s">
        <v>103</v>
      </c>
      <c r="N542" s="1" t="s">
        <v>1848</v>
      </c>
      <c r="O542" s="1" t="s">
        <v>69</v>
      </c>
      <c r="P542" s="1" t="s">
        <v>159</v>
      </c>
      <c r="Q542" s="1" t="s">
        <v>1849</v>
      </c>
      <c r="R542" s="1">
        <v>468.9</v>
      </c>
      <c r="S542" s="1">
        <v>6</v>
      </c>
      <c r="T542" s="3">
        <v>0</v>
      </c>
      <c r="U542" s="4">
        <v>206.316</v>
      </c>
      <c r="V542" s="1" t="str">
        <f t="shared" si="80"/>
        <v>First Class</v>
      </c>
      <c r="W542" s="1" t="str">
        <f t="shared" si="81"/>
        <v>Consumer</v>
      </c>
      <c r="X542" s="1" t="str">
        <f t="shared" si="82"/>
        <v>Green Bay - Wisconsin</v>
      </c>
      <c r="Y542" s="1" t="str">
        <f t="shared" si="83"/>
        <v>Accessories</v>
      </c>
      <c r="Z542" s="1">
        <f t="shared" si="84"/>
        <v>468.9</v>
      </c>
      <c r="AA542" s="1">
        <f t="shared" si="85"/>
        <v>468.9</v>
      </c>
      <c r="AB542" s="1">
        <f t="shared" si="86"/>
        <v>2813.3999999999996</v>
      </c>
      <c r="AC542" s="4">
        <f t="shared" si="87"/>
        <v>2813.3999999999996</v>
      </c>
      <c r="AD542" s="1" t="s">
        <v>2013</v>
      </c>
      <c r="AE542" s="1" t="str">
        <f t="shared" si="88"/>
        <v>2014</v>
      </c>
      <c r="AF542" s="1" t="str">
        <f t="shared" si="89"/>
        <v>140795</v>
      </c>
    </row>
    <row r="543" spans="1:32" x14ac:dyDescent="0.3">
      <c r="A543" s="1">
        <v>542</v>
      </c>
      <c r="B543" s="1" t="s">
        <v>1850</v>
      </c>
      <c r="C543" s="2">
        <v>42565</v>
      </c>
      <c r="D543" s="2">
        <v>42568</v>
      </c>
      <c r="E543" s="1" t="s">
        <v>186</v>
      </c>
      <c r="F543" s="1" t="s">
        <v>218</v>
      </c>
      <c r="G543" s="1" t="s">
        <v>219</v>
      </c>
      <c r="H543" s="1" t="s">
        <v>39</v>
      </c>
      <c r="I543" s="1" t="s">
        <v>25</v>
      </c>
      <c r="J543" s="1" t="s">
        <v>1312</v>
      </c>
      <c r="K543" s="1" t="s">
        <v>308</v>
      </c>
      <c r="L543" s="1">
        <v>85705</v>
      </c>
      <c r="M543" s="1" t="s">
        <v>42</v>
      </c>
      <c r="N543" s="1" t="s">
        <v>1851</v>
      </c>
      <c r="O543" s="1" t="s">
        <v>69</v>
      </c>
      <c r="P543" s="1" t="s">
        <v>70</v>
      </c>
      <c r="Q543" s="1" t="s">
        <v>1852</v>
      </c>
      <c r="R543" s="1">
        <v>380.86399999999998</v>
      </c>
      <c r="S543" s="1">
        <v>8</v>
      </c>
      <c r="T543" s="3">
        <v>0.2</v>
      </c>
      <c r="U543" s="4">
        <v>38.086399999999998</v>
      </c>
      <c r="V543" s="1" t="str">
        <f t="shared" si="80"/>
        <v>First Class</v>
      </c>
      <c r="W543" s="1" t="str">
        <f t="shared" si="81"/>
        <v>Corporate</v>
      </c>
      <c r="X543" s="1" t="str">
        <f t="shared" si="82"/>
        <v>Tucson - Arizona</v>
      </c>
      <c r="Y543" s="1" t="str">
        <f t="shared" si="83"/>
        <v>Phones</v>
      </c>
      <c r="Z543" s="1">
        <f t="shared" si="84"/>
        <v>380.86399999999998</v>
      </c>
      <c r="AA543" s="1">
        <f t="shared" si="85"/>
        <v>380.86399999999998</v>
      </c>
      <c r="AB543" s="1">
        <f t="shared" si="86"/>
        <v>3046.9119999999998</v>
      </c>
      <c r="AC543" s="4">
        <f t="shared" si="87"/>
        <v>2437.5295999999998</v>
      </c>
      <c r="AD543" s="1" t="s">
        <v>2013</v>
      </c>
      <c r="AE543" s="1" t="str">
        <f t="shared" si="88"/>
        <v>2016</v>
      </c>
      <c r="AF543" s="1" t="str">
        <f t="shared" si="89"/>
        <v>136924</v>
      </c>
    </row>
    <row r="544" spans="1:32" x14ac:dyDescent="0.3">
      <c r="A544" s="1">
        <v>543</v>
      </c>
      <c r="B544" s="1" t="s">
        <v>1853</v>
      </c>
      <c r="C544" s="2">
        <v>42356</v>
      </c>
      <c r="D544" s="2">
        <v>42361</v>
      </c>
      <c r="E544" s="1" t="s">
        <v>48</v>
      </c>
      <c r="F544" s="1" t="s">
        <v>1854</v>
      </c>
      <c r="G544" s="1" t="s">
        <v>1855</v>
      </c>
      <c r="H544" s="1" t="s">
        <v>24</v>
      </c>
      <c r="I544" s="1" t="s">
        <v>25</v>
      </c>
      <c r="J544" s="1" t="s">
        <v>316</v>
      </c>
      <c r="K544" s="1" t="s">
        <v>496</v>
      </c>
      <c r="L544" s="1">
        <v>45503</v>
      </c>
      <c r="M544" s="1" t="s">
        <v>146</v>
      </c>
      <c r="N544" s="1" t="s">
        <v>1692</v>
      </c>
      <c r="O544" s="1" t="s">
        <v>44</v>
      </c>
      <c r="P544" s="1" t="s">
        <v>57</v>
      </c>
      <c r="Q544" s="1" t="s">
        <v>1693</v>
      </c>
      <c r="R544" s="1">
        <v>646.77599999999995</v>
      </c>
      <c r="S544" s="1">
        <v>9</v>
      </c>
      <c r="T544" s="3">
        <v>0.2</v>
      </c>
      <c r="U544" s="4">
        <v>-145.52459999999999</v>
      </c>
      <c r="V544" s="1" t="str">
        <f t="shared" si="80"/>
        <v>Standard Class</v>
      </c>
      <c r="W544" s="1" t="str">
        <f t="shared" si="81"/>
        <v>Consumer</v>
      </c>
      <c r="X544" s="1" t="str">
        <f t="shared" si="82"/>
        <v>Springfield - Ohio</v>
      </c>
      <c r="Y544" s="1" t="str">
        <f t="shared" si="83"/>
        <v>Storage</v>
      </c>
      <c r="Z544" s="1">
        <f t="shared" si="84"/>
        <v>646.77599999999995</v>
      </c>
      <c r="AA544" s="1">
        <f t="shared" si="85"/>
        <v>646.77599999999995</v>
      </c>
      <c r="AB544" s="1">
        <f t="shared" si="86"/>
        <v>5820.9839999999995</v>
      </c>
      <c r="AC544" s="4">
        <f t="shared" si="87"/>
        <v>4656.7871999999998</v>
      </c>
      <c r="AD544" s="1" t="s">
        <v>2014</v>
      </c>
      <c r="AE544" s="1" t="str">
        <f t="shared" si="88"/>
        <v>2015</v>
      </c>
      <c r="AF544" s="1" t="str">
        <f t="shared" si="89"/>
        <v>120161</v>
      </c>
    </row>
    <row r="545" spans="1:32" x14ac:dyDescent="0.3">
      <c r="A545" s="1">
        <v>544</v>
      </c>
      <c r="B545" s="1" t="s">
        <v>1856</v>
      </c>
      <c r="C545" s="2">
        <v>41770</v>
      </c>
      <c r="D545" s="2">
        <v>41775</v>
      </c>
      <c r="E545" s="1" t="s">
        <v>48</v>
      </c>
      <c r="F545" s="1" t="s">
        <v>385</v>
      </c>
      <c r="G545" s="1" t="s">
        <v>386</v>
      </c>
      <c r="H545" s="1" t="s">
        <v>24</v>
      </c>
      <c r="I545" s="1" t="s">
        <v>25</v>
      </c>
      <c r="J545" s="1" t="s">
        <v>101</v>
      </c>
      <c r="K545" s="1" t="s">
        <v>102</v>
      </c>
      <c r="L545" s="1">
        <v>76106</v>
      </c>
      <c r="M545" s="1" t="s">
        <v>103</v>
      </c>
      <c r="N545" s="1" t="s">
        <v>1857</v>
      </c>
      <c r="O545" s="1" t="s">
        <v>69</v>
      </c>
      <c r="P545" s="1" t="s">
        <v>159</v>
      </c>
      <c r="Q545" s="1" t="s">
        <v>1858</v>
      </c>
      <c r="R545" s="1">
        <v>58.112000000000002</v>
      </c>
      <c r="S545" s="1">
        <v>2</v>
      </c>
      <c r="T545" s="3">
        <v>0.2</v>
      </c>
      <c r="U545" s="4">
        <v>7.2640000000000002</v>
      </c>
      <c r="V545" s="1" t="str">
        <f t="shared" si="80"/>
        <v>Standard Class</v>
      </c>
      <c r="W545" s="1" t="str">
        <f t="shared" si="81"/>
        <v>Consumer</v>
      </c>
      <c r="X545" s="1" t="str">
        <f t="shared" si="82"/>
        <v>Fort Worth - Texas</v>
      </c>
      <c r="Y545" s="1" t="str">
        <f t="shared" si="83"/>
        <v>Accessories</v>
      </c>
      <c r="Z545" s="1">
        <f t="shared" si="84"/>
        <v>58.112000000000002</v>
      </c>
      <c r="AA545" s="1">
        <f t="shared" si="85"/>
        <v>58.112000000000002</v>
      </c>
      <c r="AB545" s="1">
        <f t="shared" si="86"/>
        <v>116.224</v>
      </c>
      <c r="AC545" s="4">
        <f t="shared" si="87"/>
        <v>92.979200000000006</v>
      </c>
      <c r="AD545" s="1" t="s">
        <v>2013</v>
      </c>
      <c r="AE545" s="1" t="str">
        <f t="shared" si="88"/>
        <v>2014</v>
      </c>
      <c r="AF545" s="1" t="str">
        <f t="shared" si="89"/>
        <v>103849</v>
      </c>
    </row>
    <row r="546" spans="1:32" x14ac:dyDescent="0.3">
      <c r="A546" s="1">
        <v>545</v>
      </c>
      <c r="B546" s="1" t="s">
        <v>1856</v>
      </c>
      <c r="C546" s="2">
        <v>41770</v>
      </c>
      <c r="D546" s="2">
        <v>41775</v>
      </c>
      <c r="E546" s="1" t="s">
        <v>48</v>
      </c>
      <c r="F546" s="1" t="s">
        <v>385</v>
      </c>
      <c r="G546" s="1" t="s">
        <v>386</v>
      </c>
      <c r="H546" s="1" t="s">
        <v>24</v>
      </c>
      <c r="I546" s="1" t="s">
        <v>25</v>
      </c>
      <c r="J546" s="1" t="s">
        <v>101</v>
      </c>
      <c r="K546" s="1" t="s">
        <v>102</v>
      </c>
      <c r="L546" s="1">
        <v>76106</v>
      </c>
      <c r="M546" s="1" t="s">
        <v>103</v>
      </c>
      <c r="N546" s="1" t="s">
        <v>1859</v>
      </c>
      <c r="O546" s="1" t="s">
        <v>69</v>
      </c>
      <c r="P546" s="1" t="s">
        <v>70</v>
      </c>
      <c r="Q546" s="1" t="s">
        <v>1860</v>
      </c>
      <c r="R546" s="1">
        <v>100.792</v>
      </c>
      <c r="S546" s="1">
        <v>1</v>
      </c>
      <c r="T546" s="3">
        <v>0.2</v>
      </c>
      <c r="U546" s="4">
        <v>6.2995000000000001</v>
      </c>
      <c r="V546" s="1" t="str">
        <f t="shared" si="80"/>
        <v>Standard Class</v>
      </c>
      <c r="W546" s="1" t="str">
        <f t="shared" si="81"/>
        <v>Consumer</v>
      </c>
      <c r="X546" s="1" t="str">
        <f t="shared" si="82"/>
        <v>Fort Worth - Texas</v>
      </c>
      <c r="Y546" s="1" t="str">
        <f t="shared" si="83"/>
        <v>Phones</v>
      </c>
      <c r="Z546" s="1">
        <f t="shared" si="84"/>
        <v>100.792</v>
      </c>
      <c r="AA546" s="1">
        <f t="shared" si="85"/>
        <v>100.792</v>
      </c>
      <c r="AB546" s="1">
        <f t="shared" si="86"/>
        <v>100.792</v>
      </c>
      <c r="AC546" s="4">
        <f t="shared" si="87"/>
        <v>80.633600000000001</v>
      </c>
      <c r="AD546" s="1" t="s">
        <v>2013</v>
      </c>
      <c r="AE546" s="1" t="str">
        <f t="shared" si="88"/>
        <v>2014</v>
      </c>
      <c r="AF546" s="1" t="str">
        <f t="shared" si="89"/>
        <v>103849</v>
      </c>
    </row>
    <row r="547" spans="1:32" x14ac:dyDescent="0.3">
      <c r="A547" s="1">
        <v>546</v>
      </c>
      <c r="B547" s="1" t="s">
        <v>1856</v>
      </c>
      <c r="C547" s="2">
        <v>41770</v>
      </c>
      <c r="D547" s="2">
        <v>41775</v>
      </c>
      <c r="E547" s="1" t="s">
        <v>48</v>
      </c>
      <c r="F547" s="1" t="s">
        <v>385</v>
      </c>
      <c r="G547" s="1" t="s">
        <v>386</v>
      </c>
      <c r="H547" s="1" t="s">
        <v>24</v>
      </c>
      <c r="I547" s="1" t="s">
        <v>25</v>
      </c>
      <c r="J547" s="1" t="s">
        <v>101</v>
      </c>
      <c r="K547" s="1" t="s">
        <v>102</v>
      </c>
      <c r="L547" s="1">
        <v>76106</v>
      </c>
      <c r="M547" s="1" t="s">
        <v>103</v>
      </c>
      <c r="N547" s="1" t="s">
        <v>1861</v>
      </c>
      <c r="O547" s="1" t="s">
        <v>30</v>
      </c>
      <c r="P547" s="1" t="s">
        <v>63</v>
      </c>
      <c r="Q547" s="1" t="s">
        <v>1862</v>
      </c>
      <c r="R547" s="1">
        <v>66.111999999999995</v>
      </c>
      <c r="S547" s="1">
        <v>4</v>
      </c>
      <c r="T547" s="3">
        <v>0.6</v>
      </c>
      <c r="U547" s="4">
        <v>-84.2928</v>
      </c>
      <c r="V547" s="1" t="str">
        <f t="shared" si="80"/>
        <v>Standard Class</v>
      </c>
      <c r="W547" s="1" t="str">
        <f t="shared" si="81"/>
        <v>Consumer</v>
      </c>
      <c r="X547" s="1" t="str">
        <f t="shared" si="82"/>
        <v>Fort Worth - Texas</v>
      </c>
      <c r="Y547" s="1" t="str">
        <f t="shared" si="83"/>
        <v>Furnishings</v>
      </c>
      <c r="Z547" s="1">
        <f t="shared" si="84"/>
        <v>66.111999999999995</v>
      </c>
      <c r="AA547" s="1">
        <f t="shared" si="85"/>
        <v>66.111999999999995</v>
      </c>
      <c r="AB547" s="1">
        <f t="shared" si="86"/>
        <v>264.44799999999998</v>
      </c>
      <c r="AC547" s="4">
        <f t="shared" si="87"/>
        <v>105.7792</v>
      </c>
      <c r="AD547" s="1" t="s">
        <v>2013</v>
      </c>
      <c r="AE547" s="1" t="str">
        <f t="shared" si="88"/>
        <v>2014</v>
      </c>
      <c r="AF547" s="1" t="str">
        <f t="shared" si="89"/>
        <v>103849</v>
      </c>
    </row>
    <row r="548" spans="1:32" x14ac:dyDescent="0.3">
      <c r="A548" s="1">
        <v>547</v>
      </c>
      <c r="B548" s="1" t="s">
        <v>1863</v>
      </c>
      <c r="C548" s="2">
        <v>43058</v>
      </c>
      <c r="D548" s="2">
        <v>43061</v>
      </c>
      <c r="E548" s="1" t="s">
        <v>186</v>
      </c>
      <c r="F548" s="1" t="s">
        <v>1864</v>
      </c>
      <c r="G548" s="1" t="s">
        <v>1865</v>
      </c>
      <c r="H548" s="1" t="s">
        <v>100</v>
      </c>
      <c r="I548" s="1" t="s">
        <v>25</v>
      </c>
      <c r="J548" s="1" t="s">
        <v>264</v>
      </c>
      <c r="K548" s="1" t="s">
        <v>265</v>
      </c>
      <c r="L548" s="1">
        <v>10035</v>
      </c>
      <c r="M548" s="1" t="s">
        <v>146</v>
      </c>
      <c r="N548" s="1" t="s">
        <v>1866</v>
      </c>
      <c r="O548" s="1" t="s">
        <v>44</v>
      </c>
      <c r="P548" s="1" t="s">
        <v>73</v>
      </c>
      <c r="Q548" s="1" t="s">
        <v>1867</v>
      </c>
      <c r="R548" s="1">
        <v>41.28</v>
      </c>
      <c r="S548" s="1">
        <v>6</v>
      </c>
      <c r="T548" s="3">
        <v>0.2</v>
      </c>
      <c r="U548" s="4">
        <v>13.932</v>
      </c>
      <c r="V548" s="1" t="str">
        <f t="shared" si="80"/>
        <v>First Class</v>
      </c>
      <c r="W548" s="1" t="str">
        <f t="shared" si="81"/>
        <v>Home Office</v>
      </c>
      <c r="X548" s="1" t="str">
        <f t="shared" si="82"/>
        <v>New York City - New York</v>
      </c>
      <c r="Y548" s="1" t="str">
        <f t="shared" si="83"/>
        <v>Binders</v>
      </c>
      <c r="Z548" s="1">
        <f t="shared" si="84"/>
        <v>41.28</v>
      </c>
      <c r="AA548" s="1">
        <f t="shared" si="85"/>
        <v>41.28</v>
      </c>
      <c r="AB548" s="1">
        <f t="shared" si="86"/>
        <v>247.68</v>
      </c>
      <c r="AC548" s="4">
        <f t="shared" si="87"/>
        <v>198.14400000000001</v>
      </c>
      <c r="AD548" s="1" t="s">
        <v>2013</v>
      </c>
      <c r="AE548" s="1" t="str">
        <f t="shared" si="88"/>
        <v>2017</v>
      </c>
      <c r="AF548" s="1" t="str">
        <f t="shared" si="89"/>
        <v>162929</v>
      </c>
    </row>
    <row r="549" spans="1:32" x14ac:dyDescent="0.3">
      <c r="A549" s="1">
        <v>548</v>
      </c>
      <c r="B549" s="1" t="s">
        <v>1863</v>
      </c>
      <c r="C549" s="2">
        <v>43058</v>
      </c>
      <c r="D549" s="2">
        <v>43061</v>
      </c>
      <c r="E549" s="1" t="s">
        <v>186</v>
      </c>
      <c r="F549" s="1" t="s">
        <v>1864</v>
      </c>
      <c r="G549" s="1" t="s">
        <v>1865</v>
      </c>
      <c r="H549" s="1" t="s">
        <v>100</v>
      </c>
      <c r="I549" s="1" t="s">
        <v>25</v>
      </c>
      <c r="J549" s="1" t="s">
        <v>264</v>
      </c>
      <c r="K549" s="1" t="s">
        <v>265</v>
      </c>
      <c r="L549" s="1">
        <v>10035</v>
      </c>
      <c r="M549" s="1" t="s">
        <v>146</v>
      </c>
      <c r="N549" s="1" t="s">
        <v>1868</v>
      </c>
      <c r="O549" s="1" t="s">
        <v>44</v>
      </c>
      <c r="P549" s="1" t="s">
        <v>88</v>
      </c>
      <c r="Q549" s="1" t="s">
        <v>1869</v>
      </c>
      <c r="R549" s="1">
        <v>13.36</v>
      </c>
      <c r="S549" s="1">
        <v>2</v>
      </c>
      <c r="T549" s="3">
        <v>0</v>
      </c>
      <c r="U549" s="4">
        <v>6.4127999999999998</v>
      </c>
      <c r="V549" s="1" t="str">
        <f t="shared" si="80"/>
        <v>First Class</v>
      </c>
      <c r="W549" s="1" t="str">
        <f t="shared" si="81"/>
        <v>Home Office</v>
      </c>
      <c r="X549" s="1" t="str">
        <f t="shared" si="82"/>
        <v>New York City - New York</v>
      </c>
      <c r="Y549" s="1" t="str">
        <f t="shared" si="83"/>
        <v>Paper</v>
      </c>
      <c r="Z549" s="1">
        <f t="shared" si="84"/>
        <v>13.36</v>
      </c>
      <c r="AA549" s="1">
        <f t="shared" si="85"/>
        <v>13.36</v>
      </c>
      <c r="AB549" s="1">
        <f t="shared" si="86"/>
        <v>26.72</v>
      </c>
      <c r="AC549" s="4">
        <f t="shared" si="87"/>
        <v>26.72</v>
      </c>
      <c r="AD549" s="1" t="s">
        <v>2013</v>
      </c>
      <c r="AE549" s="1" t="str">
        <f t="shared" si="88"/>
        <v>2017</v>
      </c>
      <c r="AF549" s="1" t="str">
        <f t="shared" si="89"/>
        <v>162929</v>
      </c>
    </row>
    <row r="550" spans="1:32" x14ac:dyDescent="0.3">
      <c r="A550" s="1">
        <v>549</v>
      </c>
      <c r="B550" s="1" t="s">
        <v>1870</v>
      </c>
      <c r="C550" s="2">
        <v>42323</v>
      </c>
      <c r="D550" s="2">
        <v>42325</v>
      </c>
      <c r="E550" s="1" t="s">
        <v>21</v>
      </c>
      <c r="F550" s="1" t="s">
        <v>1360</v>
      </c>
      <c r="G550" s="1" t="s">
        <v>1361</v>
      </c>
      <c r="H550" s="1" t="s">
        <v>39</v>
      </c>
      <c r="I550" s="1" t="s">
        <v>25</v>
      </c>
      <c r="J550" s="1" t="s">
        <v>301</v>
      </c>
      <c r="K550" s="1" t="s">
        <v>209</v>
      </c>
      <c r="L550" s="1">
        <v>60653</v>
      </c>
      <c r="M550" s="1" t="s">
        <v>103</v>
      </c>
      <c r="N550" s="1" t="s">
        <v>275</v>
      </c>
      <c r="O550" s="1" t="s">
        <v>44</v>
      </c>
      <c r="P550" s="1" t="s">
        <v>57</v>
      </c>
      <c r="Q550" s="1" t="s">
        <v>276</v>
      </c>
      <c r="R550" s="1">
        <v>250.27199999999999</v>
      </c>
      <c r="S550" s="1">
        <v>9</v>
      </c>
      <c r="T550" s="3">
        <v>0.2</v>
      </c>
      <c r="U550" s="4">
        <v>15.641999999999999</v>
      </c>
      <c r="V550" s="1" t="str">
        <f t="shared" si="80"/>
        <v>Second Class</v>
      </c>
      <c r="W550" s="1" t="str">
        <f t="shared" si="81"/>
        <v>Corporate</v>
      </c>
      <c r="X550" s="1" t="str">
        <f t="shared" si="82"/>
        <v>Chicago - Illinois</v>
      </c>
      <c r="Y550" s="1" t="str">
        <f t="shared" si="83"/>
        <v>Storage</v>
      </c>
      <c r="Z550" s="1">
        <f t="shared" si="84"/>
        <v>250.27199999999999</v>
      </c>
      <c r="AA550" s="1">
        <f t="shared" si="85"/>
        <v>250.27199999999999</v>
      </c>
      <c r="AB550" s="1">
        <f t="shared" si="86"/>
        <v>2252.4479999999999</v>
      </c>
      <c r="AC550" s="4">
        <f t="shared" si="87"/>
        <v>1801.9584</v>
      </c>
      <c r="AD550" s="1" t="s">
        <v>2013</v>
      </c>
      <c r="AE550" s="1" t="str">
        <f t="shared" si="88"/>
        <v>2015</v>
      </c>
      <c r="AF550" s="1" t="str">
        <f t="shared" si="89"/>
        <v>113173</v>
      </c>
    </row>
    <row r="551" spans="1:32" x14ac:dyDescent="0.3">
      <c r="A551" s="1">
        <v>550</v>
      </c>
      <c r="B551" s="1" t="s">
        <v>1870</v>
      </c>
      <c r="C551" s="2">
        <v>42323</v>
      </c>
      <c r="D551" s="2">
        <v>42325</v>
      </c>
      <c r="E551" s="1" t="s">
        <v>21</v>
      </c>
      <c r="F551" s="1" t="s">
        <v>1360</v>
      </c>
      <c r="G551" s="1" t="s">
        <v>1361</v>
      </c>
      <c r="H551" s="1" t="s">
        <v>39</v>
      </c>
      <c r="I551" s="1" t="s">
        <v>25</v>
      </c>
      <c r="J551" s="1" t="s">
        <v>301</v>
      </c>
      <c r="K551" s="1" t="s">
        <v>209</v>
      </c>
      <c r="L551" s="1">
        <v>60653</v>
      </c>
      <c r="M551" s="1" t="s">
        <v>103</v>
      </c>
      <c r="N551" s="1" t="s">
        <v>419</v>
      </c>
      <c r="O551" s="1" t="s">
        <v>44</v>
      </c>
      <c r="P551" s="1" t="s">
        <v>73</v>
      </c>
      <c r="Q551" s="1" t="s">
        <v>420</v>
      </c>
      <c r="R551" s="1">
        <v>11.364000000000001</v>
      </c>
      <c r="S551" s="1">
        <v>3</v>
      </c>
      <c r="T551" s="3">
        <v>0.8</v>
      </c>
      <c r="U551" s="4">
        <v>-17.045999999999999</v>
      </c>
      <c r="V551" s="1" t="str">
        <f t="shared" si="80"/>
        <v>Second Class</v>
      </c>
      <c r="W551" s="1" t="str">
        <f t="shared" si="81"/>
        <v>Corporate</v>
      </c>
      <c r="X551" s="1" t="str">
        <f t="shared" si="82"/>
        <v>Chicago - Illinois</v>
      </c>
      <c r="Y551" s="1" t="str">
        <f t="shared" si="83"/>
        <v>Binders</v>
      </c>
      <c r="Z551" s="1">
        <f t="shared" si="84"/>
        <v>11.364000000000001</v>
      </c>
      <c r="AA551" s="1">
        <f t="shared" si="85"/>
        <v>11.364000000000001</v>
      </c>
      <c r="AB551" s="1">
        <f t="shared" si="86"/>
        <v>34.091999999999999</v>
      </c>
      <c r="AC551" s="4">
        <f t="shared" si="87"/>
        <v>6.8183999999999978</v>
      </c>
      <c r="AD551" s="1" t="s">
        <v>2013</v>
      </c>
      <c r="AE551" s="1" t="str">
        <f t="shared" si="88"/>
        <v>2015</v>
      </c>
      <c r="AF551" s="1" t="str">
        <f t="shared" si="89"/>
        <v>113173</v>
      </c>
    </row>
    <row r="552" spans="1:32" x14ac:dyDescent="0.3">
      <c r="A552" s="1">
        <v>551</v>
      </c>
      <c r="B552" s="1" t="s">
        <v>1870</v>
      </c>
      <c r="C552" s="2">
        <v>42323</v>
      </c>
      <c r="D552" s="2">
        <v>42325</v>
      </c>
      <c r="E552" s="1" t="s">
        <v>21</v>
      </c>
      <c r="F552" s="1" t="s">
        <v>1360</v>
      </c>
      <c r="G552" s="1" t="s">
        <v>1361</v>
      </c>
      <c r="H552" s="1" t="s">
        <v>39</v>
      </c>
      <c r="I552" s="1" t="s">
        <v>25</v>
      </c>
      <c r="J552" s="1" t="s">
        <v>301</v>
      </c>
      <c r="K552" s="1" t="s">
        <v>209</v>
      </c>
      <c r="L552" s="1">
        <v>60653</v>
      </c>
      <c r="M552" s="1" t="s">
        <v>103</v>
      </c>
      <c r="N552" s="1" t="s">
        <v>1871</v>
      </c>
      <c r="O552" s="1" t="s">
        <v>44</v>
      </c>
      <c r="P552" s="1" t="s">
        <v>577</v>
      </c>
      <c r="Q552" s="1" t="s">
        <v>1298</v>
      </c>
      <c r="R552" s="1">
        <v>8.7200000000000006</v>
      </c>
      <c r="S552" s="1">
        <v>5</v>
      </c>
      <c r="T552" s="3">
        <v>0.2</v>
      </c>
      <c r="U552" s="4">
        <v>-1.744</v>
      </c>
      <c r="V552" s="1" t="str">
        <f t="shared" si="80"/>
        <v>Second Class</v>
      </c>
      <c r="W552" s="1" t="str">
        <f t="shared" si="81"/>
        <v>Corporate</v>
      </c>
      <c r="X552" s="1" t="str">
        <f t="shared" si="82"/>
        <v>Chicago - Illinois</v>
      </c>
      <c r="Y552" s="1" t="str">
        <f t="shared" si="83"/>
        <v>Supplies</v>
      </c>
      <c r="Z552" s="1">
        <f t="shared" si="84"/>
        <v>8.7200000000000006</v>
      </c>
      <c r="AA552" s="1">
        <f t="shared" si="85"/>
        <v>8.7200000000000006</v>
      </c>
      <c r="AB552" s="1">
        <f t="shared" si="86"/>
        <v>43.6</v>
      </c>
      <c r="AC552" s="4">
        <f t="shared" si="87"/>
        <v>34.880000000000003</v>
      </c>
      <c r="AD552" s="1" t="s">
        <v>2013</v>
      </c>
      <c r="AE552" s="1" t="str">
        <f t="shared" si="88"/>
        <v>2015</v>
      </c>
      <c r="AF552" s="1" t="str">
        <f t="shared" si="89"/>
        <v>113173</v>
      </c>
    </row>
    <row r="553" spans="1:32" x14ac:dyDescent="0.3">
      <c r="A553" s="1">
        <v>552</v>
      </c>
      <c r="B553" s="1" t="s">
        <v>1872</v>
      </c>
      <c r="C553" s="2">
        <v>42475</v>
      </c>
      <c r="D553" s="2">
        <v>42477</v>
      </c>
      <c r="E553" s="1" t="s">
        <v>21</v>
      </c>
      <c r="F553" s="1" t="s">
        <v>1873</v>
      </c>
      <c r="G553" s="1" t="s">
        <v>1874</v>
      </c>
      <c r="H553" s="1" t="s">
        <v>24</v>
      </c>
      <c r="I553" s="1" t="s">
        <v>25</v>
      </c>
      <c r="J553" s="1" t="s">
        <v>125</v>
      </c>
      <c r="K553" s="1" t="s">
        <v>41</v>
      </c>
      <c r="L553" s="1">
        <v>94110</v>
      </c>
      <c r="M553" s="1" t="s">
        <v>42</v>
      </c>
      <c r="N553" s="1" t="s">
        <v>1875</v>
      </c>
      <c r="O553" s="1" t="s">
        <v>30</v>
      </c>
      <c r="P553" s="1" t="s">
        <v>34</v>
      </c>
      <c r="Q553" s="1" t="s">
        <v>1876</v>
      </c>
      <c r="R553" s="1">
        <v>1121.568</v>
      </c>
      <c r="S553" s="1">
        <v>2</v>
      </c>
      <c r="T553" s="3">
        <v>0.2</v>
      </c>
      <c r="U553" s="4">
        <v>0</v>
      </c>
      <c r="V553" s="1" t="str">
        <f t="shared" si="80"/>
        <v>Second Class</v>
      </c>
      <c r="W553" s="1" t="str">
        <f t="shared" si="81"/>
        <v>Consumer</v>
      </c>
      <c r="X553" s="1" t="str">
        <f t="shared" si="82"/>
        <v>San Francisco - California</v>
      </c>
      <c r="Y553" s="1" t="str">
        <f t="shared" si="83"/>
        <v>Chairs</v>
      </c>
      <c r="Z553" s="1">
        <f t="shared" si="84"/>
        <v>1121.568</v>
      </c>
      <c r="AA553" s="1">
        <f t="shared" si="85"/>
        <v>1121.568</v>
      </c>
      <c r="AB553" s="1">
        <f t="shared" si="86"/>
        <v>2243.136</v>
      </c>
      <c r="AC553" s="4">
        <f t="shared" si="87"/>
        <v>1794.5088000000001</v>
      </c>
      <c r="AD553" s="1" t="s">
        <v>2013</v>
      </c>
      <c r="AE553" s="1" t="str">
        <f t="shared" si="88"/>
        <v>2016</v>
      </c>
      <c r="AF553" s="1" t="str">
        <f t="shared" si="89"/>
        <v>136406</v>
      </c>
    </row>
    <row r="554" spans="1:32" x14ac:dyDescent="0.3">
      <c r="A554" s="1">
        <v>553</v>
      </c>
      <c r="B554" s="1" t="s">
        <v>1877</v>
      </c>
      <c r="C554" s="2">
        <v>42989</v>
      </c>
      <c r="D554" s="2">
        <v>42990</v>
      </c>
      <c r="E554" s="1" t="s">
        <v>186</v>
      </c>
      <c r="F554" s="1" t="s">
        <v>493</v>
      </c>
      <c r="G554" s="1" t="s">
        <v>494</v>
      </c>
      <c r="H554" s="1" t="s">
        <v>24</v>
      </c>
      <c r="I554" s="1" t="s">
        <v>25</v>
      </c>
      <c r="J554" s="1" t="s">
        <v>1524</v>
      </c>
      <c r="K554" s="1" t="s">
        <v>52</v>
      </c>
      <c r="L554" s="1">
        <v>32216</v>
      </c>
      <c r="M554" s="1" t="s">
        <v>28</v>
      </c>
      <c r="N554" s="1" t="s">
        <v>1878</v>
      </c>
      <c r="O554" s="1" t="s">
        <v>30</v>
      </c>
      <c r="P554" s="1" t="s">
        <v>63</v>
      </c>
      <c r="Q554" s="1" t="s">
        <v>1879</v>
      </c>
      <c r="R554" s="1">
        <v>34.503999999999998</v>
      </c>
      <c r="S554" s="1">
        <v>1</v>
      </c>
      <c r="T554" s="3">
        <v>0.2</v>
      </c>
      <c r="U554" s="4">
        <v>6.0381999999999998</v>
      </c>
      <c r="V554" s="1" t="str">
        <f t="shared" si="80"/>
        <v>First Class</v>
      </c>
      <c r="W554" s="1" t="str">
        <f t="shared" si="81"/>
        <v>Consumer</v>
      </c>
      <c r="X554" s="1" t="str">
        <f t="shared" si="82"/>
        <v>Jacksonville - Florida</v>
      </c>
      <c r="Y554" s="1" t="str">
        <f t="shared" si="83"/>
        <v>Furnishings</v>
      </c>
      <c r="Z554" s="1">
        <f t="shared" si="84"/>
        <v>34.503999999999998</v>
      </c>
      <c r="AA554" s="1">
        <f t="shared" si="85"/>
        <v>34.503999999999998</v>
      </c>
      <c r="AB554" s="1">
        <f t="shared" si="86"/>
        <v>34.503999999999998</v>
      </c>
      <c r="AC554" s="4">
        <f t="shared" si="87"/>
        <v>27.603200000000001</v>
      </c>
      <c r="AD554" s="1" t="s">
        <v>2013</v>
      </c>
      <c r="AE554" s="1" t="str">
        <f t="shared" si="88"/>
        <v>2017</v>
      </c>
      <c r="AF554" s="1" t="str">
        <f t="shared" si="89"/>
        <v>112774</v>
      </c>
    </row>
    <row r="555" spans="1:32" x14ac:dyDescent="0.3">
      <c r="A555" s="1">
        <v>554</v>
      </c>
      <c r="B555" s="1" t="s">
        <v>1880</v>
      </c>
      <c r="C555" s="2">
        <v>43063</v>
      </c>
      <c r="D555" s="2">
        <v>43067</v>
      </c>
      <c r="E555" s="1" t="s">
        <v>48</v>
      </c>
      <c r="F555" s="1" t="s">
        <v>1881</v>
      </c>
      <c r="G555" s="1" t="s">
        <v>1882</v>
      </c>
      <c r="H555" s="1" t="s">
        <v>24</v>
      </c>
      <c r="I555" s="1" t="s">
        <v>25</v>
      </c>
      <c r="J555" s="1" t="s">
        <v>182</v>
      </c>
      <c r="K555" s="1" t="s">
        <v>102</v>
      </c>
      <c r="L555" s="1">
        <v>77070</v>
      </c>
      <c r="M555" s="1" t="s">
        <v>103</v>
      </c>
      <c r="N555" s="1" t="s">
        <v>1883</v>
      </c>
      <c r="O555" s="1" t="s">
        <v>44</v>
      </c>
      <c r="P555" s="1" t="s">
        <v>267</v>
      </c>
      <c r="Q555" s="1" t="s">
        <v>1884</v>
      </c>
      <c r="R555" s="1">
        <v>10.824</v>
      </c>
      <c r="S555" s="1">
        <v>3</v>
      </c>
      <c r="T555" s="3">
        <v>0.2</v>
      </c>
      <c r="U555" s="4">
        <v>2.5707</v>
      </c>
      <c r="V555" s="1" t="str">
        <f t="shared" si="80"/>
        <v>Standard Class</v>
      </c>
      <c r="W555" s="1" t="str">
        <f t="shared" si="81"/>
        <v>Consumer</v>
      </c>
      <c r="X555" s="1" t="str">
        <f t="shared" si="82"/>
        <v>Houston - Texas</v>
      </c>
      <c r="Y555" s="1" t="str">
        <f t="shared" si="83"/>
        <v>Fasteners</v>
      </c>
      <c r="Z555" s="1">
        <f t="shared" si="84"/>
        <v>10.824</v>
      </c>
      <c r="AA555" s="1">
        <f t="shared" si="85"/>
        <v>10.824</v>
      </c>
      <c r="AB555" s="1">
        <f t="shared" si="86"/>
        <v>32.472000000000001</v>
      </c>
      <c r="AC555" s="4">
        <f t="shared" si="87"/>
        <v>25.977600000000002</v>
      </c>
      <c r="AD555" s="1" t="s">
        <v>2013</v>
      </c>
      <c r="AE555" s="1" t="str">
        <f t="shared" si="88"/>
        <v>2017</v>
      </c>
      <c r="AF555" s="1" t="str">
        <f t="shared" si="89"/>
        <v>101945</v>
      </c>
    </row>
    <row r="556" spans="1:32" x14ac:dyDescent="0.3">
      <c r="A556" s="1">
        <v>555</v>
      </c>
      <c r="B556" s="1" t="s">
        <v>1885</v>
      </c>
      <c r="C556" s="2">
        <v>42915</v>
      </c>
      <c r="D556" s="2">
        <v>42919</v>
      </c>
      <c r="E556" s="1" t="s">
        <v>21</v>
      </c>
      <c r="F556" s="1" t="s">
        <v>1360</v>
      </c>
      <c r="G556" s="1" t="s">
        <v>1361</v>
      </c>
      <c r="H556" s="1" t="s">
        <v>39</v>
      </c>
      <c r="I556" s="1" t="s">
        <v>25</v>
      </c>
      <c r="J556" s="1" t="s">
        <v>1886</v>
      </c>
      <c r="K556" s="1" t="s">
        <v>41</v>
      </c>
      <c r="L556" s="1">
        <v>92804</v>
      </c>
      <c r="M556" s="1" t="s">
        <v>42</v>
      </c>
      <c r="N556" s="1" t="s">
        <v>1887</v>
      </c>
      <c r="O556" s="1" t="s">
        <v>44</v>
      </c>
      <c r="P556" s="1" t="s">
        <v>57</v>
      </c>
      <c r="Q556" s="1" t="s">
        <v>1888</v>
      </c>
      <c r="R556" s="1">
        <v>1295.78</v>
      </c>
      <c r="S556" s="1">
        <v>2</v>
      </c>
      <c r="T556" s="3">
        <v>0</v>
      </c>
      <c r="U556" s="4">
        <v>310.98719999999997</v>
      </c>
      <c r="V556" s="1" t="str">
        <f t="shared" si="80"/>
        <v>Second Class</v>
      </c>
      <c r="W556" s="1" t="str">
        <f t="shared" si="81"/>
        <v>Corporate</v>
      </c>
      <c r="X556" s="1" t="str">
        <f t="shared" si="82"/>
        <v>Anaheim - California</v>
      </c>
      <c r="Y556" s="1" t="str">
        <f t="shared" si="83"/>
        <v>Storage</v>
      </c>
      <c r="Z556" s="1">
        <f t="shared" si="84"/>
        <v>1295.78</v>
      </c>
      <c r="AA556" s="1">
        <f t="shared" si="85"/>
        <v>1295.78</v>
      </c>
      <c r="AB556" s="1">
        <f t="shared" si="86"/>
        <v>2591.56</v>
      </c>
      <c r="AC556" s="4">
        <f t="shared" si="87"/>
        <v>2591.56</v>
      </c>
      <c r="AD556" s="1" t="s">
        <v>2013</v>
      </c>
      <c r="AE556" s="1" t="str">
        <f t="shared" si="88"/>
        <v>2017</v>
      </c>
      <c r="AF556" s="1" t="str">
        <f t="shared" si="89"/>
        <v>100650</v>
      </c>
    </row>
    <row r="557" spans="1:32" x14ac:dyDescent="0.3">
      <c r="A557" s="1">
        <v>556</v>
      </c>
      <c r="B557" s="1" t="s">
        <v>1889</v>
      </c>
      <c r="C557" s="2">
        <v>41701</v>
      </c>
      <c r="D557" s="2">
        <v>41705</v>
      </c>
      <c r="E557" s="1" t="s">
        <v>21</v>
      </c>
      <c r="F557" s="1" t="s">
        <v>1890</v>
      </c>
      <c r="G557" s="1" t="s">
        <v>1891</v>
      </c>
      <c r="H557" s="1" t="s">
        <v>24</v>
      </c>
      <c r="I557" s="1" t="s">
        <v>25</v>
      </c>
      <c r="J557" s="1" t="s">
        <v>519</v>
      </c>
      <c r="K557" s="1" t="s">
        <v>86</v>
      </c>
      <c r="L557" s="1">
        <v>28403</v>
      </c>
      <c r="M557" s="1" t="s">
        <v>28</v>
      </c>
      <c r="N557" s="1" t="s">
        <v>1892</v>
      </c>
      <c r="O557" s="1" t="s">
        <v>44</v>
      </c>
      <c r="P557" s="1" t="s">
        <v>66</v>
      </c>
      <c r="Q557" s="1" t="s">
        <v>1893</v>
      </c>
      <c r="R557" s="1">
        <v>19.456</v>
      </c>
      <c r="S557" s="1">
        <v>4</v>
      </c>
      <c r="T557" s="3">
        <v>0.2</v>
      </c>
      <c r="U557" s="4">
        <v>3.4047999999999998</v>
      </c>
      <c r="V557" s="1" t="str">
        <f t="shared" si="80"/>
        <v>Second Class</v>
      </c>
      <c r="W557" s="1" t="str">
        <f t="shared" si="81"/>
        <v>Consumer</v>
      </c>
      <c r="X557" s="1" t="str">
        <f t="shared" si="82"/>
        <v>Wilmington - North Carolina</v>
      </c>
      <c r="Y557" s="1" t="str">
        <f t="shared" si="83"/>
        <v>Art</v>
      </c>
      <c r="Z557" s="1">
        <f t="shared" si="84"/>
        <v>19.456</v>
      </c>
      <c r="AA557" s="1">
        <f t="shared" si="85"/>
        <v>19.456</v>
      </c>
      <c r="AB557" s="1">
        <f t="shared" si="86"/>
        <v>77.823999999999998</v>
      </c>
      <c r="AC557" s="4">
        <f t="shared" si="87"/>
        <v>62.2592</v>
      </c>
      <c r="AD557" s="1" t="s">
        <v>2013</v>
      </c>
      <c r="AE557" s="1" t="str">
        <f t="shared" si="88"/>
        <v>2014</v>
      </c>
      <c r="AF557" s="1" t="str">
        <f t="shared" si="89"/>
        <v>155852</v>
      </c>
    </row>
    <row r="558" spans="1:32" x14ac:dyDescent="0.3">
      <c r="A558" s="1">
        <v>557</v>
      </c>
      <c r="B558" s="1" t="s">
        <v>1894</v>
      </c>
      <c r="C558" s="2">
        <v>42531</v>
      </c>
      <c r="D558" s="2">
        <v>42536</v>
      </c>
      <c r="E558" s="1" t="s">
        <v>48</v>
      </c>
      <c r="F558" s="1" t="s">
        <v>1895</v>
      </c>
      <c r="G558" s="1" t="s">
        <v>1896</v>
      </c>
      <c r="H558" s="1" t="s">
        <v>24</v>
      </c>
      <c r="I558" s="1" t="s">
        <v>25</v>
      </c>
      <c r="J558" s="1" t="s">
        <v>40</v>
      </c>
      <c r="K558" s="1" t="s">
        <v>41</v>
      </c>
      <c r="L558" s="1">
        <v>90045</v>
      </c>
      <c r="M558" s="1" t="s">
        <v>42</v>
      </c>
      <c r="N558" s="1" t="s">
        <v>1897</v>
      </c>
      <c r="O558" s="1" t="s">
        <v>44</v>
      </c>
      <c r="P558" s="1" t="s">
        <v>45</v>
      </c>
      <c r="Q558" s="1" t="s">
        <v>1898</v>
      </c>
      <c r="R558" s="1">
        <v>20.7</v>
      </c>
      <c r="S558" s="1">
        <v>2</v>
      </c>
      <c r="T558" s="3">
        <v>0</v>
      </c>
      <c r="U558" s="4">
        <v>9.9359999999999999</v>
      </c>
      <c r="V558" s="1" t="str">
        <f t="shared" si="80"/>
        <v>Standard Class</v>
      </c>
      <c r="W558" s="1" t="str">
        <f t="shared" si="81"/>
        <v>Consumer</v>
      </c>
      <c r="X558" s="1" t="str">
        <f t="shared" si="82"/>
        <v>Los Angeles - California</v>
      </c>
      <c r="Y558" s="1" t="str">
        <f t="shared" si="83"/>
        <v>Labels</v>
      </c>
      <c r="Z558" s="1">
        <f t="shared" si="84"/>
        <v>20.7</v>
      </c>
      <c r="AA558" s="1">
        <f t="shared" si="85"/>
        <v>20.7</v>
      </c>
      <c r="AB558" s="1">
        <f t="shared" si="86"/>
        <v>41.4</v>
      </c>
      <c r="AC558" s="4">
        <f t="shared" si="87"/>
        <v>41.4</v>
      </c>
      <c r="AD558" s="1" t="s">
        <v>2013</v>
      </c>
      <c r="AE558" s="1" t="str">
        <f t="shared" si="88"/>
        <v>2016</v>
      </c>
      <c r="AF558" s="1" t="str">
        <f t="shared" si="89"/>
        <v>113243</v>
      </c>
    </row>
    <row r="559" spans="1:32" x14ac:dyDescent="0.3">
      <c r="A559" s="1">
        <v>558</v>
      </c>
      <c r="B559" s="1" t="s">
        <v>1894</v>
      </c>
      <c r="C559" s="2">
        <v>42531</v>
      </c>
      <c r="D559" s="2">
        <v>42536</v>
      </c>
      <c r="E559" s="1" t="s">
        <v>48</v>
      </c>
      <c r="F559" s="1" t="s">
        <v>1895</v>
      </c>
      <c r="G559" s="1" t="s">
        <v>1896</v>
      </c>
      <c r="H559" s="1" t="s">
        <v>24</v>
      </c>
      <c r="I559" s="1" t="s">
        <v>25</v>
      </c>
      <c r="J559" s="1" t="s">
        <v>40</v>
      </c>
      <c r="K559" s="1" t="s">
        <v>41</v>
      </c>
      <c r="L559" s="1">
        <v>90045</v>
      </c>
      <c r="M559" s="1" t="s">
        <v>42</v>
      </c>
      <c r="N559" s="1" t="s">
        <v>1899</v>
      </c>
      <c r="O559" s="1" t="s">
        <v>30</v>
      </c>
      <c r="P559" s="1" t="s">
        <v>54</v>
      </c>
      <c r="Q559" s="1" t="s">
        <v>1900</v>
      </c>
      <c r="R559" s="1">
        <v>1335.68</v>
      </c>
      <c r="S559" s="1">
        <v>4</v>
      </c>
      <c r="T559" s="3">
        <v>0.2</v>
      </c>
      <c r="U559" s="4">
        <v>-217.048</v>
      </c>
      <c r="V559" s="1" t="str">
        <f t="shared" si="80"/>
        <v>Standard Class</v>
      </c>
      <c r="W559" s="1" t="str">
        <f t="shared" si="81"/>
        <v>Consumer</v>
      </c>
      <c r="X559" s="1" t="str">
        <f t="shared" si="82"/>
        <v>Los Angeles - California</v>
      </c>
      <c r="Y559" s="1" t="str">
        <f t="shared" si="83"/>
        <v>Tables</v>
      </c>
      <c r="Z559" s="1">
        <f t="shared" si="84"/>
        <v>1335.68</v>
      </c>
      <c r="AA559" s="1">
        <f t="shared" si="85"/>
        <v>1335.68</v>
      </c>
      <c r="AB559" s="1">
        <f t="shared" si="86"/>
        <v>5342.72</v>
      </c>
      <c r="AC559" s="4">
        <f t="shared" si="87"/>
        <v>4274.1760000000004</v>
      </c>
      <c r="AD559" s="1" t="s">
        <v>2013</v>
      </c>
      <c r="AE559" s="1" t="str">
        <f t="shared" si="88"/>
        <v>2016</v>
      </c>
      <c r="AF559" s="1" t="str">
        <f t="shared" si="89"/>
        <v>113243</v>
      </c>
    </row>
    <row r="560" spans="1:32" x14ac:dyDescent="0.3">
      <c r="A560" s="1">
        <v>559</v>
      </c>
      <c r="B560" s="1" t="s">
        <v>1894</v>
      </c>
      <c r="C560" s="2">
        <v>42531</v>
      </c>
      <c r="D560" s="2">
        <v>42536</v>
      </c>
      <c r="E560" s="1" t="s">
        <v>48</v>
      </c>
      <c r="F560" s="1" t="s">
        <v>1895</v>
      </c>
      <c r="G560" s="1" t="s">
        <v>1896</v>
      </c>
      <c r="H560" s="1" t="s">
        <v>24</v>
      </c>
      <c r="I560" s="1" t="s">
        <v>25</v>
      </c>
      <c r="J560" s="1" t="s">
        <v>40</v>
      </c>
      <c r="K560" s="1" t="s">
        <v>41</v>
      </c>
      <c r="L560" s="1">
        <v>90045</v>
      </c>
      <c r="M560" s="1" t="s">
        <v>42</v>
      </c>
      <c r="N560" s="1" t="s">
        <v>1901</v>
      </c>
      <c r="O560" s="1" t="s">
        <v>44</v>
      </c>
      <c r="P560" s="1" t="s">
        <v>88</v>
      </c>
      <c r="Q560" s="1" t="s">
        <v>1902</v>
      </c>
      <c r="R560" s="1">
        <v>32.4</v>
      </c>
      <c r="S560" s="1">
        <v>5</v>
      </c>
      <c r="T560" s="3">
        <v>0</v>
      </c>
      <c r="U560" s="4">
        <v>15.552</v>
      </c>
      <c r="V560" s="1" t="str">
        <f t="shared" si="80"/>
        <v>Standard Class</v>
      </c>
      <c r="W560" s="1" t="str">
        <f t="shared" si="81"/>
        <v>Consumer</v>
      </c>
      <c r="X560" s="1" t="str">
        <f t="shared" si="82"/>
        <v>Los Angeles - California</v>
      </c>
      <c r="Y560" s="1" t="str">
        <f t="shared" si="83"/>
        <v>Paper</v>
      </c>
      <c r="Z560" s="1">
        <f t="shared" si="84"/>
        <v>32.4</v>
      </c>
      <c r="AA560" s="1">
        <f t="shared" si="85"/>
        <v>32.4</v>
      </c>
      <c r="AB560" s="1">
        <f t="shared" si="86"/>
        <v>162</v>
      </c>
      <c r="AC560" s="4">
        <f t="shared" si="87"/>
        <v>162</v>
      </c>
      <c r="AD560" s="1" t="s">
        <v>2013</v>
      </c>
      <c r="AE560" s="1" t="str">
        <f t="shared" si="88"/>
        <v>2016</v>
      </c>
      <c r="AF560" s="1" t="str">
        <f t="shared" si="89"/>
        <v>113243</v>
      </c>
    </row>
    <row r="561" spans="1:32" x14ac:dyDescent="0.3">
      <c r="A561" s="1">
        <v>560</v>
      </c>
      <c r="B561" s="1" t="s">
        <v>1903</v>
      </c>
      <c r="C561" s="2">
        <v>43059</v>
      </c>
      <c r="D561" s="2">
        <v>43061</v>
      </c>
      <c r="E561" s="1" t="s">
        <v>21</v>
      </c>
      <c r="F561" s="1" t="s">
        <v>1904</v>
      </c>
      <c r="G561" s="1" t="s">
        <v>1905</v>
      </c>
      <c r="H561" s="1" t="s">
        <v>24</v>
      </c>
      <c r="I561" s="1" t="s">
        <v>25</v>
      </c>
      <c r="J561" s="1" t="s">
        <v>125</v>
      </c>
      <c r="K561" s="1" t="s">
        <v>41</v>
      </c>
      <c r="L561" s="1">
        <v>94110</v>
      </c>
      <c r="M561" s="1" t="s">
        <v>42</v>
      </c>
      <c r="N561" s="1" t="s">
        <v>1495</v>
      </c>
      <c r="O561" s="1" t="s">
        <v>30</v>
      </c>
      <c r="P561" s="1" t="s">
        <v>63</v>
      </c>
      <c r="Q561" s="1" t="s">
        <v>1496</v>
      </c>
      <c r="R561" s="1">
        <v>42.6</v>
      </c>
      <c r="S561" s="1">
        <v>3</v>
      </c>
      <c r="T561" s="3">
        <v>0</v>
      </c>
      <c r="U561" s="4">
        <v>16.614000000000001</v>
      </c>
      <c r="V561" s="1" t="str">
        <f t="shared" si="80"/>
        <v>Second Class</v>
      </c>
      <c r="W561" s="1" t="str">
        <f t="shared" si="81"/>
        <v>Consumer</v>
      </c>
      <c r="X561" s="1" t="str">
        <f t="shared" si="82"/>
        <v>San Francisco - California</v>
      </c>
      <c r="Y561" s="1" t="str">
        <f t="shared" si="83"/>
        <v>Furnishings</v>
      </c>
      <c r="Z561" s="1">
        <f t="shared" si="84"/>
        <v>42.6</v>
      </c>
      <c r="AA561" s="1">
        <f t="shared" si="85"/>
        <v>42.6</v>
      </c>
      <c r="AB561" s="1">
        <f t="shared" si="86"/>
        <v>127.80000000000001</v>
      </c>
      <c r="AC561" s="4">
        <f t="shared" si="87"/>
        <v>127.80000000000001</v>
      </c>
      <c r="AD561" s="1" t="s">
        <v>2013</v>
      </c>
      <c r="AE561" s="1" t="str">
        <f t="shared" si="88"/>
        <v>2017</v>
      </c>
      <c r="AF561" s="1" t="str">
        <f t="shared" si="89"/>
        <v>118731</v>
      </c>
    </row>
    <row r="562" spans="1:32" x14ac:dyDescent="0.3">
      <c r="A562" s="1">
        <v>561</v>
      </c>
      <c r="B562" s="1" t="s">
        <v>1903</v>
      </c>
      <c r="C562" s="2">
        <v>43059</v>
      </c>
      <c r="D562" s="2">
        <v>43061</v>
      </c>
      <c r="E562" s="1" t="s">
        <v>21</v>
      </c>
      <c r="F562" s="1" t="s">
        <v>1904</v>
      </c>
      <c r="G562" s="1" t="s">
        <v>1905</v>
      </c>
      <c r="H562" s="1" t="s">
        <v>24</v>
      </c>
      <c r="I562" s="1" t="s">
        <v>25</v>
      </c>
      <c r="J562" s="1" t="s">
        <v>125</v>
      </c>
      <c r="K562" s="1" t="s">
        <v>41</v>
      </c>
      <c r="L562" s="1">
        <v>94110</v>
      </c>
      <c r="M562" s="1" t="s">
        <v>42</v>
      </c>
      <c r="N562" s="1" t="s">
        <v>1906</v>
      </c>
      <c r="O562" s="1" t="s">
        <v>44</v>
      </c>
      <c r="P562" s="1" t="s">
        <v>73</v>
      </c>
      <c r="Q562" s="1" t="s">
        <v>1907</v>
      </c>
      <c r="R562" s="1">
        <v>84.055999999999997</v>
      </c>
      <c r="S562" s="1">
        <v>7</v>
      </c>
      <c r="T562" s="3">
        <v>0.2</v>
      </c>
      <c r="U562" s="4">
        <v>27.318200000000001</v>
      </c>
      <c r="V562" s="1" t="str">
        <f t="shared" si="80"/>
        <v>Second Class</v>
      </c>
      <c r="W562" s="1" t="str">
        <f t="shared" si="81"/>
        <v>Consumer</v>
      </c>
      <c r="X562" s="1" t="str">
        <f t="shared" si="82"/>
        <v>San Francisco - California</v>
      </c>
      <c r="Y562" s="1" t="str">
        <f t="shared" si="83"/>
        <v>Binders</v>
      </c>
      <c r="Z562" s="1">
        <f t="shared" si="84"/>
        <v>84.055999999999997</v>
      </c>
      <c r="AA562" s="1">
        <f t="shared" si="85"/>
        <v>84.055999999999997</v>
      </c>
      <c r="AB562" s="1">
        <f t="shared" si="86"/>
        <v>588.39199999999994</v>
      </c>
      <c r="AC562" s="4">
        <f t="shared" si="87"/>
        <v>470.71359999999999</v>
      </c>
      <c r="AD562" s="1" t="s">
        <v>2013</v>
      </c>
      <c r="AE562" s="1" t="str">
        <f t="shared" si="88"/>
        <v>2017</v>
      </c>
      <c r="AF562" s="1" t="str">
        <f t="shared" si="89"/>
        <v>118731</v>
      </c>
    </row>
    <row r="563" spans="1:32" x14ac:dyDescent="0.3">
      <c r="A563" s="1">
        <v>562</v>
      </c>
      <c r="B563" s="1" t="s">
        <v>1908</v>
      </c>
      <c r="C563" s="2">
        <v>41896</v>
      </c>
      <c r="D563" s="2">
        <v>41900</v>
      </c>
      <c r="E563" s="1" t="s">
        <v>21</v>
      </c>
      <c r="F563" s="1" t="s">
        <v>1909</v>
      </c>
      <c r="G563" s="1" t="s">
        <v>1910</v>
      </c>
      <c r="H563" s="1" t="s">
        <v>24</v>
      </c>
      <c r="I563" s="1" t="s">
        <v>25</v>
      </c>
      <c r="J563" s="1" t="s">
        <v>900</v>
      </c>
      <c r="K563" s="1" t="s">
        <v>52</v>
      </c>
      <c r="L563" s="1">
        <v>33614</v>
      </c>
      <c r="M563" s="1" t="s">
        <v>28</v>
      </c>
      <c r="N563" s="1" t="s">
        <v>1911</v>
      </c>
      <c r="O563" s="1" t="s">
        <v>44</v>
      </c>
      <c r="P563" s="1" t="s">
        <v>76</v>
      </c>
      <c r="Q563" s="1" t="s">
        <v>1912</v>
      </c>
      <c r="R563" s="1">
        <v>13</v>
      </c>
      <c r="S563" s="1">
        <v>5</v>
      </c>
      <c r="T563" s="3">
        <v>0.2</v>
      </c>
      <c r="U563" s="4">
        <v>1.3</v>
      </c>
      <c r="V563" s="1" t="str">
        <f t="shared" si="80"/>
        <v>Second Class</v>
      </c>
      <c r="W563" s="1" t="str">
        <f t="shared" si="81"/>
        <v>Consumer</v>
      </c>
      <c r="X563" s="1" t="str">
        <f t="shared" si="82"/>
        <v>Tampa - Florida</v>
      </c>
      <c r="Y563" s="1" t="str">
        <f t="shared" si="83"/>
        <v>Appliances</v>
      </c>
      <c r="Z563" s="1">
        <f t="shared" si="84"/>
        <v>13</v>
      </c>
      <c r="AA563" s="1">
        <f t="shared" si="85"/>
        <v>13</v>
      </c>
      <c r="AB563" s="1">
        <f t="shared" si="86"/>
        <v>65</v>
      </c>
      <c r="AC563" s="4">
        <f t="shared" si="87"/>
        <v>52</v>
      </c>
      <c r="AD563" s="1" t="s">
        <v>2013</v>
      </c>
      <c r="AE563" s="1" t="str">
        <f t="shared" si="88"/>
        <v>2014</v>
      </c>
      <c r="AF563" s="1" t="str">
        <f t="shared" si="89"/>
        <v>145576</v>
      </c>
    </row>
    <row r="564" spans="1:32" x14ac:dyDescent="0.3">
      <c r="A564" s="1">
        <v>563</v>
      </c>
      <c r="B564" s="1" t="s">
        <v>1908</v>
      </c>
      <c r="C564" s="2">
        <v>41896</v>
      </c>
      <c r="D564" s="2">
        <v>41900</v>
      </c>
      <c r="E564" s="1" t="s">
        <v>21</v>
      </c>
      <c r="F564" s="1" t="s">
        <v>1909</v>
      </c>
      <c r="G564" s="1" t="s">
        <v>1910</v>
      </c>
      <c r="H564" s="1" t="s">
        <v>24</v>
      </c>
      <c r="I564" s="1" t="s">
        <v>25</v>
      </c>
      <c r="J564" s="1" t="s">
        <v>900</v>
      </c>
      <c r="K564" s="1" t="s">
        <v>52</v>
      </c>
      <c r="L564" s="1">
        <v>33614</v>
      </c>
      <c r="M564" s="1" t="s">
        <v>28</v>
      </c>
      <c r="N564" s="1" t="s">
        <v>1913</v>
      </c>
      <c r="O564" s="1" t="s">
        <v>30</v>
      </c>
      <c r="P564" s="1" t="s">
        <v>63</v>
      </c>
      <c r="Q564" s="1" t="s">
        <v>1914</v>
      </c>
      <c r="R564" s="1">
        <v>13.128</v>
      </c>
      <c r="S564" s="1">
        <v>3</v>
      </c>
      <c r="T564" s="3">
        <v>0.2</v>
      </c>
      <c r="U564" s="4">
        <v>3.7743000000000002</v>
      </c>
      <c r="V564" s="1" t="str">
        <f t="shared" si="80"/>
        <v>Second Class</v>
      </c>
      <c r="W564" s="1" t="str">
        <f t="shared" si="81"/>
        <v>Consumer</v>
      </c>
      <c r="X564" s="1" t="str">
        <f t="shared" si="82"/>
        <v>Tampa - Florida</v>
      </c>
      <c r="Y564" s="1" t="str">
        <f t="shared" si="83"/>
        <v>Furnishings</v>
      </c>
      <c r="Z564" s="1">
        <f t="shared" si="84"/>
        <v>13.128</v>
      </c>
      <c r="AA564" s="1">
        <f t="shared" si="85"/>
        <v>13.128</v>
      </c>
      <c r="AB564" s="1">
        <f t="shared" si="86"/>
        <v>39.384</v>
      </c>
      <c r="AC564" s="4">
        <f t="shared" si="87"/>
        <v>31.507200000000001</v>
      </c>
      <c r="AD564" s="1" t="s">
        <v>2013</v>
      </c>
      <c r="AE564" s="1" t="str">
        <f t="shared" si="88"/>
        <v>2014</v>
      </c>
      <c r="AF564" s="1" t="str">
        <f t="shared" si="89"/>
        <v>145576</v>
      </c>
    </row>
    <row r="565" spans="1:32" x14ac:dyDescent="0.3">
      <c r="A565" s="1">
        <v>564</v>
      </c>
      <c r="B565" s="1" t="s">
        <v>1915</v>
      </c>
      <c r="C565" s="2">
        <v>42345</v>
      </c>
      <c r="D565" s="2">
        <v>42347</v>
      </c>
      <c r="E565" s="1" t="s">
        <v>186</v>
      </c>
      <c r="F565" s="1" t="s">
        <v>1916</v>
      </c>
      <c r="G565" s="1" t="s">
        <v>1917</v>
      </c>
      <c r="H565" s="1" t="s">
        <v>24</v>
      </c>
      <c r="I565" s="1" t="s">
        <v>25</v>
      </c>
      <c r="J565" s="1" t="s">
        <v>93</v>
      </c>
      <c r="K565" s="1" t="s">
        <v>94</v>
      </c>
      <c r="L565" s="1">
        <v>98105</v>
      </c>
      <c r="M565" s="1" t="s">
        <v>42</v>
      </c>
      <c r="N565" s="1" t="s">
        <v>1918</v>
      </c>
      <c r="O565" s="1" t="s">
        <v>44</v>
      </c>
      <c r="P565" s="1" t="s">
        <v>267</v>
      </c>
      <c r="Q565" s="1" t="s">
        <v>1919</v>
      </c>
      <c r="R565" s="1">
        <v>3.96</v>
      </c>
      <c r="S565" s="1">
        <v>2</v>
      </c>
      <c r="T565" s="3">
        <v>0</v>
      </c>
      <c r="U565" s="4">
        <v>0</v>
      </c>
      <c r="V565" s="1" t="str">
        <f t="shared" si="80"/>
        <v>First Class</v>
      </c>
      <c r="W565" s="1" t="str">
        <f t="shared" si="81"/>
        <v>Consumer</v>
      </c>
      <c r="X565" s="1" t="str">
        <f t="shared" si="82"/>
        <v>Seattle - Washington</v>
      </c>
      <c r="Y565" s="1" t="str">
        <f t="shared" si="83"/>
        <v>Fasteners</v>
      </c>
      <c r="Z565" s="1">
        <f t="shared" si="84"/>
        <v>3.96</v>
      </c>
      <c r="AA565" s="1">
        <f t="shared" si="85"/>
        <v>3.96</v>
      </c>
      <c r="AB565" s="1">
        <f t="shared" si="86"/>
        <v>7.92</v>
      </c>
      <c r="AC565" s="4">
        <f t="shared" si="87"/>
        <v>7.92</v>
      </c>
      <c r="AD565" s="1" t="s">
        <v>2013</v>
      </c>
      <c r="AE565" s="1" t="str">
        <f t="shared" si="88"/>
        <v>2015</v>
      </c>
      <c r="AF565" s="1" t="str">
        <f t="shared" si="89"/>
        <v>130736</v>
      </c>
    </row>
    <row r="566" spans="1:32" x14ac:dyDescent="0.3">
      <c r="A566" s="1">
        <v>565</v>
      </c>
      <c r="B566" s="1" t="s">
        <v>1915</v>
      </c>
      <c r="C566" s="2">
        <v>42345</v>
      </c>
      <c r="D566" s="2">
        <v>42347</v>
      </c>
      <c r="E566" s="1" t="s">
        <v>186</v>
      </c>
      <c r="F566" s="1" t="s">
        <v>1916</v>
      </c>
      <c r="G566" s="1" t="s">
        <v>1917</v>
      </c>
      <c r="H566" s="1" t="s">
        <v>24</v>
      </c>
      <c r="I566" s="1" t="s">
        <v>25</v>
      </c>
      <c r="J566" s="1" t="s">
        <v>93</v>
      </c>
      <c r="K566" s="1" t="s">
        <v>94</v>
      </c>
      <c r="L566" s="1">
        <v>98105</v>
      </c>
      <c r="M566" s="1" t="s">
        <v>42</v>
      </c>
      <c r="N566" s="1" t="s">
        <v>1141</v>
      </c>
      <c r="O566" s="1" t="s">
        <v>44</v>
      </c>
      <c r="P566" s="1" t="s">
        <v>45</v>
      </c>
      <c r="Q566" s="1" t="s">
        <v>1142</v>
      </c>
      <c r="R566" s="1">
        <v>2.61</v>
      </c>
      <c r="S566" s="1">
        <v>1</v>
      </c>
      <c r="T566" s="3">
        <v>0</v>
      </c>
      <c r="U566" s="4">
        <v>1.2005999999999999</v>
      </c>
      <c r="V566" s="1" t="str">
        <f t="shared" si="80"/>
        <v>First Class</v>
      </c>
      <c r="W566" s="1" t="str">
        <f t="shared" si="81"/>
        <v>Consumer</v>
      </c>
      <c r="X566" s="1" t="str">
        <f t="shared" si="82"/>
        <v>Seattle - Washington</v>
      </c>
      <c r="Y566" s="1" t="str">
        <f t="shared" si="83"/>
        <v>Labels</v>
      </c>
      <c r="Z566" s="1">
        <f t="shared" si="84"/>
        <v>2.61</v>
      </c>
      <c r="AA566" s="1">
        <f t="shared" si="85"/>
        <v>2.61</v>
      </c>
      <c r="AB566" s="1">
        <f t="shared" si="86"/>
        <v>2.61</v>
      </c>
      <c r="AC566" s="4">
        <f t="shared" si="87"/>
        <v>2.61</v>
      </c>
      <c r="AD566" s="1" t="s">
        <v>2013</v>
      </c>
      <c r="AE566" s="1" t="str">
        <f t="shared" si="88"/>
        <v>2015</v>
      </c>
      <c r="AF566" s="1" t="str">
        <f t="shared" si="89"/>
        <v>130736</v>
      </c>
    </row>
    <row r="567" spans="1:32" x14ac:dyDescent="0.3">
      <c r="A567" s="1">
        <v>566</v>
      </c>
      <c r="B567" s="1" t="s">
        <v>1920</v>
      </c>
      <c r="C567" s="2">
        <v>43076</v>
      </c>
      <c r="D567" s="2">
        <v>43079</v>
      </c>
      <c r="E567" s="1" t="s">
        <v>186</v>
      </c>
      <c r="F567" s="1" t="s">
        <v>1921</v>
      </c>
      <c r="G567" s="1" t="s">
        <v>1922</v>
      </c>
      <c r="H567" s="1" t="s">
        <v>24</v>
      </c>
      <c r="I567" s="1" t="s">
        <v>25</v>
      </c>
      <c r="J567" s="1" t="s">
        <v>40</v>
      </c>
      <c r="K567" s="1" t="s">
        <v>41</v>
      </c>
      <c r="L567" s="1">
        <v>90008</v>
      </c>
      <c r="M567" s="1" t="s">
        <v>42</v>
      </c>
      <c r="N567" s="1" t="s">
        <v>1923</v>
      </c>
      <c r="O567" s="1" t="s">
        <v>69</v>
      </c>
      <c r="P567" s="1" t="s">
        <v>70</v>
      </c>
      <c r="Q567" s="1" t="s">
        <v>1924</v>
      </c>
      <c r="R567" s="1">
        <v>374.37599999999998</v>
      </c>
      <c r="S567" s="1">
        <v>3</v>
      </c>
      <c r="T567" s="3">
        <v>0.2</v>
      </c>
      <c r="U567" s="4">
        <v>46.796999999999997</v>
      </c>
      <c r="V567" s="1" t="str">
        <f t="shared" si="80"/>
        <v>First Class</v>
      </c>
      <c r="W567" s="1" t="str">
        <f t="shared" si="81"/>
        <v>Consumer</v>
      </c>
      <c r="X567" s="1" t="str">
        <f t="shared" si="82"/>
        <v>Los Angeles - California</v>
      </c>
      <c r="Y567" s="1" t="str">
        <f t="shared" si="83"/>
        <v>Phones</v>
      </c>
      <c r="Z567" s="1">
        <f t="shared" si="84"/>
        <v>374.37599999999998</v>
      </c>
      <c r="AA567" s="1">
        <f t="shared" si="85"/>
        <v>374.37599999999998</v>
      </c>
      <c r="AB567" s="1">
        <f t="shared" si="86"/>
        <v>1123.1279999999999</v>
      </c>
      <c r="AC567" s="4">
        <f t="shared" si="87"/>
        <v>898.50239999999997</v>
      </c>
      <c r="AD567" s="1" t="s">
        <v>2013</v>
      </c>
      <c r="AE567" s="1" t="str">
        <f t="shared" si="88"/>
        <v>2017</v>
      </c>
      <c r="AF567" s="1" t="str">
        <f t="shared" si="89"/>
        <v>137099</v>
      </c>
    </row>
    <row r="568" spans="1:32" x14ac:dyDescent="0.3">
      <c r="A568" s="1">
        <v>567</v>
      </c>
      <c r="B568" s="1" t="s">
        <v>1925</v>
      </c>
      <c r="C568" s="2">
        <v>43009</v>
      </c>
      <c r="D568" s="2">
        <v>43016</v>
      </c>
      <c r="E568" s="1" t="s">
        <v>48</v>
      </c>
      <c r="F568" s="1" t="s">
        <v>1926</v>
      </c>
      <c r="G568" s="1" t="s">
        <v>1927</v>
      </c>
      <c r="H568" s="1" t="s">
        <v>39</v>
      </c>
      <c r="I568" s="1" t="s">
        <v>25</v>
      </c>
      <c r="J568" s="1" t="s">
        <v>93</v>
      </c>
      <c r="K568" s="1" t="s">
        <v>94</v>
      </c>
      <c r="L568" s="1">
        <v>98105</v>
      </c>
      <c r="M568" s="1" t="s">
        <v>42</v>
      </c>
      <c r="N568" s="1" t="s">
        <v>1928</v>
      </c>
      <c r="O568" s="1" t="s">
        <v>44</v>
      </c>
      <c r="P568" s="1" t="s">
        <v>88</v>
      </c>
      <c r="Q568" s="1" t="s">
        <v>1929</v>
      </c>
      <c r="R568" s="1">
        <v>91.84</v>
      </c>
      <c r="S568" s="1">
        <v>8</v>
      </c>
      <c r="T568" s="3">
        <v>0</v>
      </c>
      <c r="U568" s="4">
        <v>45.001600000000003</v>
      </c>
      <c r="V568" s="1" t="str">
        <f t="shared" si="80"/>
        <v>Standard Class</v>
      </c>
      <c r="W568" s="1" t="str">
        <f t="shared" si="81"/>
        <v>Corporate</v>
      </c>
      <c r="X568" s="1" t="str">
        <f t="shared" si="82"/>
        <v>Seattle - Washington</v>
      </c>
      <c r="Y568" s="1" t="str">
        <f t="shared" si="83"/>
        <v>Paper</v>
      </c>
      <c r="Z568" s="1">
        <f t="shared" si="84"/>
        <v>91.84</v>
      </c>
      <c r="AA568" s="1">
        <f t="shared" si="85"/>
        <v>91.84</v>
      </c>
      <c r="AB568" s="1">
        <f t="shared" si="86"/>
        <v>734.72</v>
      </c>
      <c r="AC568" s="4">
        <f t="shared" si="87"/>
        <v>734.72</v>
      </c>
      <c r="AD568" s="1" t="s">
        <v>2013</v>
      </c>
      <c r="AE568" s="1" t="str">
        <f t="shared" si="88"/>
        <v>2017</v>
      </c>
      <c r="AF568" s="1" t="str">
        <f t="shared" si="89"/>
        <v>156951</v>
      </c>
    </row>
    <row r="569" spans="1:32" x14ac:dyDescent="0.3">
      <c r="A569" s="1">
        <v>568</v>
      </c>
      <c r="B569" s="1" t="s">
        <v>1925</v>
      </c>
      <c r="C569" s="2">
        <v>43009</v>
      </c>
      <c r="D569" s="2">
        <v>43016</v>
      </c>
      <c r="E569" s="1" t="s">
        <v>48</v>
      </c>
      <c r="F569" s="1" t="s">
        <v>1926</v>
      </c>
      <c r="G569" s="1" t="s">
        <v>1927</v>
      </c>
      <c r="H569" s="1" t="s">
        <v>39</v>
      </c>
      <c r="I569" s="1" t="s">
        <v>25</v>
      </c>
      <c r="J569" s="1" t="s">
        <v>93</v>
      </c>
      <c r="K569" s="1" t="s">
        <v>94</v>
      </c>
      <c r="L569" s="1">
        <v>98105</v>
      </c>
      <c r="M569" s="1" t="s">
        <v>42</v>
      </c>
      <c r="N569" s="1" t="s">
        <v>1930</v>
      </c>
      <c r="O569" s="1" t="s">
        <v>44</v>
      </c>
      <c r="P569" s="1" t="s">
        <v>73</v>
      </c>
      <c r="Q569" s="1" t="s">
        <v>1931</v>
      </c>
      <c r="R569" s="1">
        <v>81.087999999999994</v>
      </c>
      <c r="S569" s="1">
        <v>7</v>
      </c>
      <c r="T569" s="3">
        <v>0.2</v>
      </c>
      <c r="U569" s="4">
        <v>27.3672</v>
      </c>
      <c r="V569" s="1" t="str">
        <f t="shared" si="80"/>
        <v>Standard Class</v>
      </c>
      <c r="W569" s="1" t="str">
        <f t="shared" si="81"/>
        <v>Corporate</v>
      </c>
      <c r="X569" s="1" t="str">
        <f t="shared" si="82"/>
        <v>Seattle - Washington</v>
      </c>
      <c r="Y569" s="1" t="str">
        <f t="shared" si="83"/>
        <v>Binders</v>
      </c>
      <c r="Z569" s="1">
        <f t="shared" si="84"/>
        <v>81.087999999999994</v>
      </c>
      <c r="AA569" s="1">
        <f t="shared" si="85"/>
        <v>81.087999999999994</v>
      </c>
      <c r="AB569" s="1">
        <f t="shared" si="86"/>
        <v>567.61599999999999</v>
      </c>
      <c r="AC569" s="4">
        <f t="shared" si="87"/>
        <v>454.09280000000001</v>
      </c>
      <c r="AD569" s="1" t="s">
        <v>2013</v>
      </c>
      <c r="AE569" s="1" t="str">
        <f t="shared" si="88"/>
        <v>2017</v>
      </c>
      <c r="AF569" s="1" t="str">
        <f t="shared" si="89"/>
        <v>156951</v>
      </c>
    </row>
    <row r="570" spans="1:32" x14ac:dyDescent="0.3">
      <c r="A570" s="1">
        <v>569</v>
      </c>
      <c r="B570" s="1" t="s">
        <v>1925</v>
      </c>
      <c r="C570" s="2">
        <v>43009</v>
      </c>
      <c r="D570" s="2">
        <v>43016</v>
      </c>
      <c r="E570" s="1" t="s">
        <v>48</v>
      </c>
      <c r="F570" s="1" t="s">
        <v>1926</v>
      </c>
      <c r="G570" s="1" t="s">
        <v>1927</v>
      </c>
      <c r="H570" s="1" t="s">
        <v>39</v>
      </c>
      <c r="I570" s="1" t="s">
        <v>25</v>
      </c>
      <c r="J570" s="1" t="s">
        <v>93</v>
      </c>
      <c r="K570" s="1" t="s">
        <v>94</v>
      </c>
      <c r="L570" s="1">
        <v>98105</v>
      </c>
      <c r="M570" s="1" t="s">
        <v>42</v>
      </c>
      <c r="N570" s="1" t="s">
        <v>1932</v>
      </c>
      <c r="O570" s="1" t="s">
        <v>44</v>
      </c>
      <c r="P570" s="1" t="s">
        <v>88</v>
      </c>
      <c r="Q570" s="1" t="s">
        <v>1933</v>
      </c>
      <c r="R570" s="1">
        <v>19.440000000000001</v>
      </c>
      <c r="S570" s="1">
        <v>3</v>
      </c>
      <c r="T570" s="3">
        <v>0</v>
      </c>
      <c r="U570" s="4">
        <v>9.3312000000000008</v>
      </c>
      <c r="V570" s="1" t="str">
        <f t="shared" si="80"/>
        <v>Standard Class</v>
      </c>
      <c r="W570" s="1" t="str">
        <f t="shared" si="81"/>
        <v>Corporate</v>
      </c>
      <c r="X570" s="1" t="str">
        <f t="shared" si="82"/>
        <v>Seattle - Washington</v>
      </c>
      <c r="Y570" s="1" t="str">
        <f t="shared" si="83"/>
        <v>Paper</v>
      </c>
      <c r="Z570" s="1">
        <f t="shared" si="84"/>
        <v>19.440000000000001</v>
      </c>
      <c r="AA570" s="1">
        <f t="shared" si="85"/>
        <v>19.440000000000001</v>
      </c>
      <c r="AB570" s="1">
        <f t="shared" si="86"/>
        <v>58.320000000000007</v>
      </c>
      <c r="AC570" s="4">
        <f t="shared" si="87"/>
        <v>58.320000000000007</v>
      </c>
      <c r="AD570" s="1" t="s">
        <v>2013</v>
      </c>
      <c r="AE570" s="1" t="str">
        <f t="shared" si="88"/>
        <v>2017</v>
      </c>
      <c r="AF570" s="1" t="str">
        <f t="shared" si="89"/>
        <v>156951</v>
      </c>
    </row>
    <row r="571" spans="1:32" x14ac:dyDescent="0.3">
      <c r="A571" s="1">
        <v>570</v>
      </c>
      <c r="B571" s="1" t="s">
        <v>1925</v>
      </c>
      <c r="C571" s="2">
        <v>43009</v>
      </c>
      <c r="D571" s="2">
        <v>43016</v>
      </c>
      <c r="E571" s="1" t="s">
        <v>48</v>
      </c>
      <c r="F571" s="1" t="s">
        <v>1926</v>
      </c>
      <c r="G571" s="1" t="s">
        <v>1927</v>
      </c>
      <c r="H571" s="1" t="s">
        <v>39</v>
      </c>
      <c r="I571" s="1" t="s">
        <v>25</v>
      </c>
      <c r="J571" s="1" t="s">
        <v>93</v>
      </c>
      <c r="K571" s="1" t="s">
        <v>94</v>
      </c>
      <c r="L571" s="1">
        <v>98105</v>
      </c>
      <c r="M571" s="1" t="s">
        <v>42</v>
      </c>
      <c r="N571" s="1" t="s">
        <v>1934</v>
      </c>
      <c r="O571" s="1" t="s">
        <v>30</v>
      </c>
      <c r="P571" s="1"/>
      <c r="Q571" s="1" t="s">
        <v>1935</v>
      </c>
      <c r="R571" s="1">
        <v>451.15199999999999</v>
      </c>
      <c r="S571" s="1">
        <v>3</v>
      </c>
      <c r="T571" s="3">
        <v>0.2</v>
      </c>
      <c r="U571" s="4">
        <v>0</v>
      </c>
      <c r="V571" s="1" t="str">
        <f t="shared" si="80"/>
        <v>Standard Class</v>
      </c>
      <c r="W571" s="1" t="str">
        <f t="shared" si="81"/>
        <v>Corporate</v>
      </c>
      <c r="X571" s="1" t="str">
        <f t="shared" si="82"/>
        <v>Seattle - Washington</v>
      </c>
      <c r="Y571" s="1" t="str">
        <f t="shared" si="83"/>
        <v>UNKNOWN</v>
      </c>
      <c r="Z571" s="1">
        <f t="shared" si="84"/>
        <v>451.15199999999999</v>
      </c>
      <c r="AA571" s="1">
        <f t="shared" si="85"/>
        <v>451.15199999999999</v>
      </c>
      <c r="AB571" s="1">
        <f t="shared" si="86"/>
        <v>1353.4559999999999</v>
      </c>
      <c r="AC571" s="4">
        <f t="shared" si="87"/>
        <v>1082.7647999999999</v>
      </c>
      <c r="AD571" s="1" t="s">
        <v>2013</v>
      </c>
      <c r="AE571" s="1" t="str">
        <f t="shared" si="88"/>
        <v>2017</v>
      </c>
      <c r="AF571" s="1" t="str">
        <f t="shared" si="89"/>
        <v>156951</v>
      </c>
    </row>
    <row r="572" spans="1:32" x14ac:dyDescent="0.3">
      <c r="A572" s="1">
        <v>571</v>
      </c>
      <c r="B572" s="1" t="s">
        <v>1936</v>
      </c>
      <c r="C572" s="2">
        <v>43097</v>
      </c>
      <c r="D572" s="2">
        <v>43104</v>
      </c>
      <c r="E572" s="1" t="s">
        <v>48</v>
      </c>
      <c r="F572" s="1" t="s">
        <v>1937</v>
      </c>
      <c r="G572" s="1" t="s">
        <v>1938</v>
      </c>
      <c r="H572" s="1" t="s">
        <v>24</v>
      </c>
      <c r="I572" s="1" t="s">
        <v>25</v>
      </c>
      <c r="J572" s="1" t="s">
        <v>264</v>
      </c>
      <c r="K572" s="1" t="s">
        <v>265</v>
      </c>
      <c r="L572" s="1">
        <v>10024</v>
      </c>
      <c r="M572" s="1" t="s">
        <v>146</v>
      </c>
      <c r="N572" s="1" t="s">
        <v>1897</v>
      </c>
      <c r="O572" s="1" t="s">
        <v>44</v>
      </c>
      <c r="P572" s="1" t="s">
        <v>45</v>
      </c>
      <c r="Q572" s="1" t="s">
        <v>1898</v>
      </c>
      <c r="R572" s="1">
        <v>72.45</v>
      </c>
      <c r="S572" s="1">
        <v>7</v>
      </c>
      <c r="T572" s="3">
        <v>0</v>
      </c>
      <c r="U572" s="4">
        <v>34.776000000000003</v>
      </c>
      <c r="V572" s="1" t="str">
        <f t="shared" si="80"/>
        <v>Standard Class</v>
      </c>
      <c r="W572" s="1" t="str">
        <f t="shared" si="81"/>
        <v>Consumer</v>
      </c>
      <c r="X572" s="1" t="str">
        <f t="shared" si="82"/>
        <v>New York City - New York</v>
      </c>
      <c r="Y572" s="1" t="str">
        <f t="shared" si="83"/>
        <v>Labels</v>
      </c>
      <c r="Z572" s="1">
        <f t="shared" si="84"/>
        <v>72.45</v>
      </c>
      <c r="AA572" s="1">
        <f t="shared" si="85"/>
        <v>72.45</v>
      </c>
      <c r="AB572" s="1">
        <f t="shared" si="86"/>
        <v>507.15000000000003</v>
      </c>
      <c r="AC572" s="4">
        <f t="shared" si="87"/>
        <v>507.15000000000003</v>
      </c>
      <c r="AD572" s="1" t="s">
        <v>2013</v>
      </c>
      <c r="AE572" s="1" t="str">
        <f t="shared" si="88"/>
        <v>2017</v>
      </c>
      <c r="AF572" s="1" t="str">
        <f t="shared" si="89"/>
        <v>164826</v>
      </c>
    </row>
    <row r="573" spans="1:32" x14ac:dyDescent="0.3">
      <c r="A573" s="1">
        <v>572</v>
      </c>
      <c r="B573" s="1" t="s">
        <v>1936</v>
      </c>
      <c r="C573" s="2">
        <v>43097</v>
      </c>
      <c r="D573" s="2">
        <v>43104</v>
      </c>
      <c r="E573" s="1" t="s">
        <v>48</v>
      </c>
      <c r="F573" s="1" t="s">
        <v>1937</v>
      </c>
      <c r="G573" s="1" t="s">
        <v>1938</v>
      </c>
      <c r="H573" s="1" t="s">
        <v>24</v>
      </c>
      <c r="I573" s="1" t="s">
        <v>25</v>
      </c>
      <c r="J573" s="1" t="s">
        <v>264</v>
      </c>
      <c r="K573" s="1" t="s">
        <v>265</v>
      </c>
      <c r="L573" s="1">
        <v>10024</v>
      </c>
      <c r="M573" s="1" t="s">
        <v>146</v>
      </c>
      <c r="N573" s="1" t="s">
        <v>867</v>
      </c>
      <c r="O573" s="1" t="s">
        <v>44</v>
      </c>
      <c r="P573" s="1" t="s">
        <v>267</v>
      </c>
      <c r="Q573" s="1" t="s">
        <v>868</v>
      </c>
      <c r="R573" s="1">
        <v>13.96</v>
      </c>
      <c r="S573" s="1">
        <v>4</v>
      </c>
      <c r="T573" s="3">
        <v>0</v>
      </c>
      <c r="U573" s="4">
        <v>6.4215999999999998</v>
      </c>
      <c r="V573" s="1" t="str">
        <f t="shared" si="80"/>
        <v>Standard Class</v>
      </c>
      <c r="W573" s="1" t="str">
        <f t="shared" si="81"/>
        <v>Consumer</v>
      </c>
      <c r="X573" s="1" t="str">
        <f t="shared" si="82"/>
        <v>New York City - New York</v>
      </c>
      <c r="Y573" s="1" t="str">
        <f t="shared" si="83"/>
        <v>Fasteners</v>
      </c>
      <c r="Z573" s="1">
        <f t="shared" si="84"/>
        <v>13.96</v>
      </c>
      <c r="AA573" s="1">
        <f t="shared" si="85"/>
        <v>13.96</v>
      </c>
      <c r="AB573" s="1">
        <f t="shared" si="86"/>
        <v>55.84</v>
      </c>
      <c r="AC573" s="4">
        <f t="shared" si="87"/>
        <v>55.84</v>
      </c>
      <c r="AD573" s="1" t="s">
        <v>2013</v>
      </c>
      <c r="AE573" s="1" t="str">
        <f t="shared" si="88"/>
        <v>2017</v>
      </c>
      <c r="AF573" s="1" t="str">
        <f t="shared" si="89"/>
        <v>164826</v>
      </c>
    </row>
    <row r="574" spans="1:32" x14ac:dyDescent="0.3">
      <c r="A574" s="1">
        <v>573</v>
      </c>
      <c r="B574" s="1" t="s">
        <v>1936</v>
      </c>
      <c r="C574" s="2">
        <v>43097</v>
      </c>
      <c r="D574" s="2">
        <v>43104</v>
      </c>
      <c r="E574" s="1" t="s">
        <v>48</v>
      </c>
      <c r="F574" s="1" t="s">
        <v>1937</v>
      </c>
      <c r="G574" s="1" t="s">
        <v>1938</v>
      </c>
      <c r="H574" s="1" t="s">
        <v>24</v>
      </c>
      <c r="I574" s="1" t="s">
        <v>25</v>
      </c>
      <c r="J574" s="1" t="s">
        <v>264</v>
      </c>
      <c r="K574" s="1" t="s">
        <v>265</v>
      </c>
      <c r="L574" s="1">
        <v>10024</v>
      </c>
      <c r="M574" s="1" t="s">
        <v>146</v>
      </c>
      <c r="N574" s="1" t="s">
        <v>1214</v>
      </c>
      <c r="O574" s="1" t="s">
        <v>44</v>
      </c>
      <c r="P574" s="1" t="s">
        <v>73</v>
      </c>
      <c r="Q574" s="1" t="s">
        <v>1215</v>
      </c>
      <c r="R574" s="1">
        <v>33.264000000000003</v>
      </c>
      <c r="S574" s="1">
        <v>7</v>
      </c>
      <c r="T574" s="3">
        <v>0.2</v>
      </c>
      <c r="U574" s="4">
        <v>11.226599999999999</v>
      </c>
      <c r="V574" s="1" t="str">
        <f t="shared" si="80"/>
        <v>Standard Class</v>
      </c>
      <c r="W574" s="1" t="str">
        <f t="shared" si="81"/>
        <v>Consumer</v>
      </c>
      <c r="X574" s="1" t="str">
        <f t="shared" si="82"/>
        <v>New York City - New York</v>
      </c>
      <c r="Y574" s="1" t="str">
        <f t="shared" si="83"/>
        <v>Binders</v>
      </c>
      <c r="Z574" s="1">
        <f t="shared" si="84"/>
        <v>33.264000000000003</v>
      </c>
      <c r="AA574" s="1">
        <f t="shared" si="85"/>
        <v>33.264000000000003</v>
      </c>
      <c r="AB574" s="1">
        <f t="shared" si="86"/>
        <v>232.84800000000001</v>
      </c>
      <c r="AC574" s="4">
        <f t="shared" si="87"/>
        <v>186.27840000000003</v>
      </c>
      <c r="AD574" s="1" t="s">
        <v>2013</v>
      </c>
      <c r="AE574" s="1" t="str">
        <f t="shared" si="88"/>
        <v>2017</v>
      </c>
      <c r="AF574" s="1" t="str">
        <f t="shared" si="89"/>
        <v>164826</v>
      </c>
    </row>
    <row r="575" spans="1:32" x14ac:dyDescent="0.3">
      <c r="A575" s="1">
        <v>574</v>
      </c>
      <c r="B575" s="1" t="s">
        <v>1936</v>
      </c>
      <c r="C575" s="2">
        <v>43097</v>
      </c>
      <c r="D575" s="2">
        <v>43104</v>
      </c>
      <c r="E575" s="1" t="s">
        <v>48</v>
      </c>
      <c r="F575" s="1" t="s">
        <v>1937</v>
      </c>
      <c r="G575" s="1" t="s">
        <v>1938</v>
      </c>
      <c r="H575" s="1" t="s">
        <v>24</v>
      </c>
      <c r="I575" s="1" t="s">
        <v>25</v>
      </c>
      <c r="J575" s="1" t="s">
        <v>264</v>
      </c>
      <c r="K575" s="1" t="s">
        <v>265</v>
      </c>
      <c r="L575" s="1">
        <v>10024</v>
      </c>
      <c r="M575" s="1" t="s">
        <v>146</v>
      </c>
      <c r="N575" s="1" t="s">
        <v>1939</v>
      </c>
      <c r="O575" s="1" t="s">
        <v>69</v>
      </c>
      <c r="P575" s="1" t="s">
        <v>70</v>
      </c>
      <c r="Q575" s="1" t="s">
        <v>1940</v>
      </c>
      <c r="R575" s="1">
        <v>14.85</v>
      </c>
      <c r="S575" s="1">
        <v>3</v>
      </c>
      <c r="T575" s="3">
        <v>0</v>
      </c>
      <c r="U575" s="4">
        <v>4.0095000000000001</v>
      </c>
      <c r="V575" s="1" t="str">
        <f t="shared" si="80"/>
        <v>Standard Class</v>
      </c>
      <c r="W575" s="1" t="str">
        <f t="shared" si="81"/>
        <v>Consumer</v>
      </c>
      <c r="X575" s="1" t="str">
        <f t="shared" si="82"/>
        <v>New York City - New York</v>
      </c>
      <c r="Y575" s="1" t="str">
        <f t="shared" si="83"/>
        <v>Phones</v>
      </c>
      <c r="Z575" s="1">
        <f t="shared" si="84"/>
        <v>14.85</v>
      </c>
      <c r="AA575" s="1">
        <f t="shared" si="85"/>
        <v>14.85</v>
      </c>
      <c r="AB575" s="1">
        <f t="shared" si="86"/>
        <v>44.55</v>
      </c>
      <c r="AC575" s="4">
        <f t="shared" si="87"/>
        <v>44.55</v>
      </c>
      <c r="AD575" s="1" t="s">
        <v>2013</v>
      </c>
      <c r="AE575" s="1" t="str">
        <f t="shared" si="88"/>
        <v>2017</v>
      </c>
      <c r="AF575" s="1" t="str">
        <f t="shared" si="89"/>
        <v>164826</v>
      </c>
    </row>
    <row r="576" spans="1:32" x14ac:dyDescent="0.3">
      <c r="A576" s="1">
        <v>575</v>
      </c>
      <c r="B576" s="1" t="s">
        <v>1941</v>
      </c>
      <c r="C576" s="2">
        <v>42677</v>
      </c>
      <c r="D576" s="2">
        <v>42681</v>
      </c>
      <c r="E576" s="1" t="s">
        <v>48</v>
      </c>
      <c r="F576" s="1" t="s">
        <v>1942</v>
      </c>
      <c r="G576" s="1" t="s">
        <v>1943</v>
      </c>
      <c r="H576" s="1" t="s">
        <v>24</v>
      </c>
      <c r="I576" s="1" t="s">
        <v>25</v>
      </c>
      <c r="J576" s="1" t="s">
        <v>1944</v>
      </c>
      <c r="K576" s="1" t="s">
        <v>94</v>
      </c>
      <c r="L576" s="1">
        <v>98270</v>
      </c>
      <c r="M576" s="1" t="s">
        <v>42</v>
      </c>
      <c r="N576" s="1" t="s">
        <v>1945</v>
      </c>
      <c r="O576" s="1" t="s">
        <v>44</v>
      </c>
      <c r="P576" s="1" t="s">
        <v>66</v>
      </c>
      <c r="Q576" s="1" t="s">
        <v>1946</v>
      </c>
      <c r="R576" s="1">
        <v>8.82</v>
      </c>
      <c r="S576" s="1">
        <v>3</v>
      </c>
      <c r="T576" s="3">
        <v>0</v>
      </c>
      <c r="U576" s="4">
        <v>2.3814000000000002</v>
      </c>
      <c r="V576" s="1" t="str">
        <f t="shared" si="80"/>
        <v>Standard Class</v>
      </c>
      <c r="W576" s="1" t="str">
        <f t="shared" si="81"/>
        <v>Consumer</v>
      </c>
      <c r="X576" s="1" t="str">
        <f t="shared" si="82"/>
        <v>Marysville - Washington</v>
      </c>
      <c r="Y576" s="1" t="str">
        <f t="shared" si="83"/>
        <v>Art</v>
      </c>
      <c r="Z576" s="1">
        <f t="shared" si="84"/>
        <v>8.82</v>
      </c>
      <c r="AA576" s="1">
        <f t="shared" si="85"/>
        <v>8.82</v>
      </c>
      <c r="AB576" s="1">
        <f t="shared" si="86"/>
        <v>26.46</v>
      </c>
      <c r="AC576" s="4">
        <f t="shared" si="87"/>
        <v>26.46</v>
      </c>
      <c r="AD576" s="1" t="s">
        <v>2013</v>
      </c>
      <c r="AE576" s="1" t="str">
        <f t="shared" si="88"/>
        <v>2016</v>
      </c>
      <c r="AF576" s="1" t="str">
        <f t="shared" si="89"/>
        <v>127250</v>
      </c>
    </row>
    <row r="577" spans="1:32" x14ac:dyDescent="0.3">
      <c r="A577" s="1">
        <v>576</v>
      </c>
      <c r="B577" s="1" t="s">
        <v>1947</v>
      </c>
      <c r="C577" s="2">
        <v>42265</v>
      </c>
      <c r="D577" s="2">
        <v>42269</v>
      </c>
      <c r="E577" s="1" t="s">
        <v>21</v>
      </c>
      <c r="F577" s="1" t="s">
        <v>1948</v>
      </c>
      <c r="G577" s="1" t="s">
        <v>1949</v>
      </c>
      <c r="H577" s="1" t="s">
        <v>24</v>
      </c>
      <c r="I577" s="1" t="s">
        <v>25</v>
      </c>
      <c r="J577" s="1" t="s">
        <v>1174</v>
      </c>
      <c r="K577" s="1" t="s">
        <v>41</v>
      </c>
      <c r="L577" s="1">
        <v>90805</v>
      </c>
      <c r="M577" s="1" t="s">
        <v>42</v>
      </c>
      <c r="N577" s="1" t="s">
        <v>1928</v>
      </c>
      <c r="O577" s="1" t="s">
        <v>44</v>
      </c>
      <c r="P577" s="1" t="s">
        <v>88</v>
      </c>
      <c r="Q577" s="1" t="s">
        <v>1929</v>
      </c>
      <c r="R577" s="1">
        <v>160.72</v>
      </c>
      <c r="S577" s="1">
        <v>14</v>
      </c>
      <c r="T577" s="3">
        <v>0</v>
      </c>
      <c r="U577" s="4">
        <v>78.752799999999993</v>
      </c>
      <c r="V577" s="1" t="str">
        <f t="shared" si="80"/>
        <v>Second Class</v>
      </c>
      <c r="W577" s="1" t="str">
        <f t="shared" si="81"/>
        <v>Consumer</v>
      </c>
      <c r="X577" s="1" t="str">
        <f t="shared" si="82"/>
        <v>Long Beach - California</v>
      </c>
      <c r="Y577" s="1" t="str">
        <f t="shared" si="83"/>
        <v>Paper</v>
      </c>
      <c r="Z577" s="1">
        <f t="shared" si="84"/>
        <v>160.72</v>
      </c>
      <c r="AA577" s="1">
        <f t="shared" si="85"/>
        <v>160.72</v>
      </c>
      <c r="AB577" s="1">
        <f t="shared" si="86"/>
        <v>2250.08</v>
      </c>
      <c r="AC577" s="4">
        <f t="shared" si="87"/>
        <v>2250.08</v>
      </c>
      <c r="AD577" s="1" t="s">
        <v>2013</v>
      </c>
      <c r="AE577" s="1" t="str">
        <f t="shared" si="88"/>
        <v>2015</v>
      </c>
      <c r="AF577" s="1" t="str">
        <f t="shared" si="89"/>
        <v>149713</v>
      </c>
    </row>
    <row r="578" spans="1:32" x14ac:dyDescent="0.3">
      <c r="A578" s="1">
        <v>577</v>
      </c>
      <c r="B578" s="1" t="s">
        <v>1947</v>
      </c>
      <c r="C578" s="2">
        <v>42265</v>
      </c>
      <c r="D578" s="2">
        <v>42269</v>
      </c>
      <c r="E578" s="1" t="s">
        <v>21</v>
      </c>
      <c r="F578" s="1" t="s">
        <v>1948</v>
      </c>
      <c r="G578" s="1" t="s">
        <v>1949</v>
      </c>
      <c r="H578" s="1" t="s">
        <v>24</v>
      </c>
      <c r="I578" s="1" t="s">
        <v>25</v>
      </c>
      <c r="J578" s="1" t="s">
        <v>1174</v>
      </c>
      <c r="K578" s="1" t="s">
        <v>41</v>
      </c>
      <c r="L578" s="1">
        <v>90805</v>
      </c>
      <c r="M578" s="1" t="s">
        <v>42</v>
      </c>
      <c r="N578" s="1" t="s">
        <v>1950</v>
      </c>
      <c r="O578" s="1" t="s">
        <v>44</v>
      </c>
      <c r="P578" s="1" t="s">
        <v>88</v>
      </c>
      <c r="Q578" s="1" t="s">
        <v>1951</v>
      </c>
      <c r="R578" s="1">
        <v>19.920000000000002</v>
      </c>
      <c r="S578" s="1">
        <v>4</v>
      </c>
      <c r="T578" s="3">
        <v>0</v>
      </c>
      <c r="U578" s="4">
        <v>9.7607999999999997</v>
      </c>
      <c r="V578" s="1" t="str">
        <f t="shared" ref="V578:V600" si="90">IF(ISBLANK(E578),"UNKNOWN",E578)</f>
        <v>Second Class</v>
      </c>
      <c r="W578" s="1" t="str">
        <f t="shared" ref="W578:W600" si="91">IF(ISBLANK(H578),"UNKNOWN",H578)</f>
        <v>Consumer</v>
      </c>
      <c r="X578" s="1" t="str">
        <f t="shared" ref="X578:X600" si="92">CONCATENATE(J578," - ",K578)</f>
        <v>Long Beach - California</v>
      </c>
      <c r="Y578" s="1" t="str">
        <f t="shared" ref="Y578:Y600" si="93">IF(ISBLANK(P578),"UNKNOWN",P578)</f>
        <v>Paper</v>
      </c>
      <c r="Z578" s="1">
        <f t="shared" ref="Z578:Z600" si="94">IF(ISBLANK(R578),ROUND(AVERAGEIF($O$2:$O$600,O578,$R$2:$R$29),0),R578)</f>
        <v>19.920000000000002</v>
      </c>
      <c r="AA578" s="1">
        <f t="shared" ref="AA578:AA600" si="95">IF(ISBLANK(R578),ROUND(AVERAGEIF($Y$2:$Y$600,Y578,$R$2:$R$29),0),R578)</f>
        <v>19.920000000000002</v>
      </c>
      <c r="AB578" s="1">
        <f t="shared" ref="AB578:AB600" si="96">AA578*S578</f>
        <v>79.680000000000007</v>
      </c>
      <c r="AC578" s="4">
        <f t="shared" si="87"/>
        <v>79.680000000000007</v>
      </c>
      <c r="AD578" s="1" t="s">
        <v>2013</v>
      </c>
      <c r="AE578" s="1" t="str">
        <f t="shared" si="88"/>
        <v>2015</v>
      </c>
      <c r="AF578" s="1" t="str">
        <f t="shared" si="89"/>
        <v>149713</v>
      </c>
    </row>
    <row r="579" spans="1:32" x14ac:dyDescent="0.3">
      <c r="A579" s="1">
        <v>578</v>
      </c>
      <c r="B579" s="1" t="s">
        <v>1947</v>
      </c>
      <c r="C579" s="2">
        <v>42265</v>
      </c>
      <c r="D579" s="2">
        <v>42269</v>
      </c>
      <c r="E579" s="1" t="s">
        <v>21</v>
      </c>
      <c r="F579" s="1" t="s">
        <v>1948</v>
      </c>
      <c r="G579" s="1" t="s">
        <v>1949</v>
      </c>
      <c r="H579" s="1" t="s">
        <v>24</v>
      </c>
      <c r="I579" s="1" t="s">
        <v>25</v>
      </c>
      <c r="J579" s="1" t="s">
        <v>1174</v>
      </c>
      <c r="K579" s="1" t="s">
        <v>41</v>
      </c>
      <c r="L579" s="1">
        <v>90805</v>
      </c>
      <c r="M579" s="1" t="s">
        <v>42</v>
      </c>
      <c r="N579" s="1" t="s">
        <v>1952</v>
      </c>
      <c r="O579" s="1" t="s">
        <v>44</v>
      </c>
      <c r="P579" s="1" t="s">
        <v>577</v>
      </c>
      <c r="Q579" s="1" t="s">
        <v>1953</v>
      </c>
      <c r="R579" s="1">
        <v>7.3</v>
      </c>
      <c r="S579" s="1">
        <v>2</v>
      </c>
      <c r="T579" s="3">
        <v>0</v>
      </c>
      <c r="U579" s="4">
        <v>2.19</v>
      </c>
      <c r="V579" s="1" t="str">
        <f t="shared" si="90"/>
        <v>Second Class</v>
      </c>
      <c r="W579" s="1" t="str">
        <f t="shared" si="91"/>
        <v>Consumer</v>
      </c>
      <c r="X579" s="1" t="str">
        <f t="shared" si="92"/>
        <v>Long Beach - California</v>
      </c>
      <c r="Y579" s="1" t="str">
        <f t="shared" si="93"/>
        <v>Supplies</v>
      </c>
      <c r="Z579" s="1">
        <f t="shared" si="94"/>
        <v>7.3</v>
      </c>
      <c r="AA579" s="1">
        <f t="shared" si="95"/>
        <v>7.3</v>
      </c>
      <c r="AB579" s="1">
        <f t="shared" si="96"/>
        <v>14.6</v>
      </c>
      <c r="AC579" s="4">
        <f t="shared" ref="AC579:AC600" si="97">AB579*(1-T579)</f>
        <v>14.6</v>
      </c>
      <c r="AD579" s="1" t="s">
        <v>2013</v>
      </c>
      <c r="AE579" s="1" t="str">
        <f t="shared" ref="AE579:AE600" si="98">MID(B579,4,4)</f>
        <v>2015</v>
      </c>
      <c r="AF579" s="1" t="str">
        <f t="shared" ref="AF579:AF600" si="99">RIGHT(B579,6)</f>
        <v>149713</v>
      </c>
    </row>
    <row r="580" spans="1:32" x14ac:dyDescent="0.3">
      <c r="A580" s="1">
        <v>579</v>
      </c>
      <c r="B580" s="1" t="s">
        <v>1954</v>
      </c>
      <c r="C580" s="2">
        <v>42936</v>
      </c>
      <c r="D580" s="2">
        <v>42942</v>
      </c>
      <c r="E580" s="1" t="s">
        <v>48</v>
      </c>
      <c r="F580" s="1" t="s">
        <v>1955</v>
      </c>
      <c r="G580" s="1" t="s">
        <v>1956</v>
      </c>
      <c r="H580" s="1" t="s">
        <v>24</v>
      </c>
      <c r="I580" s="1" t="s">
        <v>25</v>
      </c>
      <c r="J580" s="1" t="s">
        <v>301</v>
      </c>
      <c r="K580" s="1" t="s">
        <v>209</v>
      </c>
      <c r="L580" s="1">
        <v>60610</v>
      </c>
      <c r="M580" s="1" t="s">
        <v>103</v>
      </c>
      <c r="N580" s="1" t="s">
        <v>545</v>
      </c>
      <c r="O580" s="1" t="s">
        <v>44</v>
      </c>
      <c r="P580" s="1" t="s">
        <v>57</v>
      </c>
      <c r="Q580" s="1" t="s">
        <v>546</v>
      </c>
      <c r="R580" s="1">
        <v>69.712000000000003</v>
      </c>
      <c r="S580" s="1">
        <v>2</v>
      </c>
      <c r="T580" s="3">
        <v>0.2</v>
      </c>
      <c r="U580" s="4">
        <v>8.7140000000000004</v>
      </c>
      <c r="V580" s="1" t="str">
        <f t="shared" si="90"/>
        <v>Standard Class</v>
      </c>
      <c r="W580" s="1" t="str">
        <f t="shared" si="91"/>
        <v>Consumer</v>
      </c>
      <c r="X580" s="1" t="str">
        <f t="shared" si="92"/>
        <v>Chicago - Illinois</v>
      </c>
      <c r="Y580" s="1" t="str">
        <f t="shared" si="93"/>
        <v>Storage</v>
      </c>
      <c r="Z580" s="1">
        <f t="shared" si="94"/>
        <v>69.712000000000003</v>
      </c>
      <c r="AA580" s="1">
        <f t="shared" si="95"/>
        <v>69.712000000000003</v>
      </c>
      <c r="AB580" s="1">
        <f t="shared" si="96"/>
        <v>139.42400000000001</v>
      </c>
      <c r="AC580" s="4">
        <f t="shared" si="97"/>
        <v>111.53920000000001</v>
      </c>
      <c r="AD580" s="1" t="s">
        <v>2013</v>
      </c>
      <c r="AE580" s="1" t="str">
        <f t="shared" si="98"/>
        <v>2017</v>
      </c>
      <c r="AF580" s="1" t="str">
        <f t="shared" si="99"/>
        <v>118640</v>
      </c>
    </row>
    <row r="581" spans="1:32" x14ac:dyDescent="0.3">
      <c r="A581" s="1">
        <v>580</v>
      </c>
      <c r="B581" s="1" t="s">
        <v>1954</v>
      </c>
      <c r="C581" s="2">
        <v>42936</v>
      </c>
      <c r="D581" s="2">
        <v>42942</v>
      </c>
      <c r="E581" s="1" t="s">
        <v>48</v>
      </c>
      <c r="F581" s="1" t="s">
        <v>1955</v>
      </c>
      <c r="G581" s="1" t="s">
        <v>1956</v>
      </c>
      <c r="H581" s="1" t="s">
        <v>24</v>
      </c>
      <c r="I581" s="1" t="s">
        <v>25</v>
      </c>
      <c r="J581" s="1" t="s">
        <v>301</v>
      </c>
      <c r="K581" s="1" t="s">
        <v>209</v>
      </c>
      <c r="L581" s="1">
        <v>60610</v>
      </c>
      <c r="M581" s="1" t="s">
        <v>103</v>
      </c>
      <c r="N581" s="1" t="s">
        <v>1957</v>
      </c>
      <c r="O581" s="1" t="s">
        <v>30</v>
      </c>
      <c r="P581" s="1" t="s">
        <v>63</v>
      </c>
      <c r="Q581" s="1" t="s">
        <v>1958</v>
      </c>
      <c r="R581" s="1">
        <v>8.7919999999999998</v>
      </c>
      <c r="S581" s="1">
        <v>1</v>
      </c>
      <c r="T581" s="3">
        <v>0.6</v>
      </c>
      <c r="U581" s="4">
        <v>-5.7148000000000003</v>
      </c>
      <c r="V581" s="1" t="str">
        <f t="shared" si="90"/>
        <v>Standard Class</v>
      </c>
      <c r="W581" s="1" t="str">
        <f t="shared" si="91"/>
        <v>Consumer</v>
      </c>
      <c r="X581" s="1" t="str">
        <f t="shared" si="92"/>
        <v>Chicago - Illinois</v>
      </c>
      <c r="Y581" s="1" t="str">
        <f t="shared" si="93"/>
        <v>Furnishings</v>
      </c>
      <c r="Z581" s="1">
        <f t="shared" si="94"/>
        <v>8.7919999999999998</v>
      </c>
      <c r="AA581" s="1">
        <f t="shared" si="95"/>
        <v>8.7919999999999998</v>
      </c>
      <c r="AB581" s="1">
        <f t="shared" si="96"/>
        <v>8.7919999999999998</v>
      </c>
      <c r="AC581" s="4">
        <f t="shared" si="97"/>
        <v>3.5167999999999999</v>
      </c>
      <c r="AD581" s="1" t="s">
        <v>2013</v>
      </c>
      <c r="AE581" s="1" t="str">
        <f t="shared" si="98"/>
        <v>2017</v>
      </c>
      <c r="AF581" s="1" t="str">
        <f t="shared" si="99"/>
        <v>118640</v>
      </c>
    </row>
    <row r="582" spans="1:32" x14ac:dyDescent="0.3">
      <c r="A582" s="1">
        <v>581</v>
      </c>
      <c r="B582" s="1" t="s">
        <v>1959</v>
      </c>
      <c r="C582" s="2">
        <v>42257</v>
      </c>
      <c r="D582" s="2">
        <v>42261</v>
      </c>
      <c r="E582" s="1" t="s">
        <v>48</v>
      </c>
      <c r="F582" s="1" t="s">
        <v>1960</v>
      </c>
      <c r="G582" s="1" t="s">
        <v>1961</v>
      </c>
      <c r="H582" s="1" t="s">
        <v>24</v>
      </c>
      <c r="I582" s="1" t="s">
        <v>25</v>
      </c>
      <c r="J582" s="1" t="s">
        <v>40</v>
      </c>
      <c r="K582" s="1" t="s">
        <v>41</v>
      </c>
      <c r="L582" s="1">
        <v>90004</v>
      </c>
      <c r="M582" s="1" t="s">
        <v>42</v>
      </c>
      <c r="N582" s="1" t="s">
        <v>1962</v>
      </c>
      <c r="O582" s="1" t="s">
        <v>44</v>
      </c>
      <c r="P582" s="1" t="s">
        <v>577</v>
      </c>
      <c r="Q582" s="1" t="s">
        <v>1963</v>
      </c>
      <c r="R582" s="1">
        <v>51.52</v>
      </c>
      <c r="S582" s="1">
        <v>4</v>
      </c>
      <c r="T582" s="3">
        <v>0</v>
      </c>
      <c r="U582" s="4">
        <v>1.5456000000000001</v>
      </c>
      <c r="V582" s="1" t="str">
        <f t="shared" si="90"/>
        <v>Standard Class</v>
      </c>
      <c r="W582" s="1" t="str">
        <f t="shared" si="91"/>
        <v>Consumer</v>
      </c>
      <c r="X582" s="1" t="str">
        <f t="shared" si="92"/>
        <v>Los Angeles - California</v>
      </c>
      <c r="Y582" s="1" t="str">
        <f t="shared" si="93"/>
        <v>Supplies</v>
      </c>
      <c r="Z582" s="1">
        <f t="shared" si="94"/>
        <v>51.52</v>
      </c>
      <c r="AA582" s="1">
        <f t="shared" si="95"/>
        <v>51.52</v>
      </c>
      <c r="AB582" s="1">
        <f t="shared" si="96"/>
        <v>206.08</v>
      </c>
      <c r="AC582" s="4">
        <f t="shared" si="97"/>
        <v>206.08</v>
      </c>
      <c r="AD582" s="1" t="s">
        <v>2013</v>
      </c>
      <c r="AE582" s="1" t="str">
        <f t="shared" si="98"/>
        <v>2015</v>
      </c>
      <c r="AF582" s="1" t="str">
        <f t="shared" si="99"/>
        <v>132906</v>
      </c>
    </row>
    <row r="583" spans="1:32" x14ac:dyDescent="0.3">
      <c r="A583" s="1">
        <v>582</v>
      </c>
      <c r="B583" s="1" t="s">
        <v>1964</v>
      </c>
      <c r="C583" s="2">
        <v>43070</v>
      </c>
      <c r="D583" s="2">
        <v>43074</v>
      </c>
      <c r="E583" s="1" t="s">
        <v>48</v>
      </c>
      <c r="F583" s="1" t="s">
        <v>1965</v>
      </c>
      <c r="G583" s="1" t="s">
        <v>1966</v>
      </c>
      <c r="H583" s="1" t="s">
        <v>24</v>
      </c>
      <c r="I583" s="1" t="s">
        <v>25</v>
      </c>
      <c r="J583" s="1" t="s">
        <v>807</v>
      </c>
      <c r="K583" s="1" t="s">
        <v>455</v>
      </c>
      <c r="L583" s="1">
        <v>80219</v>
      </c>
      <c r="M583" s="1" t="s">
        <v>42</v>
      </c>
      <c r="N583" s="1" t="s">
        <v>190</v>
      </c>
      <c r="O583" s="1" t="s">
        <v>69</v>
      </c>
      <c r="P583" s="1" t="s">
        <v>70</v>
      </c>
      <c r="Q583" s="1" t="s">
        <v>191</v>
      </c>
      <c r="R583" s="1">
        <v>470.37599999999998</v>
      </c>
      <c r="S583" s="1">
        <v>3</v>
      </c>
      <c r="T583" s="3">
        <v>0.2</v>
      </c>
      <c r="U583" s="4">
        <v>52.917299999999997</v>
      </c>
      <c r="V583" s="1" t="str">
        <f t="shared" si="90"/>
        <v>Standard Class</v>
      </c>
      <c r="W583" s="1" t="str">
        <f t="shared" si="91"/>
        <v>Consumer</v>
      </c>
      <c r="X583" s="1" t="str">
        <f t="shared" si="92"/>
        <v>Denver - Colorado</v>
      </c>
      <c r="Y583" s="1" t="str">
        <f t="shared" si="93"/>
        <v>Phones</v>
      </c>
      <c r="Z583" s="1">
        <f t="shared" si="94"/>
        <v>470.37599999999998</v>
      </c>
      <c r="AA583" s="1">
        <f t="shared" si="95"/>
        <v>470.37599999999998</v>
      </c>
      <c r="AB583" s="1">
        <f t="shared" si="96"/>
        <v>1411.1279999999999</v>
      </c>
      <c r="AC583" s="4">
        <f t="shared" si="97"/>
        <v>1128.9023999999999</v>
      </c>
      <c r="AD583" s="1" t="s">
        <v>2013</v>
      </c>
      <c r="AE583" s="1" t="str">
        <f t="shared" si="98"/>
        <v>2017</v>
      </c>
      <c r="AF583" s="1" t="str">
        <f t="shared" si="99"/>
        <v>145233</v>
      </c>
    </row>
    <row r="584" spans="1:32" x14ac:dyDescent="0.3">
      <c r="A584" s="1">
        <v>583</v>
      </c>
      <c r="B584" s="1" t="s">
        <v>1964</v>
      </c>
      <c r="C584" s="2">
        <v>43070</v>
      </c>
      <c r="D584" s="2">
        <v>43074</v>
      </c>
      <c r="E584" s="1" t="s">
        <v>48</v>
      </c>
      <c r="F584" s="1" t="s">
        <v>1965</v>
      </c>
      <c r="G584" s="1" t="s">
        <v>1966</v>
      </c>
      <c r="H584" s="1" t="s">
        <v>24</v>
      </c>
      <c r="I584" s="1" t="s">
        <v>25</v>
      </c>
      <c r="J584" s="1" t="s">
        <v>807</v>
      </c>
      <c r="K584" s="1" t="s">
        <v>455</v>
      </c>
      <c r="L584" s="1">
        <v>80219</v>
      </c>
      <c r="M584" s="1" t="s">
        <v>42</v>
      </c>
      <c r="N584" s="1" t="s">
        <v>1967</v>
      </c>
      <c r="O584" s="1" t="s">
        <v>69</v>
      </c>
      <c r="P584" s="1" t="s">
        <v>70</v>
      </c>
      <c r="Q584" s="1" t="s">
        <v>1968</v>
      </c>
      <c r="R584" s="1">
        <v>105.584</v>
      </c>
      <c r="S584" s="1">
        <v>2</v>
      </c>
      <c r="T584" s="3">
        <v>0.2</v>
      </c>
      <c r="U584" s="4">
        <v>9.2385999999999999</v>
      </c>
      <c r="V584" s="1" t="str">
        <f t="shared" si="90"/>
        <v>Standard Class</v>
      </c>
      <c r="W584" s="1" t="str">
        <f t="shared" si="91"/>
        <v>Consumer</v>
      </c>
      <c r="X584" s="1" t="str">
        <f t="shared" si="92"/>
        <v>Denver - Colorado</v>
      </c>
      <c r="Y584" s="1" t="str">
        <f t="shared" si="93"/>
        <v>Phones</v>
      </c>
      <c r="Z584" s="1">
        <f t="shared" si="94"/>
        <v>105.584</v>
      </c>
      <c r="AA584" s="1">
        <f t="shared" si="95"/>
        <v>105.584</v>
      </c>
      <c r="AB584" s="1">
        <f t="shared" si="96"/>
        <v>211.16800000000001</v>
      </c>
      <c r="AC584" s="4">
        <f t="shared" si="97"/>
        <v>168.93440000000001</v>
      </c>
      <c r="AD584" s="1" t="s">
        <v>2013</v>
      </c>
      <c r="AE584" s="1" t="str">
        <f t="shared" si="98"/>
        <v>2017</v>
      </c>
      <c r="AF584" s="1" t="str">
        <f t="shared" si="99"/>
        <v>145233</v>
      </c>
    </row>
    <row r="585" spans="1:32" x14ac:dyDescent="0.3">
      <c r="A585" s="1">
        <v>584</v>
      </c>
      <c r="B585" s="1" t="s">
        <v>1964</v>
      </c>
      <c r="C585" s="2">
        <v>43070</v>
      </c>
      <c r="D585" s="2">
        <v>43074</v>
      </c>
      <c r="E585" s="1" t="s">
        <v>48</v>
      </c>
      <c r="F585" s="1" t="s">
        <v>1965</v>
      </c>
      <c r="G585" s="1" t="s">
        <v>1966</v>
      </c>
      <c r="H585" s="1" t="s">
        <v>24</v>
      </c>
      <c r="I585" s="1" t="s">
        <v>25</v>
      </c>
      <c r="J585" s="1" t="s">
        <v>807</v>
      </c>
      <c r="K585" s="1" t="s">
        <v>455</v>
      </c>
      <c r="L585" s="1">
        <v>80219</v>
      </c>
      <c r="M585" s="1" t="s">
        <v>42</v>
      </c>
      <c r="N585" s="1" t="s">
        <v>435</v>
      </c>
      <c r="O585" s="1" t="s">
        <v>44</v>
      </c>
      <c r="P585" s="1" t="s">
        <v>76</v>
      </c>
      <c r="Q585" s="1" t="s">
        <v>436</v>
      </c>
      <c r="R585" s="1">
        <v>31.152000000000001</v>
      </c>
      <c r="S585" s="1">
        <v>3</v>
      </c>
      <c r="T585" s="3">
        <v>0.2</v>
      </c>
      <c r="U585" s="4">
        <v>3.5045999999999999</v>
      </c>
      <c r="V585" s="1" t="str">
        <f t="shared" si="90"/>
        <v>Standard Class</v>
      </c>
      <c r="W585" s="1" t="str">
        <f t="shared" si="91"/>
        <v>Consumer</v>
      </c>
      <c r="X585" s="1" t="str">
        <f t="shared" si="92"/>
        <v>Denver - Colorado</v>
      </c>
      <c r="Y585" s="1" t="str">
        <f t="shared" si="93"/>
        <v>Appliances</v>
      </c>
      <c r="Z585" s="1">
        <f t="shared" si="94"/>
        <v>31.152000000000001</v>
      </c>
      <c r="AA585" s="1">
        <f t="shared" si="95"/>
        <v>31.152000000000001</v>
      </c>
      <c r="AB585" s="1">
        <f t="shared" si="96"/>
        <v>93.456000000000003</v>
      </c>
      <c r="AC585" s="4">
        <f t="shared" si="97"/>
        <v>74.764800000000008</v>
      </c>
      <c r="AD585" s="1" t="s">
        <v>2013</v>
      </c>
      <c r="AE585" s="1" t="str">
        <f t="shared" si="98"/>
        <v>2017</v>
      </c>
      <c r="AF585" s="1" t="str">
        <f t="shared" si="99"/>
        <v>145233</v>
      </c>
    </row>
    <row r="586" spans="1:32" x14ac:dyDescent="0.3">
      <c r="A586" s="1">
        <v>585</v>
      </c>
      <c r="B586" s="1" t="s">
        <v>1964</v>
      </c>
      <c r="C586" s="2">
        <v>43070</v>
      </c>
      <c r="D586" s="2">
        <v>43074</v>
      </c>
      <c r="E586" s="1" t="s">
        <v>48</v>
      </c>
      <c r="F586" s="1" t="s">
        <v>1965</v>
      </c>
      <c r="G586" s="1" t="s">
        <v>1966</v>
      </c>
      <c r="H586" s="1" t="s">
        <v>24</v>
      </c>
      <c r="I586" s="1" t="s">
        <v>25</v>
      </c>
      <c r="J586" s="1" t="s">
        <v>807</v>
      </c>
      <c r="K586" s="1" t="s">
        <v>455</v>
      </c>
      <c r="L586" s="1">
        <v>80219</v>
      </c>
      <c r="M586" s="1" t="s">
        <v>42</v>
      </c>
      <c r="N586" s="1" t="s">
        <v>1969</v>
      </c>
      <c r="O586" s="1" t="s">
        <v>44</v>
      </c>
      <c r="P586" s="1" t="s">
        <v>73</v>
      </c>
      <c r="Q586" s="1" t="s">
        <v>1970</v>
      </c>
      <c r="R586" s="1">
        <v>6.7830000000000004</v>
      </c>
      <c r="S586" s="1">
        <v>7</v>
      </c>
      <c r="T586" s="3">
        <v>0.7</v>
      </c>
      <c r="U586" s="4">
        <v>-4.7481</v>
      </c>
      <c r="V586" s="1" t="str">
        <f t="shared" si="90"/>
        <v>Standard Class</v>
      </c>
      <c r="W586" s="1" t="str">
        <f t="shared" si="91"/>
        <v>Consumer</v>
      </c>
      <c r="X586" s="1" t="str">
        <f t="shared" si="92"/>
        <v>Denver - Colorado</v>
      </c>
      <c r="Y586" s="1" t="str">
        <f t="shared" si="93"/>
        <v>Binders</v>
      </c>
      <c r="Z586" s="1">
        <f t="shared" si="94"/>
        <v>6.7830000000000004</v>
      </c>
      <c r="AA586" s="1">
        <f t="shared" si="95"/>
        <v>6.7830000000000004</v>
      </c>
      <c r="AB586" s="1">
        <f t="shared" si="96"/>
        <v>47.481000000000002</v>
      </c>
      <c r="AC586" s="4">
        <f t="shared" si="97"/>
        <v>14.244300000000003</v>
      </c>
      <c r="AD586" s="1" t="s">
        <v>2013</v>
      </c>
      <c r="AE586" s="1" t="str">
        <f t="shared" si="98"/>
        <v>2017</v>
      </c>
      <c r="AF586" s="1" t="str">
        <f t="shared" si="99"/>
        <v>145233</v>
      </c>
    </row>
    <row r="587" spans="1:32" x14ac:dyDescent="0.3">
      <c r="A587" s="1">
        <v>586</v>
      </c>
      <c r="B587" s="1" t="s">
        <v>1964</v>
      </c>
      <c r="C587" s="2">
        <v>43070</v>
      </c>
      <c r="D587" s="2">
        <v>43074</v>
      </c>
      <c r="E587" s="1" t="s">
        <v>48</v>
      </c>
      <c r="F587" s="1" t="s">
        <v>1965</v>
      </c>
      <c r="G587" s="1" t="s">
        <v>1966</v>
      </c>
      <c r="H587" s="1" t="s">
        <v>24</v>
      </c>
      <c r="I587" s="1" t="s">
        <v>25</v>
      </c>
      <c r="J587" s="1" t="s">
        <v>807</v>
      </c>
      <c r="K587" s="1" t="s">
        <v>455</v>
      </c>
      <c r="L587" s="1">
        <v>80219</v>
      </c>
      <c r="M587" s="1" t="s">
        <v>42</v>
      </c>
      <c r="N587" s="1" t="s">
        <v>624</v>
      </c>
      <c r="O587" s="1" t="s">
        <v>69</v>
      </c>
      <c r="P587" s="1" t="s">
        <v>70</v>
      </c>
      <c r="Q587" s="1" t="s">
        <v>625</v>
      </c>
      <c r="R587" s="1">
        <v>406.36799999999999</v>
      </c>
      <c r="S587" s="1">
        <v>4</v>
      </c>
      <c r="T587" s="3">
        <v>0.2</v>
      </c>
      <c r="U587" s="4">
        <v>30.477599999999999</v>
      </c>
      <c r="V587" s="1" t="str">
        <f t="shared" si="90"/>
        <v>Standard Class</v>
      </c>
      <c r="W587" s="1" t="str">
        <f t="shared" si="91"/>
        <v>Consumer</v>
      </c>
      <c r="X587" s="1" t="str">
        <f t="shared" si="92"/>
        <v>Denver - Colorado</v>
      </c>
      <c r="Y587" s="1" t="str">
        <f t="shared" si="93"/>
        <v>Phones</v>
      </c>
      <c r="Z587" s="1">
        <f t="shared" si="94"/>
        <v>406.36799999999999</v>
      </c>
      <c r="AA587" s="1">
        <f t="shared" si="95"/>
        <v>406.36799999999999</v>
      </c>
      <c r="AB587" s="1">
        <f t="shared" si="96"/>
        <v>1625.472</v>
      </c>
      <c r="AC587" s="4">
        <f t="shared" si="97"/>
        <v>1300.3776</v>
      </c>
      <c r="AD587" s="1" t="s">
        <v>2013</v>
      </c>
      <c r="AE587" s="1" t="str">
        <f t="shared" si="98"/>
        <v>2017</v>
      </c>
      <c r="AF587" s="1" t="str">
        <f t="shared" si="99"/>
        <v>145233</v>
      </c>
    </row>
    <row r="588" spans="1:32" x14ac:dyDescent="0.3">
      <c r="A588" s="1">
        <v>587</v>
      </c>
      <c r="B588" s="1" t="s">
        <v>1971</v>
      </c>
      <c r="C588" s="2">
        <v>42188</v>
      </c>
      <c r="D588" s="2">
        <v>42194</v>
      </c>
      <c r="E588" s="1" t="s">
        <v>48</v>
      </c>
      <c r="F588" s="1" t="s">
        <v>1972</v>
      </c>
      <c r="G588" s="1" t="s">
        <v>1973</v>
      </c>
      <c r="H588" s="1" t="s">
        <v>24</v>
      </c>
      <c r="I588" s="1" t="s">
        <v>25</v>
      </c>
      <c r="J588" s="1" t="s">
        <v>1467</v>
      </c>
      <c r="K588" s="1" t="s">
        <v>27</v>
      </c>
      <c r="L588" s="1">
        <v>40475</v>
      </c>
      <c r="M588" s="1" t="s">
        <v>28</v>
      </c>
      <c r="N588" s="1" t="s">
        <v>1448</v>
      </c>
      <c r="O588" s="1" t="s">
        <v>30</v>
      </c>
      <c r="P588" s="1" t="s">
        <v>34</v>
      </c>
      <c r="Q588" s="1" t="s">
        <v>1449</v>
      </c>
      <c r="R588" s="1">
        <v>70.98</v>
      </c>
      <c r="S588" s="1">
        <v>1</v>
      </c>
      <c r="T588" s="3">
        <v>0</v>
      </c>
      <c r="U588" s="4">
        <v>4.9686000000000003</v>
      </c>
      <c r="V588" s="1" t="str">
        <f t="shared" si="90"/>
        <v>Standard Class</v>
      </c>
      <c r="W588" s="1" t="str">
        <f t="shared" si="91"/>
        <v>Consumer</v>
      </c>
      <c r="X588" s="1" t="str">
        <f t="shared" si="92"/>
        <v>Richmond - Kentucky</v>
      </c>
      <c r="Y588" s="1" t="str">
        <f t="shared" si="93"/>
        <v>Chairs</v>
      </c>
      <c r="Z588" s="1">
        <f t="shared" si="94"/>
        <v>70.98</v>
      </c>
      <c r="AA588" s="1">
        <f t="shared" si="95"/>
        <v>70.98</v>
      </c>
      <c r="AB588" s="1">
        <f t="shared" si="96"/>
        <v>70.98</v>
      </c>
      <c r="AC588" s="4">
        <f t="shared" si="97"/>
        <v>70.98</v>
      </c>
      <c r="AD588" s="1" t="s">
        <v>2013</v>
      </c>
      <c r="AE588" s="1" t="str">
        <f t="shared" si="98"/>
        <v>2015</v>
      </c>
      <c r="AF588" s="1" t="str">
        <f t="shared" si="99"/>
        <v>128139</v>
      </c>
    </row>
    <row r="589" spans="1:32" x14ac:dyDescent="0.3">
      <c r="A589" s="1">
        <v>588</v>
      </c>
      <c r="B589" s="1" t="s">
        <v>1971</v>
      </c>
      <c r="C589" s="2">
        <v>42188</v>
      </c>
      <c r="D589" s="2">
        <v>42194</v>
      </c>
      <c r="E589" s="1" t="s">
        <v>48</v>
      </c>
      <c r="F589" s="1" t="s">
        <v>1972</v>
      </c>
      <c r="G589" s="1" t="s">
        <v>1973</v>
      </c>
      <c r="H589" s="1" t="s">
        <v>24</v>
      </c>
      <c r="I589" s="1" t="s">
        <v>25</v>
      </c>
      <c r="J589" s="1" t="s">
        <v>1467</v>
      </c>
      <c r="K589" s="1" t="s">
        <v>27</v>
      </c>
      <c r="L589" s="1">
        <v>40475</v>
      </c>
      <c r="M589" s="1" t="s">
        <v>28</v>
      </c>
      <c r="N589" s="1" t="s">
        <v>1974</v>
      </c>
      <c r="O589" s="1" t="s">
        <v>44</v>
      </c>
      <c r="P589" s="1" t="s">
        <v>45</v>
      </c>
      <c r="Q589" s="1" t="s">
        <v>1975</v>
      </c>
      <c r="R589" s="1">
        <v>294.93</v>
      </c>
      <c r="S589" s="1">
        <v>3</v>
      </c>
      <c r="T589" s="3">
        <v>0</v>
      </c>
      <c r="U589" s="4">
        <v>144.51570000000001</v>
      </c>
      <c r="V589" s="1" t="str">
        <f t="shared" si="90"/>
        <v>Standard Class</v>
      </c>
      <c r="W589" s="1" t="str">
        <f t="shared" si="91"/>
        <v>Consumer</v>
      </c>
      <c r="X589" s="1" t="str">
        <f t="shared" si="92"/>
        <v>Richmond - Kentucky</v>
      </c>
      <c r="Y589" s="1" t="str">
        <f t="shared" si="93"/>
        <v>Labels</v>
      </c>
      <c r="Z589" s="1">
        <f t="shared" si="94"/>
        <v>294.93</v>
      </c>
      <c r="AA589" s="1">
        <f t="shared" si="95"/>
        <v>294.93</v>
      </c>
      <c r="AB589" s="1">
        <f t="shared" si="96"/>
        <v>884.79</v>
      </c>
      <c r="AC589" s="4">
        <f t="shared" si="97"/>
        <v>884.79</v>
      </c>
      <c r="AD589" s="1" t="s">
        <v>2013</v>
      </c>
      <c r="AE589" s="1" t="str">
        <f t="shared" si="98"/>
        <v>2015</v>
      </c>
      <c r="AF589" s="1" t="str">
        <f t="shared" si="99"/>
        <v>128139</v>
      </c>
    </row>
    <row r="590" spans="1:32" x14ac:dyDescent="0.3">
      <c r="A590" s="1">
        <v>589</v>
      </c>
      <c r="B590" s="1" t="s">
        <v>1976</v>
      </c>
      <c r="C590" s="2">
        <v>42449</v>
      </c>
      <c r="D590" s="2">
        <v>42453</v>
      </c>
      <c r="E590" s="1" t="s">
        <v>48</v>
      </c>
      <c r="F590" s="1" t="s">
        <v>1977</v>
      </c>
      <c r="G590" s="1" t="s">
        <v>1978</v>
      </c>
      <c r="H590" s="1" t="s">
        <v>24</v>
      </c>
      <c r="I590" s="1" t="s">
        <v>25</v>
      </c>
      <c r="J590" s="1" t="s">
        <v>1979</v>
      </c>
      <c r="K590" s="1" t="s">
        <v>418</v>
      </c>
      <c r="L590" s="1">
        <v>97301</v>
      </c>
      <c r="M590" s="1" t="s">
        <v>42</v>
      </c>
      <c r="N590" s="1" t="s">
        <v>1980</v>
      </c>
      <c r="O590" s="1" t="s">
        <v>69</v>
      </c>
      <c r="P590" s="1" t="s">
        <v>70</v>
      </c>
      <c r="Q590" s="1" t="s">
        <v>1981</v>
      </c>
      <c r="R590" s="1">
        <v>84.784000000000006</v>
      </c>
      <c r="S590" s="1">
        <v>2</v>
      </c>
      <c r="T590" s="3">
        <v>0.2</v>
      </c>
      <c r="U590" s="4">
        <v>-20.136199999999999</v>
      </c>
      <c r="V590" s="1" t="str">
        <f t="shared" si="90"/>
        <v>Standard Class</v>
      </c>
      <c r="W590" s="1" t="str">
        <f t="shared" si="91"/>
        <v>Consumer</v>
      </c>
      <c r="X590" s="1" t="str">
        <f t="shared" si="92"/>
        <v>Salem - Oregon</v>
      </c>
      <c r="Y590" s="1" t="str">
        <f t="shared" si="93"/>
        <v>Phones</v>
      </c>
      <c r="Z590" s="1">
        <f t="shared" si="94"/>
        <v>84.784000000000006</v>
      </c>
      <c r="AA590" s="1">
        <f t="shared" si="95"/>
        <v>84.784000000000006</v>
      </c>
      <c r="AB590" s="1">
        <f t="shared" si="96"/>
        <v>169.56800000000001</v>
      </c>
      <c r="AC590" s="4">
        <f t="shared" si="97"/>
        <v>135.65440000000001</v>
      </c>
      <c r="AD590" s="1" t="s">
        <v>2014</v>
      </c>
      <c r="AE590" s="1" t="str">
        <f t="shared" si="98"/>
        <v>2016</v>
      </c>
      <c r="AF590" s="1" t="str">
        <f t="shared" si="99"/>
        <v>156986</v>
      </c>
    </row>
    <row r="591" spans="1:32" x14ac:dyDescent="0.3">
      <c r="A591" s="1">
        <v>590</v>
      </c>
      <c r="B591" s="1" t="s">
        <v>1976</v>
      </c>
      <c r="C591" s="2">
        <v>42449</v>
      </c>
      <c r="D591" s="2">
        <v>42453</v>
      </c>
      <c r="E591" s="1" t="s">
        <v>48</v>
      </c>
      <c r="F591" s="1" t="s">
        <v>1977</v>
      </c>
      <c r="G591" s="1" t="s">
        <v>1978</v>
      </c>
      <c r="H591" s="1" t="s">
        <v>24</v>
      </c>
      <c r="I591" s="1" t="s">
        <v>25</v>
      </c>
      <c r="J591" s="1" t="s">
        <v>1979</v>
      </c>
      <c r="K591" s="1" t="s">
        <v>418</v>
      </c>
      <c r="L591" s="1">
        <v>97301</v>
      </c>
      <c r="M591" s="1" t="s">
        <v>42</v>
      </c>
      <c r="N591" s="1" t="s">
        <v>1982</v>
      </c>
      <c r="O591" s="1" t="s">
        <v>44</v>
      </c>
      <c r="P591" s="1" t="s">
        <v>88</v>
      </c>
      <c r="Q591" s="1" t="s">
        <v>1983</v>
      </c>
      <c r="R591" s="1">
        <v>20.736000000000001</v>
      </c>
      <c r="S591" s="1">
        <v>4</v>
      </c>
      <c r="T591" s="3">
        <v>0.2</v>
      </c>
      <c r="U591" s="4">
        <v>7.2576000000000001</v>
      </c>
      <c r="V591" s="1" t="str">
        <f t="shared" si="90"/>
        <v>Standard Class</v>
      </c>
      <c r="W591" s="1" t="str">
        <f t="shared" si="91"/>
        <v>Consumer</v>
      </c>
      <c r="X591" s="1" t="str">
        <f t="shared" si="92"/>
        <v>Salem - Oregon</v>
      </c>
      <c r="Y591" s="1" t="str">
        <f t="shared" si="93"/>
        <v>Paper</v>
      </c>
      <c r="Z591" s="1">
        <f t="shared" si="94"/>
        <v>20.736000000000001</v>
      </c>
      <c r="AA591" s="1">
        <f t="shared" si="95"/>
        <v>20.736000000000001</v>
      </c>
      <c r="AB591" s="1">
        <f t="shared" si="96"/>
        <v>82.944000000000003</v>
      </c>
      <c r="AC591" s="4">
        <f t="shared" si="97"/>
        <v>66.355200000000011</v>
      </c>
      <c r="AD591" s="1" t="s">
        <v>2014</v>
      </c>
      <c r="AE591" s="1" t="str">
        <f t="shared" si="98"/>
        <v>2016</v>
      </c>
      <c r="AF591" s="1" t="str">
        <f t="shared" si="99"/>
        <v>156986</v>
      </c>
    </row>
    <row r="592" spans="1:32" x14ac:dyDescent="0.3">
      <c r="A592" s="1">
        <v>591</v>
      </c>
      <c r="B592" s="1" t="s">
        <v>1976</v>
      </c>
      <c r="C592" s="2">
        <v>42449</v>
      </c>
      <c r="D592" s="2">
        <v>42453</v>
      </c>
      <c r="E592" s="1" t="s">
        <v>48</v>
      </c>
      <c r="F592" s="1" t="s">
        <v>1977</v>
      </c>
      <c r="G592" s="1" t="s">
        <v>1978</v>
      </c>
      <c r="H592" s="1" t="s">
        <v>24</v>
      </c>
      <c r="I592" s="1" t="s">
        <v>25</v>
      </c>
      <c r="J592" s="1" t="s">
        <v>1979</v>
      </c>
      <c r="K592" s="1" t="s">
        <v>418</v>
      </c>
      <c r="L592" s="1">
        <v>97301</v>
      </c>
      <c r="M592" s="1" t="s">
        <v>42</v>
      </c>
      <c r="N592" s="1" t="s">
        <v>1715</v>
      </c>
      <c r="O592" s="1" t="s">
        <v>44</v>
      </c>
      <c r="P592" s="1" t="s">
        <v>73</v>
      </c>
      <c r="Q592" s="1" t="s">
        <v>1716</v>
      </c>
      <c r="R592" s="1">
        <v>16.821000000000002</v>
      </c>
      <c r="S592" s="1">
        <v>3</v>
      </c>
      <c r="T592" s="3">
        <v>0.7</v>
      </c>
      <c r="U592" s="4">
        <v>-12.896100000000001</v>
      </c>
      <c r="V592" s="1" t="str">
        <f t="shared" si="90"/>
        <v>Standard Class</v>
      </c>
      <c r="W592" s="1" t="str">
        <f t="shared" si="91"/>
        <v>Consumer</v>
      </c>
      <c r="X592" s="1" t="str">
        <f t="shared" si="92"/>
        <v>Salem - Oregon</v>
      </c>
      <c r="Y592" s="1" t="str">
        <f t="shared" si="93"/>
        <v>Binders</v>
      </c>
      <c r="Z592" s="1">
        <f t="shared" si="94"/>
        <v>16.821000000000002</v>
      </c>
      <c r="AA592" s="1">
        <f t="shared" si="95"/>
        <v>16.821000000000002</v>
      </c>
      <c r="AB592" s="1">
        <f t="shared" si="96"/>
        <v>50.463000000000008</v>
      </c>
      <c r="AC592" s="4">
        <f t="shared" si="97"/>
        <v>15.138900000000005</v>
      </c>
      <c r="AD592" s="1" t="s">
        <v>2014</v>
      </c>
      <c r="AE592" s="1" t="str">
        <f t="shared" si="98"/>
        <v>2016</v>
      </c>
      <c r="AF592" s="1" t="str">
        <f t="shared" si="99"/>
        <v>156986</v>
      </c>
    </row>
    <row r="593" spans="1:32" x14ac:dyDescent="0.3">
      <c r="A593" s="1">
        <v>592</v>
      </c>
      <c r="B593" s="1" t="s">
        <v>1976</v>
      </c>
      <c r="C593" s="2">
        <v>42449</v>
      </c>
      <c r="D593" s="2">
        <v>42453</v>
      </c>
      <c r="E593" s="1" t="s">
        <v>48</v>
      </c>
      <c r="F593" s="1" t="s">
        <v>1977</v>
      </c>
      <c r="G593" s="1" t="s">
        <v>1978</v>
      </c>
      <c r="H593" s="1" t="s">
        <v>24</v>
      </c>
      <c r="I593" s="1" t="s">
        <v>25</v>
      </c>
      <c r="J593" s="1" t="s">
        <v>1979</v>
      </c>
      <c r="K593" s="1" t="s">
        <v>418</v>
      </c>
      <c r="L593" s="1">
        <v>97301</v>
      </c>
      <c r="M593" s="1" t="s">
        <v>42</v>
      </c>
      <c r="N593" s="1" t="s">
        <v>1984</v>
      </c>
      <c r="O593" s="1" t="s">
        <v>44</v>
      </c>
      <c r="P593" s="1" t="s">
        <v>88</v>
      </c>
      <c r="Q593" s="1" t="s">
        <v>1985</v>
      </c>
      <c r="R593" s="1">
        <v>10.368</v>
      </c>
      <c r="S593" s="1">
        <v>2</v>
      </c>
      <c r="T593" s="3">
        <v>0.2</v>
      </c>
      <c r="U593" s="4">
        <v>3.6288</v>
      </c>
      <c r="V593" s="1" t="str">
        <f t="shared" si="90"/>
        <v>Standard Class</v>
      </c>
      <c r="W593" s="1" t="str">
        <f t="shared" si="91"/>
        <v>Consumer</v>
      </c>
      <c r="X593" s="1" t="str">
        <f t="shared" si="92"/>
        <v>Salem - Oregon</v>
      </c>
      <c r="Y593" s="1" t="str">
        <f t="shared" si="93"/>
        <v>Paper</v>
      </c>
      <c r="Z593" s="1">
        <f t="shared" si="94"/>
        <v>10.368</v>
      </c>
      <c r="AA593" s="1">
        <f t="shared" si="95"/>
        <v>10.368</v>
      </c>
      <c r="AB593" s="1">
        <f t="shared" si="96"/>
        <v>20.736000000000001</v>
      </c>
      <c r="AC593" s="4">
        <f t="shared" si="97"/>
        <v>16.588800000000003</v>
      </c>
      <c r="AD593" s="1" t="s">
        <v>2014</v>
      </c>
      <c r="AE593" s="1" t="str">
        <f t="shared" si="98"/>
        <v>2016</v>
      </c>
      <c r="AF593" s="1" t="str">
        <f t="shared" si="99"/>
        <v>156986</v>
      </c>
    </row>
    <row r="594" spans="1:32" x14ac:dyDescent="0.3">
      <c r="A594" s="1">
        <v>593</v>
      </c>
      <c r="B594" s="1" t="s">
        <v>1986</v>
      </c>
      <c r="C594" s="2">
        <v>41648</v>
      </c>
      <c r="D594" s="2">
        <v>41652</v>
      </c>
      <c r="E594" s="1" t="s">
        <v>48</v>
      </c>
      <c r="F594" s="1" t="s">
        <v>1987</v>
      </c>
      <c r="G594" s="1" t="s">
        <v>1988</v>
      </c>
      <c r="H594" s="1" t="s">
        <v>24</v>
      </c>
      <c r="I594" s="1" t="s">
        <v>25</v>
      </c>
      <c r="J594" s="1" t="s">
        <v>1989</v>
      </c>
      <c r="K594" s="1" t="s">
        <v>102</v>
      </c>
      <c r="L594" s="1">
        <v>78041</v>
      </c>
      <c r="M594" s="1" t="s">
        <v>103</v>
      </c>
      <c r="N594" s="1" t="s">
        <v>1990</v>
      </c>
      <c r="O594" s="1" t="s">
        <v>44</v>
      </c>
      <c r="P594" s="1" t="s">
        <v>66</v>
      </c>
      <c r="Q594" s="1" t="s">
        <v>1991</v>
      </c>
      <c r="R594" s="1">
        <v>9.3439999999999994</v>
      </c>
      <c r="S594" s="1">
        <v>2</v>
      </c>
      <c r="T594" s="3">
        <v>0.2</v>
      </c>
      <c r="U594" s="4">
        <v>1.1679999999999999</v>
      </c>
      <c r="V594" s="1" t="str">
        <f t="shared" si="90"/>
        <v>Standard Class</v>
      </c>
      <c r="W594" s="1" t="str">
        <f t="shared" si="91"/>
        <v>Consumer</v>
      </c>
      <c r="X594" s="1" t="str">
        <f t="shared" si="92"/>
        <v>Laredo - Texas</v>
      </c>
      <c r="Y594" s="1" t="str">
        <f t="shared" si="93"/>
        <v>Art</v>
      </c>
      <c r="Z594" s="1">
        <f t="shared" si="94"/>
        <v>9.3439999999999994</v>
      </c>
      <c r="AA594" s="1">
        <f t="shared" si="95"/>
        <v>9.3439999999999994</v>
      </c>
      <c r="AB594" s="1">
        <f t="shared" si="96"/>
        <v>18.687999999999999</v>
      </c>
      <c r="AC594" s="4">
        <f t="shared" si="97"/>
        <v>14.9504</v>
      </c>
      <c r="AD594" s="1" t="s">
        <v>2013</v>
      </c>
      <c r="AE594" s="1" t="str">
        <f t="shared" si="98"/>
        <v>2014</v>
      </c>
      <c r="AF594" s="1" t="str">
        <f t="shared" si="99"/>
        <v>135405</v>
      </c>
    </row>
    <row r="595" spans="1:32" x14ac:dyDescent="0.3">
      <c r="A595" s="1">
        <v>594</v>
      </c>
      <c r="B595" s="1" t="s">
        <v>1986</v>
      </c>
      <c r="C595" s="2">
        <v>41648</v>
      </c>
      <c r="D595" s="2">
        <v>41652</v>
      </c>
      <c r="E595" s="1" t="s">
        <v>48</v>
      </c>
      <c r="F595" s="1" t="s">
        <v>1987</v>
      </c>
      <c r="G595" s="1" t="s">
        <v>1988</v>
      </c>
      <c r="H595" s="1" t="s">
        <v>24</v>
      </c>
      <c r="I595" s="1" t="s">
        <v>25</v>
      </c>
      <c r="J595" s="1" t="s">
        <v>1989</v>
      </c>
      <c r="K595" s="1" t="s">
        <v>102</v>
      </c>
      <c r="L595" s="1">
        <v>78041</v>
      </c>
      <c r="M595" s="1" t="s">
        <v>103</v>
      </c>
      <c r="N595" s="1" t="s">
        <v>844</v>
      </c>
      <c r="O595" s="1" t="s">
        <v>69</v>
      </c>
      <c r="P595" s="1" t="s">
        <v>159</v>
      </c>
      <c r="Q595" s="1" t="s">
        <v>845</v>
      </c>
      <c r="R595" s="1">
        <v>31.2</v>
      </c>
      <c r="S595" s="1">
        <v>3</v>
      </c>
      <c r="T595" s="3">
        <v>0.2</v>
      </c>
      <c r="U595" s="4">
        <v>9.75</v>
      </c>
      <c r="V595" s="1" t="str">
        <f t="shared" si="90"/>
        <v>Standard Class</v>
      </c>
      <c r="W595" s="1" t="str">
        <f t="shared" si="91"/>
        <v>Consumer</v>
      </c>
      <c r="X595" s="1" t="str">
        <f t="shared" si="92"/>
        <v>Laredo - Texas</v>
      </c>
      <c r="Y595" s="1" t="str">
        <f t="shared" si="93"/>
        <v>Accessories</v>
      </c>
      <c r="Z595" s="1">
        <f t="shared" si="94"/>
        <v>31.2</v>
      </c>
      <c r="AA595" s="1">
        <f t="shared" si="95"/>
        <v>31.2</v>
      </c>
      <c r="AB595" s="1">
        <f t="shared" si="96"/>
        <v>93.6</v>
      </c>
      <c r="AC595" s="4">
        <f t="shared" si="97"/>
        <v>74.88</v>
      </c>
      <c r="AD595" s="1" t="s">
        <v>2013</v>
      </c>
      <c r="AE595" s="1" t="str">
        <f t="shared" si="98"/>
        <v>2014</v>
      </c>
      <c r="AF595" s="1" t="str">
        <f t="shared" si="99"/>
        <v>135405</v>
      </c>
    </row>
    <row r="596" spans="1:32" x14ac:dyDescent="0.3">
      <c r="A596" s="1">
        <v>595</v>
      </c>
      <c r="B596" s="1" t="s">
        <v>1992</v>
      </c>
      <c r="C596" s="2">
        <v>41859</v>
      </c>
      <c r="D596" s="2">
        <v>41866</v>
      </c>
      <c r="E596" s="1" t="s">
        <v>48</v>
      </c>
      <c r="F596" s="1" t="s">
        <v>1993</v>
      </c>
      <c r="G596" s="1" t="s">
        <v>1994</v>
      </c>
      <c r="H596" s="1" t="s">
        <v>24</v>
      </c>
      <c r="I596" s="1" t="s">
        <v>25</v>
      </c>
      <c r="J596" s="1" t="s">
        <v>948</v>
      </c>
      <c r="K596" s="1" t="s">
        <v>41</v>
      </c>
      <c r="L596" s="1">
        <v>92024</v>
      </c>
      <c r="M596" s="1" t="s">
        <v>42</v>
      </c>
      <c r="N596" s="1" t="s">
        <v>1995</v>
      </c>
      <c r="O596" s="1" t="s">
        <v>44</v>
      </c>
      <c r="P596" s="1" t="s">
        <v>76</v>
      </c>
      <c r="Q596" s="1" t="s">
        <v>1996</v>
      </c>
      <c r="R596" s="1">
        <v>76.12</v>
      </c>
      <c r="S596" s="1">
        <v>2</v>
      </c>
      <c r="T596" s="3">
        <v>0</v>
      </c>
      <c r="U596" s="4">
        <v>22.0748</v>
      </c>
      <c r="V596" s="1" t="str">
        <f t="shared" si="90"/>
        <v>Standard Class</v>
      </c>
      <c r="W596" s="1" t="str">
        <f t="shared" si="91"/>
        <v>Consumer</v>
      </c>
      <c r="X596" s="1" t="str">
        <f t="shared" si="92"/>
        <v>San Diego - California</v>
      </c>
      <c r="Y596" s="1" t="str">
        <f t="shared" si="93"/>
        <v>Appliances</v>
      </c>
      <c r="Z596" s="1">
        <f t="shared" si="94"/>
        <v>76.12</v>
      </c>
      <c r="AA596" s="1">
        <f t="shared" si="95"/>
        <v>76.12</v>
      </c>
      <c r="AB596" s="1">
        <f t="shared" si="96"/>
        <v>152.24</v>
      </c>
      <c r="AC596" s="4">
        <f t="shared" si="97"/>
        <v>152.24</v>
      </c>
      <c r="AD596" s="1" t="s">
        <v>2013</v>
      </c>
      <c r="AE596" s="1" t="str">
        <f t="shared" si="98"/>
        <v>2014</v>
      </c>
      <c r="AF596" s="1" t="str">
        <f t="shared" si="99"/>
        <v>131450</v>
      </c>
    </row>
    <row r="597" spans="1:32" x14ac:dyDescent="0.3">
      <c r="A597" s="1">
        <v>596</v>
      </c>
      <c r="B597" s="1" t="s">
        <v>1992</v>
      </c>
      <c r="C597" s="2">
        <v>41859</v>
      </c>
      <c r="D597" s="2">
        <v>41866</v>
      </c>
      <c r="E597" s="1" t="s">
        <v>48</v>
      </c>
      <c r="F597" s="1" t="s">
        <v>1993</v>
      </c>
      <c r="G597" s="1" t="s">
        <v>1994</v>
      </c>
      <c r="H597" s="1" t="s">
        <v>24</v>
      </c>
      <c r="I597" s="1" t="s">
        <v>25</v>
      </c>
      <c r="J597" s="1" t="s">
        <v>948</v>
      </c>
      <c r="K597" s="1" t="s">
        <v>41</v>
      </c>
      <c r="L597" s="1">
        <v>92024</v>
      </c>
      <c r="M597" s="1" t="s">
        <v>42</v>
      </c>
      <c r="N597" s="1" t="s">
        <v>1435</v>
      </c>
      <c r="O597" s="1" t="s">
        <v>69</v>
      </c>
      <c r="P597" s="1" t="s">
        <v>1217</v>
      </c>
      <c r="Q597" s="1" t="s">
        <v>1436</v>
      </c>
      <c r="R597" s="1">
        <v>1199.9760000000001</v>
      </c>
      <c r="S597" s="1">
        <v>3</v>
      </c>
      <c r="T597" s="3">
        <v>0.2</v>
      </c>
      <c r="U597" s="4">
        <v>434.99130000000002</v>
      </c>
      <c r="V597" s="1" t="str">
        <f t="shared" si="90"/>
        <v>Standard Class</v>
      </c>
      <c r="W597" s="1" t="str">
        <f t="shared" si="91"/>
        <v>Consumer</v>
      </c>
      <c r="X597" s="1" t="str">
        <f t="shared" si="92"/>
        <v>San Diego - California</v>
      </c>
      <c r="Y597" s="1" t="str">
        <f t="shared" si="93"/>
        <v>Copiers</v>
      </c>
      <c r="Z597" s="1">
        <f t="shared" si="94"/>
        <v>1199.9760000000001</v>
      </c>
      <c r="AA597" s="1">
        <f t="shared" si="95"/>
        <v>1199.9760000000001</v>
      </c>
      <c r="AB597" s="1">
        <f t="shared" si="96"/>
        <v>3599.9280000000003</v>
      </c>
      <c r="AC597" s="4">
        <f t="shared" si="97"/>
        <v>2879.9424000000004</v>
      </c>
      <c r="AD597" s="1" t="s">
        <v>2013</v>
      </c>
      <c r="AE597" s="1" t="str">
        <f t="shared" si="98"/>
        <v>2014</v>
      </c>
      <c r="AF597" s="1" t="str">
        <f t="shared" si="99"/>
        <v>131450</v>
      </c>
    </row>
    <row r="598" spans="1:32" x14ac:dyDescent="0.3">
      <c r="A598" s="1">
        <v>597</v>
      </c>
      <c r="B598" s="1" t="s">
        <v>1992</v>
      </c>
      <c r="C598" s="2">
        <v>41859</v>
      </c>
      <c r="D598" s="2">
        <v>41866</v>
      </c>
      <c r="E598" s="1" t="s">
        <v>48</v>
      </c>
      <c r="F598" s="1" t="s">
        <v>1993</v>
      </c>
      <c r="G598" s="1" t="s">
        <v>1994</v>
      </c>
      <c r="H598" s="1" t="s">
        <v>24</v>
      </c>
      <c r="I598" s="1" t="s">
        <v>25</v>
      </c>
      <c r="J598" s="1" t="s">
        <v>948</v>
      </c>
      <c r="K598" s="1" t="s">
        <v>41</v>
      </c>
      <c r="L598" s="1">
        <v>92024</v>
      </c>
      <c r="M598" s="1" t="s">
        <v>42</v>
      </c>
      <c r="N598" s="1" t="s">
        <v>1153</v>
      </c>
      <c r="O598" s="1" t="s">
        <v>69</v>
      </c>
      <c r="P598" s="1" t="s">
        <v>70</v>
      </c>
      <c r="Q598" s="1" t="s">
        <v>1154</v>
      </c>
      <c r="R598" s="1">
        <v>445.96</v>
      </c>
      <c r="S598" s="1">
        <v>5</v>
      </c>
      <c r="T598" s="3">
        <v>0.2</v>
      </c>
      <c r="U598" s="4">
        <v>55.744999999999997</v>
      </c>
      <c r="V598" s="1" t="str">
        <f t="shared" si="90"/>
        <v>Standard Class</v>
      </c>
      <c r="W598" s="1" t="str">
        <f t="shared" si="91"/>
        <v>Consumer</v>
      </c>
      <c r="X598" s="1" t="str">
        <f t="shared" si="92"/>
        <v>San Diego - California</v>
      </c>
      <c r="Y598" s="1" t="str">
        <f t="shared" si="93"/>
        <v>Phones</v>
      </c>
      <c r="Z598" s="1">
        <f t="shared" si="94"/>
        <v>445.96</v>
      </c>
      <c r="AA598" s="1">
        <f t="shared" si="95"/>
        <v>445.96</v>
      </c>
      <c r="AB598" s="1">
        <f t="shared" si="96"/>
        <v>2229.7999999999997</v>
      </c>
      <c r="AC598" s="4">
        <f t="shared" si="97"/>
        <v>1783.84</v>
      </c>
      <c r="AD598" s="1" t="s">
        <v>2013</v>
      </c>
      <c r="AE598" s="1" t="str">
        <f t="shared" si="98"/>
        <v>2014</v>
      </c>
      <c r="AF598" s="1" t="str">
        <f t="shared" si="99"/>
        <v>131450</v>
      </c>
    </row>
    <row r="599" spans="1:32" x14ac:dyDescent="0.3">
      <c r="A599" s="1">
        <v>598</v>
      </c>
      <c r="B599" s="1" t="s">
        <v>1992</v>
      </c>
      <c r="C599" s="2">
        <v>41859</v>
      </c>
      <c r="D599" s="2">
        <v>41866</v>
      </c>
      <c r="E599" s="1" t="s">
        <v>48</v>
      </c>
      <c r="F599" s="1" t="s">
        <v>1993</v>
      </c>
      <c r="G599" s="1" t="s">
        <v>1994</v>
      </c>
      <c r="H599" s="1" t="s">
        <v>24</v>
      </c>
      <c r="I599" s="1" t="s">
        <v>25</v>
      </c>
      <c r="J599" s="1" t="s">
        <v>948</v>
      </c>
      <c r="K599" s="1" t="s">
        <v>41</v>
      </c>
      <c r="L599" s="1">
        <v>92024</v>
      </c>
      <c r="M599" s="1" t="s">
        <v>42</v>
      </c>
      <c r="N599" s="1" t="s">
        <v>1997</v>
      </c>
      <c r="O599" s="1" t="s">
        <v>30</v>
      </c>
      <c r="P599" s="1" t="s">
        <v>63</v>
      </c>
      <c r="Q599" s="1" t="s">
        <v>1998</v>
      </c>
      <c r="R599" s="1">
        <v>327.76</v>
      </c>
      <c r="S599" s="1">
        <v>8</v>
      </c>
      <c r="T599" s="3">
        <v>0</v>
      </c>
      <c r="U599" s="4">
        <v>91.772800000000004</v>
      </c>
      <c r="V599" s="1" t="str">
        <f t="shared" si="90"/>
        <v>Standard Class</v>
      </c>
      <c r="W599" s="1" t="str">
        <f t="shared" si="91"/>
        <v>Consumer</v>
      </c>
      <c r="X599" s="1" t="str">
        <f t="shared" si="92"/>
        <v>San Diego - California</v>
      </c>
      <c r="Y599" s="1" t="str">
        <f t="shared" si="93"/>
        <v>Furnishings</v>
      </c>
      <c r="Z599" s="1">
        <f t="shared" si="94"/>
        <v>327.76</v>
      </c>
      <c r="AA599" s="1">
        <f t="shared" si="95"/>
        <v>327.76</v>
      </c>
      <c r="AB599" s="1">
        <f t="shared" si="96"/>
        <v>2622.08</v>
      </c>
      <c r="AC599" s="4">
        <f t="shared" si="97"/>
        <v>2622.08</v>
      </c>
      <c r="AD599" s="1" t="s">
        <v>2013</v>
      </c>
      <c r="AE599" s="1" t="str">
        <f t="shared" si="98"/>
        <v>2014</v>
      </c>
      <c r="AF599" s="1" t="str">
        <f t="shared" si="99"/>
        <v>131450</v>
      </c>
    </row>
    <row r="600" spans="1:32" x14ac:dyDescent="0.3">
      <c r="A600" s="1">
        <v>599</v>
      </c>
      <c r="B600" s="1" t="s">
        <v>1999</v>
      </c>
      <c r="C600" s="2">
        <v>42565</v>
      </c>
      <c r="D600" s="2">
        <v>42567</v>
      </c>
      <c r="E600" s="1" t="s">
        <v>186</v>
      </c>
      <c r="F600" s="1" t="s">
        <v>2000</v>
      </c>
      <c r="G600" s="1" t="s">
        <v>2001</v>
      </c>
      <c r="H600" s="1" t="s">
        <v>24</v>
      </c>
      <c r="I600" s="1" t="s">
        <v>25</v>
      </c>
      <c r="J600" s="1" t="s">
        <v>144</v>
      </c>
      <c r="K600" s="1" t="s">
        <v>145</v>
      </c>
      <c r="L600" s="1">
        <v>19134</v>
      </c>
      <c r="M600" s="1" t="s">
        <v>146</v>
      </c>
      <c r="N600" s="1" t="s">
        <v>2002</v>
      </c>
      <c r="O600" s="1" t="s">
        <v>44</v>
      </c>
      <c r="P600" s="1" t="s">
        <v>577</v>
      </c>
      <c r="Q600" s="1" t="s">
        <v>2003</v>
      </c>
      <c r="R600" s="1">
        <v>11.632</v>
      </c>
      <c r="S600" s="1">
        <v>2</v>
      </c>
      <c r="T600" s="3">
        <v>0.2</v>
      </c>
      <c r="U600" s="4">
        <v>1.0178</v>
      </c>
      <c r="V600" s="1" t="str">
        <f t="shared" si="90"/>
        <v>First Class</v>
      </c>
      <c r="W600" s="1" t="str">
        <f t="shared" si="91"/>
        <v>Consumer</v>
      </c>
      <c r="X600" s="1" t="str">
        <f t="shared" si="92"/>
        <v>Philadelphia - Pennsylvania</v>
      </c>
      <c r="Y600" s="1" t="str">
        <f t="shared" si="93"/>
        <v>Supplies</v>
      </c>
      <c r="Z600" s="1">
        <f t="shared" si="94"/>
        <v>11.632</v>
      </c>
      <c r="AA600" s="1">
        <f t="shared" si="95"/>
        <v>11.632</v>
      </c>
      <c r="AB600" s="1">
        <f t="shared" si="96"/>
        <v>23.263999999999999</v>
      </c>
      <c r="AC600" s="4">
        <f t="shared" si="97"/>
        <v>18.6112</v>
      </c>
      <c r="AD600" s="1" t="s">
        <v>2013</v>
      </c>
      <c r="AE600" s="1" t="str">
        <f t="shared" si="98"/>
        <v>2016</v>
      </c>
      <c r="AF600" s="1" t="str">
        <f t="shared" si="99"/>
        <v>120180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CF9A1-778C-4AFC-B976-6A5C5874CA94}">
  <sheetPr codeName="Sheet2"/>
  <dimension ref="A1:S601"/>
  <sheetViews>
    <sheetView tabSelected="1" topLeftCell="I1" zoomScale="90" zoomScaleNormal="90" workbookViewId="0">
      <selection activeCell="S2" sqref="S2"/>
    </sheetView>
  </sheetViews>
  <sheetFormatPr defaultRowHeight="14.4" x14ac:dyDescent="0.3"/>
  <cols>
    <col min="1" max="1" width="8.88671875" style="8"/>
    <col min="2" max="2" width="18.5546875" style="11" bestFit="1" customWidth="1"/>
    <col min="3" max="3" width="14.77734375" style="11" bestFit="1" customWidth="1"/>
    <col min="4" max="4" width="16.33203125" style="11" customWidth="1"/>
    <col min="5" max="5" width="13.109375" style="11" customWidth="1"/>
    <col min="6" max="6" width="11.109375" style="11" bestFit="1" customWidth="1"/>
    <col min="7" max="7" width="11.88671875" style="11" customWidth="1"/>
    <col min="8" max="8" width="11.5546875" style="11" bestFit="1" customWidth="1"/>
    <col min="9" max="9" width="24.6640625" style="11" bestFit="1" customWidth="1"/>
    <col min="10" max="10" width="8.88671875" style="11"/>
    <col min="11" max="11" width="13.109375" style="11" bestFit="1" customWidth="1"/>
    <col min="12" max="12" width="14.109375" style="11" customWidth="1"/>
    <col min="13" max="13" width="87.21875" style="11" bestFit="1" customWidth="1"/>
    <col min="14" max="14" width="10.33203125" style="11" bestFit="1" customWidth="1"/>
    <col min="15" max="15" width="10" style="11" customWidth="1"/>
    <col min="16" max="16" width="10.21875" style="11" customWidth="1"/>
    <col min="17" max="17" width="9.21875" style="11" bestFit="1" customWidth="1"/>
    <col min="18" max="18" width="11.88671875" style="11" customWidth="1"/>
    <col min="19" max="19" width="27.44140625" bestFit="1" customWidth="1"/>
  </cols>
  <sheetData>
    <row r="1" spans="1:19" s="24" customFormat="1" ht="40.200000000000003" customHeight="1" thickBot="1" x14ac:dyDescent="0.75">
      <c r="A1" s="36" t="s">
        <v>2019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8"/>
      <c r="Q1" s="38"/>
      <c r="R1" s="38"/>
      <c r="S1" s="38"/>
    </row>
    <row r="2" spans="1:19" s="26" customFormat="1" ht="16.2" thickTop="1" thickBot="1" x14ac:dyDescent="0.3">
      <c r="A2" s="25" t="s">
        <v>0</v>
      </c>
      <c r="B2" s="19" t="s">
        <v>13</v>
      </c>
      <c r="C2" s="19" t="s">
        <v>1</v>
      </c>
      <c r="D2" s="19" t="s">
        <v>2010</v>
      </c>
      <c r="E2" s="19" t="s">
        <v>5</v>
      </c>
      <c r="F2" s="19" t="s">
        <v>7</v>
      </c>
      <c r="G2" s="18" t="s">
        <v>2</v>
      </c>
      <c r="H2" s="19" t="s">
        <v>8</v>
      </c>
      <c r="I2" s="19" t="s">
        <v>2006</v>
      </c>
      <c r="J2" s="19" t="s">
        <v>12</v>
      </c>
      <c r="K2" s="19" t="s">
        <v>14</v>
      </c>
      <c r="L2" s="19" t="s">
        <v>15</v>
      </c>
      <c r="M2" s="19" t="s">
        <v>16</v>
      </c>
      <c r="N2" s="19" t="s">
        <v>17</v>
      </c>
      <c r="O2" s="20" t="s">
        <v>18</v>
      </c>
      <c r="P2" s="21" t="s">
        <v>19</v>
      </c>
      <c r="Q2" s="22" t="s">
        <v>2009</v>
      </c>
      <c r="R2" s="22" t="s">
        <v>2008</v>
      </c>
      <c r="S2" s="23" t="s">
        <v>2020</v>
      </c>
    </row>
    <row r="3" spans="1:19" s="12" customFormat="1" x14ac:dyDescent="0.3">
      <c r="A3" s="27">
        <v>1</v>
      </c>
      <c r="B3" s="10" t="s">
        <v>29</v>
      </c>
      <c r="C3" s="10" t="str">
        <f>_xlfn.XLOOKUP(B3,DataSet!$N$2:$N$600,DataSet!$AF$2:$AF$600,0)</f>
        <v>152156</v>
      </c>
      <c r="D3" s="10" t="str">
        <f>_xlfn.XLOOKUP(B3,DataSet!$N$2:$N$600,DataSet!$G$2:$G$600,0)</f>
        <v>Claire Gute</v>
      </c>
      <c r="E3" s="10" t="str">
        <f>_xlfn.XLOOKUP(B3,DataSet!$N$2:$N$600,DataSet!$F$2:$F$600,0)</f>
        <v>CG-12520</v>
      </c>
      <c r="F3" s="10" t="str">
        <f>_xlfn.XLOOKUP(B3,DataSet!$N$2:$N$600,DataSet!$W$2:$W$600,0)</f>
        <v>Consumer</v>
      </c>
      <c r="G3" s="13">
        <f>_xlfn.XLOOKUP(B3,DataSet!$N$2:$N$600,DataSet!$C$2:$C$600,0)</f>
        <v>42682</v>
      </c>
      <c r="H3" s="10" t="str">
        <f>_xlfn.XLOOKUP(B3,DataSet!$N$2:$N$600,DataSet!$I$2:$I$600,0)</f>
        <v>United States</v>
      </c>
      <c r="I3" s="10" t="str">
        <f>_xlfn.XLOOKUP(B3,DataSet!$N$2:$N$600,DataSet!$X$2:$X$600,0)</f>
        <v>Henderson - Kentucky</v>
      </c>
      <c r="J3" s="10" t="str">
        <f>_xlfn.XLOOKUP(B3,DataSet!$N$2:$N$600,DataSet!$M$2:$M$600,0)</f>
        <v>South</v>
      </c>
      <c r="K3" s="10" t="str">
        <f>_xlfn.XLOOKUP(B3,DataSet!$N$2:$N$600,DataSet!$O$2:$O$600,0)</f>
        <v>Furniture</v>
      </c>
      <c r="L3" s="10" t="str">
        <f>_xlfn.XLOOKUP(B3,DataSet!$N$2:$N$600,DataSet!$Y$2:$Y$600,0)</f>
        <v>Bookcases</v>
      </c>
      <c r="M3" s="10" t="str">
        <f>_xlfn.XLOOKUP(B3,DataSet!$N$2:$N$600,DataSet!$Q$2:$Q$600,0)</f>
        <v>Bush Somerset Collection Bookcase</v>
      </c>
      <c r="N3" s="16">
        <f>_xlfn.XLOOKUP(B3,DataSet!$N$2:$N$600,DataSet!$AA$2:$AA$600,0)</f>
        <v>261.95999999999998</v>
      </c>
      <c r="O3" s="10">
        <f>_xlfn.XLOOKUP(B3,DataSet!$N$2:$N$600,DataSet!$S$2:$S$600,0)</f>
        <v>2</v>
      </c>
      <c r="P3" s="15">
        <f>_xlfn.XLOOKUP(B3,DataSet!$N$2:$N$600,DataSet!$T$2:$T$600,0)</f>
        <v>0</v>
      </c>
      <c r="Q3" s="14">
        <f>_xlfn.XLOOKUP(B3,DataSet!$N$2:$N$600,DataSet!$U$2:$U$600,0)</f>
        <v>41.913600000000002</v>
      </c>
      <c r="R3" s="16">
        <f>_xlfn.XLOOKUP(B3,DataSet!$N$2:$N$600,DataSet!$AB$2:$AB$600,0)</f>
        <v>523.91999999999996</v>
      </c>
      <c r="S3" s="9">
        <f>_xlfn.XLOOKUP(B3,DataSet!$N$2:$N$600,DataSet!$AC$2:$AC$600,0)</f>
        <v>523.91999999999996</v>
      </c>
    </row>
    <row r="4" spans="1:19" s="12" customFormat="1" x14ac:dyDescent="0.3">
      <c r="A4" s="27">
        <v>2</v>
      </c>
      <c r="B4" s="10" t="s">
        <v>33</v>
      </c>
      <c r="C4" s="10" t="str">
        <f>_xlfn.XLOOKUP(B4,DataSet!$N$2:$N$600,DataSet!$AF$2:$AF$600,0)</f>
        <v>152156</v>
      </c>
      <c r="D4" s="10" t="str">
        <f>_xlfn.XLOOKUP(B4,DataSet!$N$2:$N$600,DataSet!$G$2:$G$600,0)</f>
        <v>Claire Gute</v>
      </c>
      <c r="E4" s="10" t="str">
        <f>_xlfn.XLOOKUP(B4,DataSet!$N$2:$N$600,DataSet!$F$2:$F$600,0)</f>
        <v>CG-12520</v>
      </c>
      <c r="F4" s="10" t="str">
        <f>_xlfn.XLOOKUP(B4,DataSet!$N$2:$N$600,DataSet!$W$2:$W$600,0)</f>
        <v>Consumer</v>
      </c>
      <c r="G4" s="13">
        <f>_xlfn.XLOOKUP(B4,DataSet!$N$2:$N$600,DataSet!$C$2:$C$600,0)</f>
        <v>42682</v>
      </c>
      <c r="H4" s="10" t="str">
        <f>_xlfn.XLOOKUP(B4,DataSet!$N$2:$N$600,DataSet!$I$2:$I$600,0)</f>
        <v>United States</v>
      </c>
      <c r="I4" s="10" t="str">
        <f>_xlfn.XLOOKUP(B4,DataSet!$N$2:$N$600,DataSet!$X$2:$X$600,0)</f>
        <v>Henderson - Kentucky</v>
      </c>
      <c r="J4" s="10" t="str">
        <f>_xlfn.XLOOKUP(B4,DataSet!$N$2:$N$600,DataSet!$M$2:$M$600,0)</f>
        <v>South</v>
      </c>
      <c r="K4" s="10" t="str">
        <f>_xlfn.XLOOKUP(B4,DataSet!$N$2:$N$600,DataSet!$O$2:$O$600,0)</f>
        <v>Furniture</v>
      </c>
      <c r="L4" s="10" t="str">
        <f>_xlfn.XLOOKUP(B4,DataSet!$N$2:$N$600,DataSet!$Y$2:$Y$600,0)</f>
        <v>Chairs</v>
      </c>
      <c r="M4" s="10" t="str">
        <f>_xlfn.XLOOKUP(B4,DataSet!$N$2:$N$600,DataSet!$Q$2:$Q$600,0)</f>
        <v>Hon Deluxe Fabric Upholstered Stacking Chairs, Rounded Back</v>
      </c>
      <c r="N4" s="16">
        <f>_xlfn.XLOOKUP(B4,DataSet!$N$2:$N$600,DataSet!$AA$2:$AA$600,0)</f>
        <v>731.94</v>
      </c>
      <c r="O4" s="10">
        <f>_xlfn.XLOOKUP(B4,DataSet!$N$2:$N$600,DataSet!$S$2:$S$600,0)</f>
        <v>3</v>
      </c>
      <c r="P4" s="15">
        <f>_xlfn.XLOOKUP(B4,DataSet!$N$2:$N$600,DataSet!$T$2:$T$600,0)</f>
        <v>0</v>
      </c>
      <c r="Q4" s="14">
        <f>_xlfn.XLOOKUP(B4,DataSet!$N$2:$N$600,DataSet!$U$2:$U$600,0)</f>
        <v>219.58199999999999</v>
      </c>
      <c r="R4" s="16">
        <f>_xlfn.XLOOKUP(B4,DataSet!$N$2:$N$600,DataSet!$AB$2:$AB$600,0)</f>
        <v>2195.8200000000002</v>
      </c>
      <c r="S4" s="9">
        <f>_xlfn.XLOOKUP(B4,DataSet!$N$2:$N$600,DataSet!$AC$2:$AC$600,0)</f>
        <v>2195.8200000000002</v>
      </c>
    </row>
    <row r="5" spans="1:19" s="12" customFormat="1" x14ac:dyDescent="0.3">
      <c r="A5" s="27">
        <v>3</v>
      </c>
      <c r="B5" s="10" t="s">
        <v>43</v>
      </c>
      <c r="C5" s="10" t="str">
        <f>_xlfn.XLOOKUP(B5,DataSet!$N$2:$N$600,DataSet!$AF$2:$AF$600,0)</f>
        <v>138688</v>
      </c>
      <c r="D5" s="10" t="str">
        <f>_xlfn.XLOOKUP(B5,DataSet!$N$2:$N$600,DataSet!$G$2:$G$600,0)</f>
        <v>Darrin Van Huff</v>
      </c>
      <c r="E5" s="10" t="str">
        <f>_xlfn.XLOOKUP(B5,DataSet!$N$2:$N$600,DataSet!$F$2:$F$600,0)</f>
        <v>DV-13045</v>
      </c>
      <c r="F5" s="10" t="str">
        <f>_xlfn.XLOOKUP(B5,DataSet!$N$2:$N$600,DataSet!$W$2:$W$600,0)</f>
        <v>Corporate</v>
      </c>
      <c r="G5" s="13">
        <f>_xlfn.XLOOKUP(B5,DataSet!$N$2:$N$600,DataSet!$C$2:$C$600,0)</f>
        <v>42533</v>
      </c>
      <c r="H5" s="10" t="str">
        <f>_xlfn.XLOOKUP(B5,DataSet!$N$2:$N$600,DataSet!$I$2:$I$600,0)</f>
        <v>United States</v>
      </c>
      <c r="I5" s="10" t="str">
        <f>_xlfn.XLOOKUP(B5,DataSet!$N$2:$N$600,DataSet!$X$2:$X$600,0)</f>
        <v>Los Angeles - California</v>
      </c>
      <c r="J5" s="10" t="str">
        <f>_xlfn.XLOOKUP(B5,DataSet!$N$2:$N$600,DataSet!$M$2:$M$600,0)</f>
        <v>West</v>
      </c>
      <c r="K5" s="10" t="str">
        <f>_xlfn.XLOOKUP(B5,DataSet!$N$2:$N$600,DataSet!$O$2:$O$600,0)</f>
        <v>Office Supplies</v>
      </c>
      <c r="L5" s="10" t="str">
        <f>_xlfn.XLOOKUP(B5,DataSet!$N$2:$N$600,DataSet!$Y$2:$Y$600,0)</f>
        <v>Labels</v>
      </c>
      <c r="M5" s="10" t="str">
        <f>_xlfn.XLOOKUP(B5,DataSet!$N$2:$N$600,DataSet!$Q$2:$Q$600,0)</f>
        <v>Self-Adhesive Address Labels for Typewriters by Universal</v>
      </c>
      <c r="N5" s="16">
        <f>_xlfn.XLOOKUP(B5,DataSet!$N$2:$N$600,DataSet!$AA$2:$AA$600,0)</f>
        <v>14.62</v>
      </c>
      <c r="O5" s="10">
        <f>_xlfn.XLOOKUP(B5,DataSet!$N$2:$N$600,DataSet!$S$2:$S$600,0)</f>
        <v>2</v>
      </c>
      <c r="P5" s="15">
        <f>_xlfn.XLOOKUP(B5,DataSet!$N$2:$N$600,DataSet!$T$2:$T$600,0)</f>
        <v>0</v>
      </c>
      <c r="Q5" s="14">
        <f>_xlfn.XLOOKUP(B5,DataSet!$N$2:$N$600,DataSet!$U$2:$U$600,0)</f>
        <v>6.8714000000000004</v>
      </c>
      <c r="R5" s="16">
        <f>_xlfn.XLOOKUP(B5,DataSet!$N$2:$N$600,DataSet!$AB$2:$AB$600,0)</f>
        <v>29.24</v>
      </c>
      <c r="S5" s="9">
        <f>_xlfn.XLOOKUP(B5,DataSet!$N$2:$N$600,DataSet!$AC$2:$AC$600,0)</f>
        <v>29.24</v>
      </c>
    </row>
    <row r="6" spans="1:19" s="12" customFormat="1" x14ac:dyDescent="0.3">
      <c r="A6" s="27">
        <v>4</v>
      </c>
      <c r="B6" s="10" t="s">
        <v>53</v>
      </c>
      <c r="C6" s="10" t="str">
        <f>_xlfn.XLOOKUP(B6,DataSet!$N$2:$N$600,DataSet!$AF$2:$AF$600,0)</f>
        <v>108966</v>
      </c>
      <c r="D6" s="10" t="str">
        <f>_xlfn.XLOOKUP(B6,DataSet!$N$2:$N$600,DataSet!$G$2:$G$600,0)</f>
        <v>Sean O'Donnell</v>
      </c>
      <c r="E6" s="10" t="str">
        <f>_xlfn.XLOOKUP(B6,DataSet!$N$2:$N$600,DataSet!$F$2:$F$600,0)</f>
        <v>SO-20335</v>
      </c>
      <c r="F6" s="10" t="str">
        <f>_xlfn.XLOOKUP(B6,DataSet!$N$2:$N$600,DataSet!$W$2:$W$600,0)</f>
        <v>Consumer</v>
      </c>
      <c r="G6" s="13">
        <f>_xlfn.XLOOKUP(B6,DataSet!$N$2:$N$600,DataSet!$C$2:$C$600,0)</f>
        <v>42288</v>
      </c>
      <c r="H6" s="10" t="str">
        <f>_xlfn.XLOOKUP(B6,DataSet!$N$2:$N$600,DataSet!$I$2:$I$600,0)</f>
        <v>United States</v>
      </c>
      <c r="I6" s="10" t="str">
        <f>_xlfn.XLOOKUP(B6,DataSet!$N$2:$N$600,DataSet!$X$2:$X$600,0)</f>
        <v>Fort Lauderdale - Florida</v>
      </c>
      <c r="J6" s="10" t="str">
        <f>_xlfn.XLOOKUP(B6,DataSet!$N$2:$N$600,DataSet!$M$2:$M$600,0)</f>
        <v>South</v>
      </c>
      <c r="K6" s="10" t="str">
        <f>_xlfn.XLOOKUP(B6,DataSet!$N$2:$N$600,DataSet!$O$2:$O$600,0)</f>
        <v>Furniture</v>
      </c>
      <c r="L6" s="10" t="str">
        <f>_xlfn.XLOOKUP(B6,DataSet!$N$2:$N$600,DataSet!$Y$2:$Y$600,0)</f>
        <v>Tables</v>
      </c>
      <c r="M6" s="10" t="str">
        <f>_xlfn.XLOOKUP(B6,DataSet!$N$2:$N$600,DataSet!$Q$2:$Q$600,0)</f>
        <v>Bretford CR4500 Series Slim Rectangular Table</v>
      </c>
      <c r="N6" s="16">
        <f>_xlfn.XLOOKUP(B6,DataSet!$N$2:$N$600,DataSet!$AA$2:$AA$600,0)</f>
        <v>957.57749999999999</v>
      </c>
      <c r="O6" s="10">
        <f>_xlfn.XLOOKUP(B6,DataSet!$N$2:$N$600,DataSet!$S$2:$S$600,0)</f>
        <v>5</v>
      </c>
      <c r="P6" s="15">
        <f>_xlfn.XLOOKUP(B6,DataSet!$N$2:$N$600,DataSet!$T$2:$T$600,0)</f>
        <v>0.45</v>
      </c>
      <c r="Q6" s="14">
        <f>_xlfn.XLOOKUP(B6,DataSet!$N$2:$N$600,DataSet!$U$2:$U$600,0)</f>
        <v>-383.03100000000001</v>
      </c>
      <c r="R6" s="16">
        <f>_xlfn.XLOOKUP(B6,DataSet!$N$2:$N$600,DataSet!$AB$2:$AB$600,0)</f>
        <v>4787.8874999999998</v>
      </c>
      <c r="S6" s="9">
        <f>_xlfn.XLOOKUP(B6,DataSet!$N$2:$N$600,DataSet!$AC$2:$AC$600,0)</f>
        <v>2633.3381250000002</v>
      </c>
    </row>
    <row r="7" spans="1:19" s="12" customFormat="1" x14ac:dyDescent="0.3">
      <c r="A7" s="27">
        <v>5</v>
      </c>
      <c r="B7" s="10" t="s">
        <v>56</v>
      </c>
      <c r="C7" s="10" t="str">
        <f>_xlfn.XLOOKUP(B7,DataSet!$N$2:$N$600,DataSet!$AF$2:$AF$600,0)</f>
        <v>108966</v>
      </c>
      <c r="D7" s="10" t="str">
        <f>_xlfn.XLOOKUP(B7,DataSet!$N$2:$N$600,DataSet!$G$2:$G$600,0)</f>
        <v>Sean O'Donnell</v>
      </c>
      <c r="E7" s="10" t="str">
        <f>_xlfn.XLOOKUP(B7,DataSet!$N$2:$N$600,DataSet!$F$2:$F$600,0)</f>
        <v>SO-20335</v>
      </c>
      <c r="F7" s="10" t="str">
        <f>_xlfn.XLOOKUP(B7,DataSet!$N$2:$N$600,DataSet!$W$2:$W$600,0)</f>
        <v>Consumer</v>
      </c>
      <c r="G7" s="17">
        <f>_xlfn.XLOOKUP(B7,DataSet!$N$2:$N$600,DataSet!$C$2:$C$600,0)</f>
        <v>42288</v>
      </c>
      <c r="H7" s="10" t="str">
        <f>_xlfn.XLOOKUP(B7,DataSet!$N$2:$N$600,DataSet!$I$2:$I$600,0)</f>
        <v>United States</v>
      </c>
      <c r="I7" s="10" t="str">
        <f>_xlfn.XLOOKUP(B7,DataSet!$N$2:$N$600,DataSet!$X$2:$X$600,0)</f>
        <v>Fort Lauderdale - Florida</v>
      </c>
      <c r="J7" s="10" t="str">
        <f>_xlfn.XLOOKUP(B7,DataSet!$N$2:$N$600,DataSet!$M$2:$M$600,0)</f>
        <v>South</v>
      </c>
      <c r="K7" s="10" t="str">
        <f>_xlfn.XLOOKUP(B7,DataSet!$N$2:$N$600,DataSet!$O$2:$O$600,0)</f>
        <v>Office Supplies</v>
      </c>
      <c r="L7" s="10" t="str">
        <f>_xlfn.XLOOKUP(B7,DataSet!$N$2:$N$600,DataSet!$Y$2:$Y$600,0)</f>
        <v>Storage</v>
      </c>
      <c r="M7" s="10" t="str">
        <f>_xlfn.XLOOKUP(B7,DataSet!$N$2:$N$600,DataSet!$Q$2:$Q$600,0)</f>
        <v>Eldon Fold 'N Roll Cart System</v>
      </c>
      <c r="N7" s="16">
        <f>_xlfn.XLOOKUP(B7,DataSet!$N$2:$N$600,DataSet!$AA$2:$AA$600,0)</f>
        <v>22.367999999999999</v>
      </c>
      <c r="O7" s="10">
        <f>_xlfn.XLOOKUP(B7,DataSet!$N$2:$N$600,DataSet!$S$2:$S$600,0)</f>
        <v>2</v>
      </c>
      <c r="P7" s="15">
        <f>_xlfn.XLOOKUP(B7,DataSet!$N$2:$N$600,DataSet!$T$2:$T$600,0)</f>
        <v>0.2</v>
      </c>
      <c r="Q7" s="14">
        <f>_xlfn.XLOOKUP(B7,DataSet!$N$2:$N$600,DataSet!$U$2:$U$600,0)</f>
        <v>2.5164</v>
      </c>
      <c r="R7" s="16">
        <f>_xlfn.XLOOKUP(B7,DataSet!$N$2:$N$600,DataSet!$AB$2:$AB$600,0)</f>
        <v>44.735999999999997</v>
      </c>
      <c r="S7" s="9">
        <f>_xlfn.XLOOKUP(B7,DataSet!$N$2:$N$600,DataSet!$AC$2:$AC$600,0)</f>
        <v>35.788800000000002</v>
      </c>
    </row>
    <row r="8" spans="1:19" s="12" customFormat="1" x14ac:dyDescent="0.3">
      <c r="A8" s="27">
        <v>6</v>
      </c>
      <c r="B8" s="10" t="s">
        <v>62</v>
      </c>
      <c r="C8" s="10" t="str">
        <f>_xlfn.XLOOKUP(B8,DataSet!$N$2:$N$600,DataSet!$AF$2:$AF$600,0)</f>
        <v>115812</v>
      </c>
      <c r="D8" s="10" t="str">
        <f>_xlfn.XLOOKUP(B8,DataSet!$N$2:$N$600,DataSet!$G$2:$G$600,0)</f>
        <v>Brosina Hoffman</v>
      </c>
      <c r="E8" s="10" t="str">
        <f>_xlfn.XLOOKUP(B8,DataSet!$N$2:$N$600,DataSet!$F$2:$F$600,0)</f>
        <v>BH-11710</v>
      </c>
      <c r="F8" s="10" t="str">
        <f>_xlfn.XLOOKUP(B8,DataSet!$N$2:$N$600,DataSet!$W$2:$W$600,0)</f>
        <v>Consumer</v>
      </c>
      <c r="G8" s="13">
        <f>_xlfn.XLOOKUP(B8,DataSet!$N$2:$N$600,DataSet!$C$2:$C$600,0)</f>
        <v>41799</v>
      </c>
      <c r="H8" s="10" t="str">
        <f>_xlfn.XLOOKUP(B8,DataSet!$N$2:$N$600,DataSet!$I$2:$I$600,0)</f>
        <v>United States</v>
      </c>
      <c r="I8" s="10" t="str">
        <f>_xlfn.XLOOKUP(B8,DataSet!$N$2:$N$600,DataSet!$X$2:$X$600,0)</f>
        <v>Los Angeles - California</v>
      </c>
      <c r="J8" s="10" t="str">
        <f>_xlfn.XLOOKUP(B8,DataSet!$N$2:$N$600,DataSet!$M$2:$M$600,0)</f>
        <v>West</v>
      </c>
      <c r="K8" s="10" t="str">
        <f>_xlfn.XLOOKUP(B8,DataSet!$N$2:$N$600,DataSet!$O$2:$O$600,0)</f>
        <v>Furniture</v>
      </c>
      <c r="L8" s="10" t="str">
        <f>_xlfn.XLOOKUP(B8,DataSet!$N$2:$N$600,DataSet!$Y$2:$Y$600,0)</f>
        <v>Furnishings</v>
      </c>
      <c r="M8" s="10" t="str">
        <f>_xlfn.XLOOKUP(B8,DataSet!$N$2:$N$600,DataSet!$Q$2:$Q$600,0)</f>
        <v>Eldon Expressions Wood and Plastic Desk Accessories, Cherry Wood</v>
      </c>
      <c r="N8" s="16">
        <f>_xlfn.XLOOKUP(B8,DataSet!$N$2:$N$600,DataSet!$AA$2:$AA$600,0)</f>
        <v>48.86</v>
      </c>
      <c r="O8" s="10">
        <f>_xlfn.XLOOKUP(B8,DataSet!$N$2:$N$600,DataSet!$S$2:$S$600,0)</f>
        <v>7</v>
      </c>
      <c r="P8" s="15">
        <f>_xlfn.XLOOKUP(B8,DataSet!$N$2:$N$600,DataSet!$T$2:$T$600,0)</f>
        <v>0</v>
      </c>
      <c r="Q8" s="14">
        <f>_xlfn.XLOOKUP(B8,DataSet!$N$2:$N$600,DataSet!$U$2:$U$600,0)</f>
        <v>14.1694</v>
      </c>
      <c r="R8" s="16">
        <f>_xlfn.XLOOKUP(B8,DataSet!$N$2:$N$600,DataSet!$AB$2:$AB$600,0)</f>
        <v>342.02</v>
      </c>
      <c r="S8" s="9">
        <f>_xlfn.XLOOKUP(B8,DataSet!$N$2:$N$600,DataSet!$AC$2:$AC$600,0)</f>
        <v>342.02</v>
      </c>
    </row>
    <row r="9" spans="1:19" s="12" customFormat="1" x14ac:dyDescent="0.3">
      <c r="A9" s="27">
        <v>7</v>
      </c>
      <c r="B9" s="10" t="s">
        <v>65</v>
      </c>
      <c r="C9" s="10" t="str">
        <f>_xlfn.XLOOKUP(B9,DataSet!$N$2:$N$600,DataSet!$AF$2:$AF$600,0)</f>
        <v>115812</v>
      </c>
      <c r="D9" s="10" t="str">
        <f>_xlfn.XLOOKUP(B9,DataSet!$N$2:$N$600,DataSet!$G$2:$G$600,0)</f>
        <v>Brosina Hoffman</v>
      </c>
      <c r="E9" s="10" t="str">
        <f>_xlfn.XLOOKUP(B9,DataSet!$N$2:$N$600,DataSet!$F$2:$F$600,0)</f>
        <v>BH-11710</v>
      </c>
      <c r="F9" s="10" t="str">
        <f>_xlfn.XLOOKUP(B9,DataSet!$N$2:$N$600,DataSet!$W$2:$W$600,0)</f>
        <v>Consumer</v>
      </c>
      <c r="G9" s="13">
        <f>_xlfn.XLOOKUP(B9,DataSet!$N$2:$N$600,DataSet!$C$2:$C$600,0)</f>
        <v>41799</v>
      </c>
      <c r="H9" s="10" t="str">
        <f>_xlfn.XLOOKUP(B9,DataSet!$N$2:$N$600,DataSet!$I$2:$I$600,0)</f>
        <v>United States</v>
      </c>
      <c r="I9" s="10" t="str">
        <f>_xlfn.XLOOKUP(B9,DataSet!$N$2:$N$600,DataSet!$X$2:$X$600,0)</f>
        <v>Los Angeles - California</v>
      </c>
      <c r="J9" s="10" t="str">
        <f>_xlfn.XLOOKUP(B9,DataSet!$N$2:$N$600,DataSet!$M$2:$M$600,0)</f>
        <v>West</v>
      </c>
      <c r="K9" s="10" t="str">
        <f>_xlfn.XLOOKUP(B9,DataSet!$N$2:$N$600,DataSet!$O$2:$O$600,0)</f>
        <v>Office Supplies</v>
      </c>
      <c r="L9" s="10" t="str">
        <f>_xlfn.XLOOKUP(B9,DataSet!$N$2:$N$600,DataSet!$Y$2:$Y$600,0)</f>
        <v>Art</v>
      </c>
      <c r="M9" s="10" t="str">
        <f>_xlfn.XLOOKUP(B9,DataSet!$N$2:$N$600,DataSet!$Q$2:$Q$600,0)</f>
        <v>Newell 322</v>
      </c>
      <c r="N9" s="16">
        <f>_xlfn.XLOOKUP(B9,DataSet!$N$2:$N$600,DataSet!$AA$2:$AA$600,0)</f>
        <v>7.28</v>
      </c>
      <c r="O9" s="10">
        <f>_xlfn.XLOOKUP(B9,DataSet!$N$2:$N$600,DataSet!$S$2:$S$600,0)</f>
        <v>4</v>
      </c>
      <c r="P9" s="15">
        <f>_xlfn.XLOOKUP(B9,DataSet!$N$2:$N$600,DataSet!$T$2:$T$600,0)</f>
        <v>0</v>
      </c>
      <c r="Q9" s="14">
        <f>_xlfn.XLOOKUP(B9,DataSet!$N$2:$N$600,DataSet!$U$2:$U$600,0)</f>
        <v>1.9656</v>
      </c>
      <c r="R9" s="16">
        <f>_xlfn.XLOOKUP(B9,DataSet!$N$2:$N$600,DataSet!$AB$2:$AB$600,0)</f>
        <v>29.12</v>
      </c>
      <c r="S9" s="9">
        <f>_xlfn.XLOOKUP(B9,DataSet!$N$2:$N$600,DataSet!$AC$2:$AC$600,0)</f>
        <v>29.12</v>
      </c>
    </row>
    <row r="10" spans="1:19" s="12" customFormat="1" x14ac:dyDescent="0.3">
      <c r="A10" s="27">
        <v>8</v>
      </c>
      <c r="B10" s="10" t="s">
        <v>68</v>
      </c>
      <c r="C10" s="10" t="str">
        <f>_xlfn.XLOOKUP(B10,DataSet!$N$2:$N$600,DataSet!$AF$2:$AF$600,0)</f>
        <v>115812</v>
      </c>
      <c r="D10" s="10" t="str">
        <f>_xlfn.XLOOKUP(B10,DataSet!$N$2:$N$600,DataSet!$G$2:$G$600,0)</f>
        <v>Brosina Hoffman</v>
      </c>
      <c r="E10" s="10" t="str">
        <f>_xlfn.XLOOKUP(B10,DataSet!$N$2:$N$600,DataSet!$F$2:$F$600,0)</f>
        <v>BH-11710</v>
      </c>
      <c r="F10" s="10" t="str">
        <f>_xlfn.XLOOKUP(B10,DataSet!$N$2:$N$600,DataSet!$W$2:$W$600,0)</f>
        <v>Consumer</v>
      </c>
      <c r="G10" s="13">
        <f>_xlfn.XLOOKUP(B10,DataSet!$N$2:$N$600,DataSet!$C$2:$C$600,0)</f>
        <v>41799</v>
      </c>
      <c r="H10" s="10" t="str">
        <f>_xlfn.XLOOKUP(B10,DataSet!$N$2:$N$600,DataSet!$I$2:$I$600,0)</f>
        <v>United States</v>
      </c>
      <c r="I10" s="10" t="str">
        <f>_xlfn.XLOOKUP(B10,DataSet!$N$2:$N$600,DataSet!$X$2:$X$600,0)</f>
        <v>Los Angeles - California</v>
      </c>
      <c r="J10" s="10" t="str">
        <f>_xlfn.XLOOKUP(B10,DataSet!$N$2:$N$600,DataSet!$M$2:$M$600,0)</f>
        <v>West</v>
      </c>
      <c r="K10" s="10" t="str">
        <f>_xlfn.XLOOKUP(B10,DataSet!$N$2:$N$600,DataSet!$O$2:$O$600,0)</f>
        <v>Technology</v>
      </c>
      <c r="L10" s="10" t="str">
        <f>_xlfn.XLOOKUP(B10,DataSet!$N$2:$N$600,DataSet!$Y$2:$Y$600,0)</f>
        <v>Phones</v>
      </c>
      <c r="M10" s="10" t="str">
        <f>_xlfn.XLOOKUP(B10,DataSet!$N$2:$N$600,DataSet!$Q$2:$Q$600,0)</f>
        <v>Mitel 5320 IP Phone VoIP phone</v>
      </c>
      <c r="N10" s="16">
        <f>_xlfn.XLOOKUP(B10,DataSet!$N$2:$N$600,DataSet!$AA$2:$AA$600,0)</f>
        <v>907.15200000000004</v>
      </c>
      <c r="O10" s="10">
        <f>_xlfn.XLOOKUP(B10,DataSet!$N$2:$N$600,DataSet!$S$2:$S$600,0)</f>
        <v>6</v>
      </c>
      <c r="P10" s="15">
        <f>_xlfn.XLOOKUP(B10,DataSet!$N$2:$N$600,DataSet!$T$2:$T$600,0)</f>
        <v>0.2</v>
      </c>
      <c r="Q10" s="14">
        <f>_xlfn.XLOOKUP(B10,DataSet!$N$2:$N$600,DataSet!$U$2:$U$600,0)</f>
        <v>90.715199999999996</v>
      </c>
      <c r="R10" s="16">
        <f>_xlfn.XLOOKUP(B10,DataSet!$N$2:$N$600,DataSet!$AB$2:$AB$600,0)</f>
        <v>5442.9120000000003</v>
      </c>
      <c r="S10" s="9">
        <f>_xlfn.XLOOKUP(B10,DataSet!$N$2:$N$600,DataSet!$AC$2:$AC$600,0)</f>
        <v>4354.3296</v>
      </c>
    </row>
    <row r="11" spans="1:19" s="12" customFormat="1" x14ac:dyDescent="0.3">
      <c r="A11" s="27">
        <v>9</v>
      </c>
      <c r="B11" s="10" t="s">
        <v>72</v>
      </c>
      <c r="C11" s="10" t="str">
        <f>_xlfn.XLOOKUP(B11,DataSet!$N$2:$N$600,DataSet!$AF$2:$AF$600,0)</f>
        <v>115812</v>
      </c>
      <c r="D11" s="10" t="str">
        <f>_xlfn.XLOOKUP(B11,DataSet!$N$2:$N$600,DataSet!$G$2:$G$600,0)</f>
        <v>Brosina Hoffman</v>
      </c>
      <c r="E11" s="10" t="str">
        <f>_xlfn.XLOOKUP(B11,DataSet!$N$2:$N$600,DataSet!$F$2:$F$600,0)</f>
        <v>BH-11710</v>
      </c>
      <c r="F11" s="10" t="str">
        <f>_xlfn.XLOOKUP(B11,DataSet!$N$2:$N$600,DataSet!$W$2:$W$600,0)</f>
        <v>Consumer</v>
      </c>
      <c r="G11" s="13">
        <f>_xlfn.XLOOKUP(B11,DataSet!$N$2:$N$600,DataSet!$C$2:$C$600,0)</f>
        <v>41799</v>
      </c>
      <c r="H11" s="10" t="str">
        <f>_xlfn.XLOOKUP(B11,DataSet!$N$2:$N$600,DataSet!$I$2:$I$600,0)</f>
        <v>United States</v>
      </c>
      <c r="I11" s="10" t="str">
        <f>_xlfn.XLOOKUP(B11,DataSet!$N$2:$N$600,DataSet!$X$2:$X$600,0)</f>
        <v>Los Angeles - California</v>
      </c>
      <c r="J11" s="10" t="str">
        <f>_xlfn.XLOOKUP(B11,DataSet!$N$2:$N$600,DataSet!$M$2:$M$600,0)</f>
        <v>West</v>
      </c>
      <c r="K11" s="10" t="str">
        <f>_xlfn.XLOOKUP(B11,DataSet!$N$2:$N$600,DataSet!$O$2:$O$600,0)</f>
        <v>Office Supplies</v>
      </c>
      <c r="L11" s="10" t="str">
        <f>_xlfn.XLOOKUP(B11,DataSet!$N$2:$N$600,DataSet!$Y$2:$Y$600,0)</f>
        <v>Binders</v>
      </c>
      <c r="M11" s="10" t="str">
        <f>_xlfn.XLOOKUP(B11,DataSet!$N$2:$N$600,DataSet!$Q$2:$Q$600,0)</f>
        <v>DXL Angle-View Binders with Locking Rings by Samsill</v>
      </c>
      <c r="N11" s="16">
        <f>_xlfn.XLOOKUP(B11,DataSet!$N$2:$N$600,DataSet!$AA$2:$AA$600,0)</f>
        <v>18.504000000000001</v>
      </c>
      <c r="O11" s="10">
        <f>_xlfn.XLOOKUP(B11,DataSet!$N$2:$N$600,DataSet!$S$2:$S$600,0)</f>
        <v>3</v>
      </c>
      <c r="P11" s="15">
        <f>_xlfn.XLOOKUP(B11,DataSet!$N$2:$N$600,DataSet!$T$2:$T$600,0)</f>
        <v>0.2</v>
      </c>
      <c r="Q11" s="14">
        <f>_xlfn.XLOOKUP(B11,DataSet!$N$2:$N$600,DataSet!$U$2:$U$600,0)</f>
        <v>5.7824999999999998</v>
      </c>
      <c r="R11" s="16">
        <f>_xlfn.XLOOKUP(B11,DataSet!$N$2:$N$600,DataSet!$AB$2:$AB$600,0)</f>
        <v>55.512</v>
      </c>
      <c r="S11" s="9">
        <f>_xlfn.XLOOKUP(B11,DataSet!$N$2:$N$600,DataSet!$AC$2:$AC$600,0)</f>
        <v>44.409600000000005</v>
      </c>
    </row>
    <row r="12" spans="1:19" s="12" customFormat="1" x14ac:dyDescent="0.3">
      <c r="A12" s="27">
        <v>10</v>
      </c>
      <c r="B12" s="10" t="s">
        <v>75</v>
      </c>
      <c r="C12" s="10" t="str">
        <f>_xlfn.XLOOKUP(B12,DataSet!$N$2:$N$600,DataSet!$AF$2:$AF$600,0)</f>
        <v>115812</v>
      </c>
      <c r="D12" s="10" t="str">
        <f>_xlfn.XLOOKUP(B12,DataSet!$N$2:$N$600,DataSet!$G$2:$G$600,0)</f>
        <v>Brosina Hoffman</v>
      </c>
      <c r="E12" s="10" t="str">
        <f>_xlfn.XLOOKUP(B12,DataSet!$N$2:$N$600,DataSet!$F$2:$F$600,0)</f>
        <v>BH-11710</v>
      </c>
      <c r="F12" s="10" t="str">
        <f>_xlfn.XLOOKUP(B12,DataSet!$N$2:$N$600,DataSet!$W$2:$W$600,0)</f>
        <v>Consumer</v>
      </c>
      <c r="G12" s="13">
        <f>_xlfn.XLOOKUP(B12,DataSet!$N$2:$N$600,DataSet!$C$2:$C$600,0)</f>
        <v>41799</v>
      </c>
      <c r="H12" s="10" t="str">
        <f>_xlfn.XLOOKUP(B12,DataSet!$N$2:$N$600,DataSet!$I$2:$I$600,0)</f>
        <v>United States</v>
      </c>
      <c r="I12" s="10" t="str">
        <f>_xlfn.XLOOKUP(B12,DataSet!$N$2:$N$600,DataSet!$X$2:$X$600,0)</f>
        <v>Los Angeles - California</v>
      </c>
      <c r="J12" s="10" t="str">
        <f>_xlfn.XLOOKUP(B12,DataSet!$N$2:$N$600,DataSet!$M$2:$M$600,0)</f>
        <v>West</v>
      </c>
      <c r="K12" s="10" t="str">
        <f>_xlfn.XLOOKUP(B12,DataSet!$N$2:$N$600,DataSet!$O$2:$O$600,0)</f>
        <v>Office Supplies</v>
      </c>
      <c r="L12" s="10" t="str">
        <f>_xlfn.XLOOKUP(B12,DataSet!$N$2:$N$600,DataSet!$Y$2:$Y$600,0)</f>
        <v>Appliances</v>
      </c>
      <c r="M12" s="10" t="str">
        <f>_xlfn.XLOOKUP(B12,DataSet!$N$2:$N$600,DataSet!$Q$2:$Q$600,0)</f>
        <v>Belkin F5C206VTEL 6 Outlet Surge</v>
      </c>
      <c r="N12" s="16">
        <f>_xlfn.XLOOKUP(B12,DataSet!$N$2:$N$600,DataSet!$AA$2:$AA$600,0)</f>
        <v>114.9</v>
      </c>
      <c r="O12" s="10">
        <f>_xlfn.XLOOKUP(B12,DataSet!$N$2:$N$600,DataSet!$S$2:$S$600,0)</f>
        <v>5</v>
      </c>
      <c r="P12" s="15">
        <f>_xlfn.XLOOKUP(B12,DataSet!$N$2:$N$600,DataSet!$T$2:$T$600,0)</f>
        <v>0</v>
      </c>
      <c r="Q12" s="14">
        <f>_xlfn.XLOOKUP(B12,DataSet!$N$2:$N$600,DataSet!$U$2:$U$600,0)</f>
        <v>34.47</v>
      </c>
      <c r="R12" s="16">
        <f>_xlfn.XLOOKUP(B12,DataSet!$N$2:$N$600,DataSet!$AB$2:$AB$600,0)</f>
        <v>574.5</v>
      </c>
      <c r="S12" s="9">
        <f>_xlfn.XLOOKUP(B12,DataSet!$N$2:$N$600,DataSet!$AC$2:$AC$600,0)</f>
        <v>574.5</v>
      </c>
    </row>
    <row r="13" spans="1:19" s="12" customFormat="1" x14ac:dyDescent="0.3">
      <c r="A13" s="27">
        <v>11</v>
      </c>
      <c r="B13" s="10" t="s">
        <v>78</v>
      </c>
      <c r="C13" s="10" t="str">
        <f>_xlfn.XLOOKUP(B13,DataSet!$N$2:$N$600,DataSet!$AF$2:$AF$600,0)</f>
        <v>115812</v>
      </c>
      <c r="D13" s="10" t="str">
        <f>_xlfn.XLOOKUP(B13,DataSet!$N$2:$N$600,DataSet!$G$2:$G$600,0)</f>
        <v>Brosina Hoffman</v>
      </c>
      <c r="E13" s="10" t="str">
        <f>_xlfn.XLOOKUP(B13,DataSet!$N$2:$N$600,DataSet!$F$2:$F$600,0)</f>
        <v>BH-11710</v>
      </c>
      <c r="F13" s="10" t="str">
        <f>_xlfn.XLOOKUP(B13,DataSet!$N$2:$N$600,DataSet!$W$2:$W$600,0)</f>
        <v>Consumer</v>
      </c>
      <c r="G13" s="13">
        <f>_xlfn.XLOOKUP(B13,DataSet!$N$2:$N$600,DataSet!$C$2:$C$600,0)</f>
        <v>41799</v>
      </c>
      <c r="H13" s="10" t="str">
        <f>_xlfn.XLOOKUP(B13,DataSet!$N$2:$N$600,DataSet!$I$2:$I$600,0)</f>
        <v>United States</v>
      </c>
      <c r="I13" s="10" t="str">
        <f>_xlfn.XLOOKUP(B13,DataSet!$N$2:$N$600,DataSet!$X$2:$X$600,0)</f>
        <v>Los Angeles - California</v>
      </c>
      <c r="J13" s="10" t="str">
        <f>_xlfn.XLOOKUP(B13,DataSet!$N$2:$N$600,DataSet!$M$2:$M$600,0)</f>
        <v>West</v>
      </c>
      <c r="K13" s="10" t="str">
        <f>_xlfn.XLOOKUP(B13,DataSet!$N$2:$N$600,DataSet!$O$2:$O$600,0)</f>
        <v>Furniture</v>
      </c>
      <c r="L13" s="10" t="str">
        <f>_xlfn.XLOOKUP(B13,DataSet!$N$2:$N$600,DataSet!$Y$2:$Y$600,0)</f>
        <v>Tables</v>
      </c>
      <c r="M13" s="10" t="str">
        <f>_xlfn.XLOOKUP(B13,DataSet!$N$2:$N$600,DataSet!$Q$2:$Q$600,0)</f>
        <v>Chromcraft Rectangular Conference Tables</v>
      </c>
      <c r="N13" s="16">
        <f>_xlfn.XLOOKUP(B13,DataSet!$N$2:$N$600,DataSet!$AA$2:$AA$600,0)</f>
        <v>1706.184</v>
      </c>
      <c r="O13" s="10">
        <f>_xlfn.XLOOKUP(B13,DataSet!$N$2:$N$600,DataSet!$S$2:$S$600,0)</f>
        <v>9</v>
      </c>
      <c r="P13" s="15">
        <f>_xlfn.XLOOKUP(B13,DataSet!$N$2:$N$600,DataSet!$T$2:$T$600,0)</f>
        <v>0.2</v>
      </c>
      <c r="Q13" s="14">
        <f>_xlfn.XLOOKUP(B13,DataSet!$N$2:$N$600,DataSet!$U$2:$U$600,0)</f>
        <v>85.309200000000004</v>
      </c>
      <c r="R13" s="16">
        <f>_xlfn.XLOOKUP(B13,DataSet!$N$2:$N$600,DataSet!$AB$2:$AB$600,0)</f>
        <v>15355.655999999999</v>
      </c>
      <c r="S13" s="9">
        <f>_xlfn.XLOOKUP(B13,DataSet!$N$2:$N$600,DataSet!$AC$2:$AC$600,0)</f>
        <v>12284.524799999999</v>
      </c>
    </row>
    <row r="14" spans="1:19" s="12" customFormat="1" x14ac:dyDescent="0.3">
      <c r="A14" s="27">
        <v>12</v>
      </c>
      <c r="B14" s="10" t="s">
        <v>80</v>
      </c>
      <c r="C14" s="10" t="str">
        <f>_xlfn.XLOOKUP(B14,DataSet!$N$2:$N$600,DataSet!$AF$2:$AF$600,0)</f>
        <v>115812</v>
      </c>
      <c r="D14" s="10" t="str">
        <f>_xlfn.XLOOKUP(B14,DataSet!$N$2:$N$600,DataSet!$G$2:$G$600,0)</f>
        <v>Brosina Hoffman</v>
      </c>
      <c r="E14" s="10" t="str">
        <f>_xlfn.XLOOKUP(B14,DataSet!$N$2:$N$600,DataSet!$F$2:$F$600,0)</f>
        <v>BH-11710</v>
      </c>
      <c r="F14" s="10" t="str">
        <f>_xlfn.XLOOKUP(B14,DataSet!$N$2:$N$600,DataSet!$W$2:$W$600,0)</f>
        <v>Consumer</v>
      </c>
      <c r="G14" s="13">
        <f>_xlfn.XLOOKUP(B14,DataSet!$N$2:$N$600,DataSet!$C$2:$C$600,0)</f>
        <v>41799</v>
      </c>
      <c r="H14" s="10" t="str">
        <f>_xlfn.XLOOKUP(B14,DataSet!$N$2:$N$600,DataSet!$I$2:$I$600,0)</f>
        <v>United States</v>
      </c>
      <c r="I14" s="10" t="str">
        <f>_xlfn.XLOOKUP(B14,DataSet!$N$2:$N$600,DataSet!$X$2:$X$600,0)</f>
        <v>Los Angeles - California</v>
      </c>
      <c r="J14" s="10" t="str">
        <f>_xlfn.XLOOKUP(B14,DataSet!$N$2:$N$600,DataSet!$M$2:$M$600,0)</f>
        <v>West</v>
      </c>
      <c r="K14" s="10" t="str">
        <f>_xlfn.XLOOKUP(B14,DataSet!$N$2:$N$600,DataSet!$O$2:$O$600,0)</f>
        <v>Technology</v>
      </c>
      <c r="L14" s="10" t="str">
        <f>_xlfn.XLOOKUP(B14,DataSet!$N$2:$N$600,DataSet!$Y$2:$Y$600,0)</f>
        <v>Phones</v>
      </c>
      <c r="M14" s="10" t="str">
        <f>_xlfn.XLOOKUP(B14,DataSet!$N$2:$N$600,DataSet!$Q$2:$Q$600,0)</f>
        <v>Konftel 250 Conference phone - Charcoal black</v>
      </c>
      <c r="N14" s="16">
        <f>_xlfn.XLOOKUP(B14,DataSet!$N$2:$N$600,DataSet!$AA$2:$AA$600,0)</f>
        <v>911.42399999999998</v>
      </c>
      <c r="O14" s="10">
        <f>_xlfn.XLOOKUP(B14,DataSet!$N$2:$N$600,DataSet!$S$2:$S$600,0)</f>
        <v>4</v>
      </c>
      <c r="P14" s="15">
        <f>_xlfn.XLOOKUP(B14,DataSet!$N$2:$N$600,DataSet!$T$2:$T$600,0)</f>
        <v>0.2</v>
      </c>
      <c r="Q14" s="14">
        <f>_xlfn.XLOOKUP(B14,DataSet!$N$2:$N$600,DataSet!$U$2:$U$600,0)</f>
        <v>68.356800000000007</v>
      </c>
      <c r="R14" s="16">
        <f>_xlfn.XLOOKUP(B14,DataSet!$N$2:$N$600,DataSet!$AB$2:$AB$600,0)</f>
        <v>3645.6959999999999</v>
      </c>
      <c r="S14" s="9">
        <f>_xlfn.XLOOKUP(B14,DataSet!$N$2:$N$600,DataSet!$AC$2:$AC$600,0)</f>
        <v>2916.5568000000003</v>
      </c>
    </row>
    <row r="15" spans="1:19" s="12" customFormat="1" x14ac:dyDescent="0.3">
      <c r="A15" s="27">
        <v>13</v>
      </c>
      <c r="B15" s="10" t="s">
        <v>87</v>
      </c>
      <c r="C15" s="10" t="str">
        <f>_xlfn.XLOOKUP(B15,DataSet!$N$2:$N$600,DataSet!$AF$2:$AF$600,0)</f>
        <v>114412</v>
      </c>
      <c r="D15" s="10" t="str">
        <f>_xlfn.XLOOKUP(B15,DataSet!$N$2:$N$600,DataSet!$G$2:$G$600,0)</f>
        <v>Andrew Allen</v>
      </c>
      <c r="E15" s="10" t="str">
        <f>_xlfn.XLOOKUP(B15,DataSet!$N$2:$N$600,DataSet!$F$2:$F$600,0)</f>
        <v>AA-10480</v>
      </c>
      <c r="F15" s="10" t="str">
        <f>_xlfn.XLOOKUP(B15,DataSet!$N$2:$N$600,DataSet!$W$2:$W$600,0)</f>
        <v>Consumer</v>
      </c>
      <c r="G15" s="13">
        <f>_xlfn.XLOOKUP(B15,DataSet!$N$2:$N$600,DataSet!$C$2:$C$600,0)</f>
        <v>42840</v>
      </c>
      <c r="H15" s="10" t="str">
        <f>_xlfn.XLOOKUP(B15,DataSet!$N$2:$N$600,DataSet!$I$2:$I$600,0)</f>
        <v>United States</v>
      </c>
      <c r="I15" s="10" t="str">
        <f>_xlfn.XLOOKUP(B15,DataSet!$N$2:$N$600,DataSet!$X$2:$X$600,0)</f>
        <v>Concord - North Carolina</v>
      </c>
      <c r="J15" s="10" t="str">
        <f>_xlfn.XLOOKUP(B15,DataSet!$N$2:$N$600,DataSet!$M$2:$M$600,0)</f>
        <v>South</v>
      </c>
      <c r="K15" s="10" t="str">
        <f>_xlfn.XLOOKUP(B15,DataSet!$N$2:$N$600,DataSet!$O$2:$O$600,0)</f>
        <v>Office Supplies</v>
      </c>
      <c r="L15" s="10" t="str">
        <f>_xlfn.XLOOKUP(B15,DataSet!$N$2:$N$600,DataSet!$Y$2:$Y$600,0)</f>
        <v>Paper</v>
      </c>
      <c r="M15" s="10" t="str">
        <f>_xlfn.XLOOKUP(B15,DataSet!$N$2:$N$600,DataSet!$Q$2:$Q$600,0)</f>
        <v>Xerox 1967</v>
      </c>
      <c r="N15" s="16">
        <f>_xlfn.XLOOKUP(B15,DataSet!$N$2:$N$600,DataSet!$AA$2:$AA$600,0)</f>
        <v>15.552</v>
      </c>
      <c r="O15" s="10">
        <f>_xlfn.XLOOKUP(B15,DataSet!$N$2:$N$600,DataSet!$S$2:$S$600,0)</f>
        <v>3</v>
      </c>
      <c r="P15" s="15">
        <f>_xlfn.XLOOKUP(B15,DataSet!$N$2:$N$600,DataSet!$T$2:$T$600,0)</f>
        <v>0.2</v>
      </c>
      <c r="Q15" s="14">
        <f>_xlfn.XLOOKUP(B15,DataSet!$N$2:$N$600,DataSet!$U$2:$U$600,0)</f>
        <v>5.4432</v>
      </c>
      <c r="R15" s="16">
        <f>_xlfn.XLOOKUP(B15,DataSet!$N$2:$N$600,DataSet!$AB$2:$AB$600,0)</f>
        <v>46.655999999999999</v>
      </c>
      <c r="S15" s="9">
        <f>_xlfn.XLOOKUP(B15,DataSet!$N$2:$N$600,DataSet!$AC$2:$AC$600,0)</f>
        <v>37.324800000000003</v>
      </c>
    </row>
    <row r="16" spans="1:19" s="12" customFormat="1" x14ac:dyDescent="0.3">
      <c r="A16" s="27">
        <v>14</v>
      </c>
      <c r="B16" s="10" t="s">
        <v>95</v>
      </c>
      <c r="C16" s="10" t="str">
        <f>_xlfn.XLOOKUP(B16,DataSet!$N$2:$N$600,DataSet!$AF$2:$AF$600,0)</f>
        <v>161389</v>
      </c>
      <c r="D16" s="10" t="str">
        <f>_xlfn.XLOOKUP(B16,DataSet!$N$2:$N$600,DataSet!$G$2:$G$600,0)</f>
        <v>Irene Maddox</v>
      </c>
      <c r="E16" s="10" t="str">
        <f>_xlfn.XLOOKUP(B16,DataSet!$N$2:$N$600,DataSet!$F$2:$F$600,0)</f>
        <v>IM-15070</v>
      </c>
      <c r="F16" s="10" t="str">
        <f>_xlfn.XLOOKUP(B16,DataSet!$N$2:$N$600,DataSet!$W$2:$W$600,0)</f>
        <v>Consumer</v>
      </c>
      <c r="G16" s="13">
        <f>_xlfn.XLOOKUP(B16,DataSet!$N$2:$N$600,DataSet!$C$2:$C$600,0)</f>
        <v>42709</v>
      </c>
      <c r="H16" s="10" t="str">
        <f>_xlfn.XLOOKUP(B16,DataSet!$N$2:$N$600,DataSet!$I$2:$I$600,0)</f>
        <v>United States</v>
      </c>
      <c r="I16" s="10" t="str">
        <f>_xlfn.XLOOKUP(B16,DataSet!$N$2:$N$600,DataSet!$X$2:$X$600,0)</f>
        <v>Seattle - Washington</v>
      </c>
      <c r="J16" s="10" t="str">
        <f>_xlfn.XLOOKUP(B16,DataSet!$N$2:$N$600,DataSet!$M$2:$M$600,0)</f>
        <v>West</v>
      </c>
      <c r="K16" s="10" t="str">
        <f>_xlfn.XLOOKUP(B16,DataSet!$N$2:$N$600,DataSet!$O$2:$O$600,0)</f>
        <v>Office Supplies</v>
      </c>
      <c r="L16" s="10" t="str">
        <f>_xlfn.XLOOKUP(B16,DataSet!$N$2:$N$600,DataSet!$Y$2:$Y$600,0)</f>
        <v>Binders</v>
      </c>
      <c r="M16" s="10" t="str">
        <f>_xlfn.XLOOKUP(B16,DataSet!$N$2:$N$600,DataSet!$Q$2:$Q$600,0)</f>
        <v>Fellowes PB200 Plastic Comb Binding Machine</v>
      </c>
      <c r="N16" s="16">
        <f>_xlfn.XLOOKUP(B16,DataSet!$N$2:$N$600,DataSet!$AA$2:$AA$600,0)</f>
        <v>407.976</v>
      </c>
      <c r="O16" s="10">
        <f>_xlfn.XLOOKUP(B16,DataSet!$N$2:$N$600,DataSet!$S$2:$S$600,0)</f>
        <v>3</v>
      </c>
      <c r="P16" s="15">
        <f>_xlfn.XLOOKUP(B16,DataSet!$N$2:$N$600,DataSet!$T$2:$T$600,0)</f>
        <v>0.2</v>
      </c>
      <c r="Q16" s="14">
        <f>_xlfn.XLOOKUP(B16,DataSet!$N$2:$N$600,DataSet!$U$2:$U$600,0)</f>
        <v>132.59219999999999</v>
      </c>
      <c r="R16" s="16">
        <f>_xlfn.XLOOKUP(B16,DataSet!$N$2:$N$600,DataSet!$AB$2:$AB$600,0)</f>
        <v>1223.9279999999999</v>
      </c>
      <c r="S16" s="9">
        <f>_xlfn.XLOOKUP(B16,DataSet!$N$2:$N$600,DataSet!$AC$2:$AC$600,0)</f>
        <v>979.14239999999995</v>
      </c>
    </row>
    <row r="17" spans="1:19" s="12" customFormat="1" x14ac:dyDescent="0.3">
      <c r="A17" s="27">
        <v>15</v>
      </c>
      <c r="B17" s="10" t="s">
        <v>104</v>
      </c>
      <c r="C17" s="10" t="str">
        <f>_xlfn.XLOOKUP(B17,DataSet!$N$2:$N$600,DataSet!$AF$2:$AF$600,0)</f>
        <v>118983</v>
      </c>
      <c r="D17" s="10" t="str">
        <f>_xlfn.XLOOKUP(B17,DataSet!$N$2:$N$600,DataSet!$G$2:$G$600,0)</f>
        <v>Harold Pawlan</v>
      </c>
      <c r="E17" s="10" t="str">
        <f>_xlfn.XLOOKUP(B17,DataSet!$N$2:$N$600,DataSet!$F$2:$F$600,0)</f>
        <v>HP-14815</v>
      </c>
      <c r="F17" s="10" t="str">
        <f>_xlfn.XLOOKUP(B17,DataSet!$N$2:$N$600,DataSet!$W$2:$W$600,0)</f>
        <v>Home Office</v>
      </c>
      <c r="G17" s="13">
        <f>_xlfn.XLOOKUP(B17,DataSet!$N$2:$N$600,DataSet!$C$2:$C$600,0)</f>
        <v>42330</v>
      </c>
      <c r="H17" s="10" t="str">
        <f>_xlfn.XLOOKUP(B17,DataSet!$N$2:$N$600,DataSet!$I$2:$I$600,0)</f>
        <v>United States</v>
      </c>
      <c r="I17" s="10" t="str">
        <f>_xlfn.XLOOKUP(B17,DataSet!$N$2:$N$600,DataSet!$X$2:$X$600,0)</f>
        <v>Fort Worth - Texas</v>
      </c>
      <c r="J17" s="10" t="str">
        <f>_xlfn.XLOOKUP(B17,DataSet!$N$2:$N$600,DataSet!$M$2:$M$600,0)</f>
        <v>Central</v>
      </c>
      <c r="K17" s="10" t="str">
        <f>_xlfn.XLOOKUP(B17,DataSet!$N$2:$N$600,DataSet!$O$2:$O$600,0)</f>
        <v>Office Supplies</v>
      </c>
      <c r="L17" s="10" t="str">
        <f>_xlfn.XLOOKUP(B17,DataSet!$N$2:$N$600,DataSet!$Y$2:$Y$600,0)</f>
        <v>Appliances</v>
      </c>
      <c r="M17" s="10" t="str">
        <f>_xlfn.XLOOKUP(B17,DataSet!$N$2:$N$600,DataSet!$Q$2:$Q$600,0)</f>
        <v>Holmes Replacement Filter for HEPA Air Cleaner, Very Large Room, HEPA Filter</v>
      </c>
      <c r="N17" s="16">
        <f>_xlfn.XLOOKUP(B17,DataSet!$N$2:$N$600,DataSet!$AA$2:$AA$600,0)</f>
        <v>68.81</v>
      </c>
      <c r="O17" s="10">
        <f>_xlfn.XLOOKUP(B17,DataSet!$N$2:$N$600,DataSet!$S$2:$S$600,0)</f>
        <v>5</v>
      </c>
      <c r="P17" s="15">
        <f>_xlfn.XLOOKUP(B17,DataSet!$N$2:$N$600,DataSet!$T$2:$T$600,0)</f>
        <v>0.8</v>
      </c>
      <c r="Q17" s="14">
        <f>_xlfn.XLOOKUP(B17,DataSet!$N$2:$N$600,DataSet!$U$2:$U$600,0)</f>
        <v>-123.858</v>
      </c>
      <c r="R17" s="16">
        <f>_xlfn.XLOOKUP(B17,DataSet!$N$2:$N$600,DataSet!$AB$2:$AB$600,0)</f>
        <v>344.05</v>
      </c>
      <c r="S17" s="9">
        <f>_xlfn.XLOOKUP(B17,DataSet!$N$2:$N$600,DataSet!$AC$2:$AC$600,0)</f>
        <v>68.809999999999988</v>
      </c>
    </row>
    <row r="18" spans="1:19" s="12" customFormat="1" x14ac:dyDescent="0.3">
      <c r="A18" s="27">
        <v>16</v>
      </c>
      <c r="B18" s="10" t="s">
        <v>106</v>
      </c>
      <c r="C18" s="10" t="str">
        <f>_xlfn.XLOOKUP(B18,DataSet!$N$2:$N$600,DataSet!$AF$2:$AF$600,0)</f>
        <v>118983</v>
      </c>
      <c r="D18" s="10" t="str">
        <f>_xlfn.XLOOKUP(B18,DataSet!$N$2:$N$600,DataSet!$G$2:$G$600,0)</f>
        <v>Harold Pawlan</v>
      </c>
      <c r="E18" s="10" t="str">
        <f>_xlfn.XLOOKUP(B18,DataSet!$N$2:$N$600,DataSet!$F$2:$F$600,0)</f>
        <v>HP-14815</v>
      </c>
      <c r="F18" s="10" t="str">
        <f>_xlfn.XLOOKUP(B18,DataSet!$N$2:$N$600,DataSet!$W$2:$W$600,0)</f>
        <v>Home Office</v>
      </c>
      <c r="G18" s="13">
        <f>_xlfn.XLOOKUP(B18,DataSet!$N$2:$N$600,DataSet!$C$2:$C$600,0)</f>
        <v>42330</v>
      </c>
      <c r="H18" s="10" t="str">
        <f>_xlfn.XLOOKUP(B18,DataSet!$N$2:$N$600,DataSet!$I$2:$I$600,0)</f>
        <v>United States</v>
      </c>
      <c r="I18" s="10" t="str">
        <f>_xlfn.XLOOKUP(B18,DataSet!$N$2:$N$600,DataSet!$X$2:$X$600,0)</f>
        <v>Fort Worth - Texas</v>
      </c>
      <c r="J18" s="10" t="str">
        <f>_xlfn.XLOOKUP(B18,DataSet!$N$2:$N$600,DataSet!$M$2:$M$600,0)</f>
        <v>Central</v>
      </c>
      <c r="K18" s="10" t="str">
        <f>_xlfn.XLOOKUP(B18,DataSet!$N$2:$N$600,DataSet!$O$2:$O$600,0)</f>
        <v>Office Supplies</v>
      </c>
      <c r="L18" s="10" t="str">
        <f>_xlfn.XLOOKUP(B18,DataSet!$N$2:$N$600,DataSet!$Y$2:$Y$600,0)</f>
        <v>Binders</v>
      </c>
      <c r="M18" s="10" t="str">
        <f>_xlfn.XLOOKUP(B18,DataSet!$N$2:$N$600,DataSet!$Q$2:$Q$600,0)</f>
        <v>Storex DuraTech Recycled Plastic Frosted Binders</v>
      </c>
      <c r="N18" s="16">
        <f>_xlfn.XLOOKUP(B18,DataSet!$N$2:$N$600,DataSet!$AA$2:$AA$600,0)</f>
        <v>2.544</v>
      </c>
      <c r="O18" s="10">
        <f>_xlfn.XLOOKUP(B18,DataSet!$N$2:$N$600,DataSet!$S$2:$S$600,0)</f>
        <v>3</v>
      </c>
      <c r="P18" s="15">
        <f>_xlfn.XLOOKUP(B18,DataSet!$N$2:$N$600,DataSet!$T$2:$T$600,0)</f>
        <v>0.8</v>
      </c>
      <c r="Q18" s="14">
        <f>_xlfn.XLOOKUP(B18,DataSet!$N$2:$N$600,DataSet!$U$2:$U$600,0)</f>
        <v>-3.8159999999999998</v>
      </c>
      <c r="R18" s="16">
        <f>_xlfn.XLOOKUP(B18,DataSet!$N$2:$N$600,DataSet!$AB$2:$AB$600,0)</f>
        <v>7.6319999999999997</v>
      </c>
      <c r="S18" s="9">
        <f>_xlfn.XLOOKUP(B18,DataSet!$N$2:$N$600,DataSet!$AC$2:$AC$600,0)</f>
        <v>1.5263999999999995</v>
      </c>
    </row>
    <row r="19" spans="1:19" s="12" customFormat="1" x14ac:dyDescent="0.3">
      <c r="A19" s="27">
        <v>17</v>
      </c>
      <c r="B19" s="10" t="s">
        <v>113</v>
      </c>
      <c r="C19" s="10" t="str">
        <f>_xlfn.XLOOKUP(B19,DataSet!$N$2:$N$600,DataSet!$AF$2:$AF$600,0)</f>
        <v>105893</v>
      </c>
      <c r="D19" s="10" t="str">
        <f>_xlfn.XLOOKUP(B19,DataSet!$N$2:$N$600,DataSet!$G$2:$G$600,0)</f>
        <v>Pete Kriz</v>
      </c>
      <c r="E19" s="10" t="str">
        <f>_xlfn.XLOOKUP(B19,DataSet!$N$2:$N$600,DataSet!$F$2:$F$600,0)</f>
        <v>PK-19075</v>
      </c>
      <c r="F19" s="10" t="str">
        <f>_xlfn.XLOOKUP(B19,DataSet!$N$2:$N$600,DataSet!$W$2:$W$600,0)</f>
        <v>Consumer</v>
      </c>
      <c r="G19" s="13">
        <f>_xlfn.XLOOKUP(B19,DataSet!$N$2:$N$600,DataSet!$C$2:$C$600,0)</f>
        <v>41954</v>
      </c>
      <c r="H19" s="10" t="str">
        <f>_xlfn.XLOOKUP(B19,DataSet!$N$2:$N$600,DataSet!$I$2:$I$600,0)</f>
        <v>United States</v>
      </c>
      <c r="I19" s="10" t="str">
        <f>_xlfn.XLOOKUP(B19,DataSet!$N$2:$N$600,DataSet!$X$2:$X$600,0)</f>
        <v>Madison - Wisconsin</v>
      </c>
      <c r="J19" s="10" t="str">
        <f>_xlfn.XLOOKUP(B19,DataSet!$N$2:$N$600,DataSet!$M$2:$M$600,0)</f>
        <v>Central</v>
      </c>
      <c r="K19" s="10" t="str">
        <f>_xlfn.XLOOKUP(B19,DataSet!$N$2:$N$600,DataSet!$O$2:$O$600,0)</f>
        <v>Office Supplies</v>
      </c>
      <c r="L19" s="10" t="str">
        <f>_xlfn.XLOOKUP(B19,DataSet!$N$2:$N$600,DataSet!$Y$2:$Y$600,0)</f>
        <v>Storage</v>
      </c>
      <c r="M19" s="10" t="str">
        <f>_xlfn.XLOOKUP(B19,DataSet!$N$2:$N$600,DataSet!$Q$2:$Q$600,0)</f>
        <v>Stur-D-Stor Shelving, Vertical 5-Shelf: 72"H x 36"W x 18 1/2"D</v>
      </c>
      <c r="N19" s="16">
        <f>_xlfn.XLOOKUP(B19,DataSet!$N$2:$N$600,DataSet!$AA$2:$AA$600,0)</f>
        <v>665.88</v>
      </c>
      <c r="O19" s="10">
        <f>_xlfn.XLOOKUP(B19,DataSet!$N$2:$N$600,DataSet!$S$2:$S$600,0)</f>
        <v>6</v>
      </c>
      <c r="P19" s="15">
        <f>_xlfn.XLOOKUP(B19,DataSet!$N$2:$N$600,DataSet!$T$2:$T$600,0)</f>
        <v>0</v>
      </c>
      <c r="Q19" s="14">
        <f>_xlfn.XLOOKUP(B19,DataSet!$N$2:$N$600,DataSet!$U$2:$U$600,0)</f>
        <v>13.317600000000001</v>
      </c>
      <c r="R19" s="16">
        <f>_xlfn.XLOOKUP(B19,DataSet!$N$2:$N$600,DataSet!$AB$2:$AB$600,0)</f>
        <v>3995.2799999999997</v>
      </c>
      <c r="S19" s="9">
        <f>_xlfn.XLOOKUP(B19,DataSet!$N$2:$N$600,DataSet!$AC$2:$AC$600,0)</f>
        <v>3995.2799999999997</v>
      </c>
    </row>
    <row r="20" spans="1:19" s="12" customFormat="1" x14ac:dyDescent="0.3">
      <c r="A20" s="27">
        <v>18</v>
      </c>
      <c r="B20" s="10" t="s">
        <v>120</v>
      </c>
      <c r="C20" s="10" t="str">
        <f>_xlfn.XLOOKUP(B20,DataSet!$N$2:$N$600,DataSet!$AF$2:$AF$600,0)</f>
        <v>167164</v>
      </c>
      <c r="D20" s="10" t="str">
        <f>_xlfn.XLOOKUP(B20,DataSet!$N$2:$N$600,DataSet!$G$2:$G$600,0)</f>
        <v>Alejandro Grove</v>
      </c>
      <c r="E20" s="10" t="str">
        <f>_xlfn.XLOOKUP(B20,DataSet!$N$2:$N$600,DataSet!$F$2:$F$600,0)</f>
        <v>AG-10270</v>
      </c>
      <c r="F20" s="10" t="str">
        <f>_xlfn.XLOOKUP(B20,DataSet!$N$2:$N$600,DataSet!$W$2:$W$600,0)</f>
        <v>Consumer</v>
      </c>
      <c r="G20" s="13">
        <f>_xlfn.XLOOKUP(B20,DataSet!$N$2:$N$600,DataSet!$C$2:$C$600,0)</f>
        <v>41772</v>
      </c>
      <c r="H20" s="10" t="str">
        <f>_xlfn.XLOOKUP(B20,DataSet!$N$2:$N$600,DataSet!$I$2:$I$600,0)</f>
        <v>United States</v>
      </c>
      <c r="I20" s="10" t="str">
        <f>_xlfn.XLOOKUP(B20,DataSet!$N$2:$N$600,DataSet!$X$2:$X$600,0)</f>
        <v>West Jordan - Utah</v>
      </c>
      <c r="J20" s="10" t="str">
        <f>_xlfn.XLOOKUP(B20,DataSet!$N$2:$N$600,DataSet!$M$2:$M$600,0)</f>
        <v>West</v>
      </c>
      <c r="K20" s="10" t="str">
        <f>_xlfn.XLOOKUP(B20,DataSet!$N$2:$N$600,DataSet!$O$2:$O$600,0)</f>
        <v>Office Supplies</v>
      </c>
      <c r="L20" s="10" t="str">
        <f>_xlfn.XLOOKUP(B20,DataSet!$N$2:$N$600,DataSet!$Y$2:$Y$600,0)</f>
        <v>Storage</v>
      </c>
      <c r="M20" s="10" t="str">
        <f>_xlfn.XLOOKUP(B20,DataSet!$N$2:$N$600,DataSet!$Q$2:$Q$600,0)</f>
        <v>Fellowes Super Stor/Drawer</v>
      </c>
      <c r="N20" s="16">
        <f>_xlfn.XLOOKUP(B20,DataSet!$N$2:$N$600,DataSet!$AA$2:$AA$600,0)</f>
        <v>55.5</v>
      </c>
      <c r="O20" s="10">
        <f>_xlfn.XLOOKUP(B20,DataSet!$N$2:$N$600,DataSet!$S$2:$S$600,0)</f>
        <v>2</v>
      </c>
      <c r="P20" s="15">
        <f>_xlfn.XLOOKUP(B20,DataSet!$N$2:$N$600,DataSet!$T$2:$T$600,0)</f>
        <v>0</v>
      </c>
      <c r="Q20" s="14">
        <f>_xlfn.XLOOKUP(B20,DataSet!$N$2:$N$600,DataSet!$U$2:$U$600,0)</f>
        <v>9.99</v>
      </c>
      <c r="R20" s="16">
        <f>_xlfn.XLOOKUP(B20,DataSet!$N$2:$N$600,DataSet!$AB$2:$AB$600,0)</f>
        <v>111</v>
      </c>
      <c r="S20" s="9">
        <f>_xlfn.XLOOKUP(B20,DataSet!$N$2:$N$600,DataSet!$AC$2:$AC$600,0)</f>
        <v>111</v>
      </c>
    </row>
    <row r="21" spans="1:19" s="12" customFormat="1" x14ac:dyDescent="0.3">
      <c r="A21" s="27">
        <v>19</v>
      </c>
      <c r="B21" s="10" t="s">
        <v>126</v>
      </c>
      <c r="C21" s="10" t="str">
        <f>_xlfn.XLOOKUP(B21,DataSet!$N$2:$N$600,DataSet!$AF$2:$AF$600,0)</f>
        <v>143336</v>
      </c>
      <c r="D21" s="10" t="str">
        <f>_xlfn.XLOOKUP(B21,DataSet!$N$2:$N$600,DataSet!$G$2:$G$600,0)</f>
        <v>Zuschuss Donatelli</v>
      </c>
      <c r="E21" s="10" t="str">
        <f>_xlfn.XLOOKUP(B21,DataSet!$N$2:$N$600,DataSet!$F$2:$F$600,0)</f>
        <v>ZD-21925</v>
      </c>
      <c r="F21" s="10" t="str">
        <f>_xlfn.XLOOKUP(B21,DataSet!$N$2:$N$600,DataSet!$W$2:$W$600,0)</f>
        <v>Consumer</v>
      </c>
      <c r="G21" s="13">
        <f>_xlfn.XLOOKUP(B21,DataSet!$N$2:$N$600,DataSet!$C$2:$C$600,0)</f>
        <v>41878</v>
      </c>
      <c r="H21" s="10" t="str">
        <f>_xlfn.XLOOKUP(B21,DataSet!$N$2:$N$600,DataSet!$I$2:$I$600,0)</f>
        <v>United States</v>
      </c>
      <c r="I21" s="10" t="str">
        <f>_xlfn.XLOOKUP(B21,DataSet!$N$2:$N$600,DataSet!$X$2:$X$600,0)</f>
        <v>San Francisco - California</v>
      </c>
      <c r="J21" s="10" t="str">
        <f>_xlfn.XLOOKUP(B21,DataSet!$N$2:$N$600,DataSet!$M$2:$M$600,0)</f>
        <v>West</v>
      </c>
      <c r="K21" s="10" t="str">
        <f>_xlfn.XLOOKUP(B21,DataSet!$N$2:$N$600,DataSet!$O$2:$O$600,0)</f>
        <v>Office Supplies</v>
      </c>
      <c r="L21" s="10" t="str">
        <f>_xlfn.XLOOKUP(B21,DataSet!$N$2:$N$600,DataSet!$Y$2:$Y$600,0)</f>
        <v>Art</v>
      </c>
      <c r="M21" s="10" t="str">
        <f>_xlfn.XLOOKUP(B21,DataSet!$N$2:$N$600,DataSet!$Q$2:$Q$600,0)</f>
        <v>Newell 341</v>
      </c>
      <c r="N21" s="16">
        <f>_xlfn.XLOOKUP(B21,DataSet!$N$2:$N$600,DataSet!$AA$2:$AA$600,0)</f>
        <v>8.56</v>
      </c>
      <c r="O21" s="10">
        <f>_xlfn.XLOOKUP(B21,DataSet!$N$2:$N$600,DataSet!$S$2:$S$600,0)</f>
        <v>2</v>
      </c>
      <c r="P21" s="15">
        <f>_xlfn.XLOOKUP(B21,DataSet!$N$2:$N$600,DataSet!$T$2:$T$600,0)</f>
        <v>0</v>
      </c>
      <c r="Q21" s="14">
        <f>_xlfn.XLOOKUP(B21,DataSet!$N$2:$N$600,DataSet!$U$2:$U$600,0)</f>
        <v>2.4824000000000002</v>
      </c>
      <c r="R21" s="16">
        <f>_xlfn.XLOOKUP(B21,DataSet!$N$2:$N$600,DataSet!$AB$2:$AB$600,0)</f>
        <v>17.12</v>
      </c>
      <c r="S21" s="9">
        <f>_xlfn.XLOOKUP(B21,DataSet!$N$2:$N$600,DataSet!$AC$2:$AC$600,0)</f>
        <v>17.12</v>
      </c>
    </row>
    <row r="22" spans="1:19" s="12" customFormat="1" x14ac:dyDescent="0.3">
      <c r="A22" s="27">
        <v>20</v>
      </c>
      <c r="B22" s="10" t="s">
        <v>128</v>
      </c>
      <c r="C22" s="10" t="str">
        <f>_xlfn.XLOOKUP(B22,DataSet!$N$2:$N$600,DataSet!$AF$2:$AF$600,0)</f>
        <v>143336</v>
      </c>
      <c r="D22" s="10" t="str">
        <f>_xlfn.XLOOKUP(B22,DataSet!$N$2:$N$600,DataSet!$G$2:$G$600,0)</f>
        <v>Zuschuss Donatelli</v>
      </c>
      <c r="E22" s="10" t="str">
        <f>_xlfn.XLOOKUP(B22,DataSet!$N$2:$N$600,DataSet!$F$2:$F$600,0)</f>
        <v>ZD-21925</v>
      </c>
      <c r="F22" s="10" t="str">
        <f>_xlfn.XLOOKUP(B22,DataSet!$N$2:$N$600,DataSet!$W$2:$W$600,0)</f>
        <v>Consumer</v>
      </c>
      <c r="G22" s="13">
        <f>_xlfn.XLOOKUP(B22,DataSet!$N$2:$N$600,DataSet!$C$2:$C$600,0)</f>
        <v>41878</v>
      </c>
      <c r="H22" s="10" t="str">
        <f>_xlfn.XLOOKUP(B22,DataSet!$N$2:$N$600,DataSet!$I$2:$I$600,0)</f>
        <v>United States</v>
      </c>
      <c r="I22" s="10" t="str">
        <f>_xlfn.XLOOKUP(B22,DataSet!$N$2:$N$600,DataSet!$X$2:$X$600,0)</f>
        <v>San Francisco - California</v>
      </c>
      <c r="J22" s="10" t="str">
        <f>_xlfn.XLOOKUP(B22,DataSet!$N$2:$N$600,DataSet!$M$2:$M$600,0)</f>
        <v>West</v>
      </c>
      <c r="K22" s="10" t="str">
        <f>_xlfn.XLOOKUP(B22,DataSet!$N$2:$N$600,DataSet!$O$2:$O$600,0)</f>
        <v>Technology</v>
      </c>
      <c r="L22" s="10" t="str">
        <f>_xlfn.XLOOKUP(B22,DataSet!$N$2:$N$600,DataSet!$Y$2:$Y$600,0)</f>
        <v>Phones</v>
      </c>
      <c r="M22" s="10" t="str">
        <f>_xlfn.XLOOKUP(B22,DataSet!$N$2:$N$600,DataSet!$Q$2:$Q$600,0)</f>
        <v>Cisco SPA 501G IP Phone</v>
      </c>
      <c r="N22" s="16">
        <f>_xlfn.XLOOKUP(B22,DataSet!$N$2:$N$600,DataSet!$AA$2:$AA$600,0)</f>
        <v>213.48</v>
      </c>
      <c r="O22" s="10">
        <f>_xlfn.XLOOKUP(B22,DataSet!$N$2:$N$600,DataSet!$S$2:$S$600,0)</f>
        <v>3</v>
      </c>
      <c r="P22" s="15">
        <f>_xlfn.XLOOKUP(B22,DataSet!$N$2:$N$600,DataSet!$T$2:$T$600,0)</f>
        <v>0.2</v>
      </c>
      <c r="Q22" s="14">
        <f>_xlfn.XLOOKUP(B22,DataSet!$N$2:$N$600,DataSet!$U$2:$U$600,0)</f>
        <v>16.010999999999999</v>
      </c>
      <c r="R22" s="16">
        <f>_xlfn.XLOOKUP(B22,DataSet!$N$2:$N$600,DataSet!$AB$2:$AB$600,0)</f>
        <v>640.43999999999994</v>
      </c>
      <c r="S22" s="9">
        <f>_xlfn.XLOOKUP(B22,DataSet!$N$2:$N$600,DataSet!$AC$2:$AC$600,0)</f>
        <v>512.35199999999998</v>
      </c>
    </row>
    <row r="23" spans="1:19" s="12" customFormat="1" x14ac:dyDescent="0.3">
      <c r="A23" s="27">
        <v>21</v>
      </c>
      <c r="B23" s="10" t="s">
        <v>130</v>
      </c>
      <c r="C23" s="10" t="str">
        <f>_xlfn.XLOOKUP(B23,DataSet!$N$2:$N$600,DataSet!$AF$2:$AF$600,0)</f>
        <v>143336</v>
      </c>
      <c r="D23" s="10" t="str">
        <f>_xlfn.XLOOKUP(B23,DataSet!$N$2:$N$600,DataSet!$G$2:$G$600,0)</f>
        <v>Zuschuss Donatelli</v>
      </c>
      <c r="E23" s="10" t="str">
        <f>_xlfn.XLOOKUP(B23,DataSet!$N$2:$N$600,DataSet!$F$2:$F$600,0)</f>
        <v>ZD-21925</v>
      </c>
      <c r="F23" s="10" t="str">
        <f>_xlfn.XLOOKUP(B23,DataSet!$N$2:$N$600,DataSet!$W$2:$W$600,0)</f>
        <v>Consumer</v>
      </c>
      <c r="G23" s="13">
        <f>_xlfn.XLOOKUP(B23,DataSet!$N$2:$N$600,DataSet!$C$2:$C$600,0)</f>
        <v>41878</v>
      </c>
      <c r="H23" s="10" t="str">
        <f>_xlfn.XLOOKUP(B23,DataSet!$N$2:$N$600,DataSet!$I$2:$I$600,0)</f>
        <v>United States</v>
      </c>
      <c r="I23" s="10" t="str">
        <f>_xlfn.XLOOKUP(B23,DataSet!$N$2:$N$600,DataSet!$X$2:$X$600,0)</f>
        <v>San Francisco - California</v>
      </c>
      <c r="J23" s="10" t="str">
        <f>_xlfn.XLOOKUP(B23,DataSet!$N$2:$N$600,DataSet!$M$2:$M$600,0)</f>
        <v>West</v>
      </c>
      <c r="K23" s="10" t="str">
        <f>_xlfn.XLOOKUP(B23,DataSet!$N$2:$N$600,DataSet!$O$2:$O$600,0)</f>
        <v>Office Supplies</v>
      </c>
      <c r="L23" s="10" t="str">
        <f>_xlfn.XLOOKUP(B23,DataSet!$N$2:$N$600,DataSet!$Y$2:$Y$600,0)</f>
        <v>UNKNOWN</v>
      </c>
      <c r="M23" s="10" t="str">
        <f>_xlfn.XLOOKUP(B23,DataSet!$N$2:$N$600,DataSet!$Q$2:$Q$600,0)</f>
        <v>Wilson Jones Hanging View Binder, White, 1"</v>
      </c>
      <c r="N23" s="16">
        <f>_xlfn.XLOOKUP(B23,DataSet!$N$2:$N$600,DataSet!$AA$2:$AA$600,0)</f>
        <v>22.72</v>
      </c>
      <c r="O23" s="10">
        <f>_xlfn.XLOOKUP(B23,DataSet!$N$2:$N$600,DataSet!$S$2:$S$600,0)</f>
        <v>4</v>
      </c>
      <c r="P23" s="15">
        <f>_xlfn.XLOOKUP(B23,DataSet!$N$2:$N$600,DataSet!$T$2:$T$600,0)</f>
        <v>0.2</v>
      </c>
      <c r="Q23" s="14">
        <f>_xlfn.XLOOKUP(B23,DataSet!$N$2:$N$600,DataSet!$U$2:$U$600,0)</f>
        <v>7.3840000000000003</v>
      </c>
      <c r="R23" s="16">
        <f>_xlfn.XLOOKUP(B23,DataSet!$N$2:$N$600,DataSet!$AB$2:$AB$600,0)</f>
        <v>90.88</v>
      </c>
      <c r="S23" s="9">
        <f>_xlfn.XLOOKUP(B23,DataSet!$N$2:$N$600,DataSet!$AC$2:$AC$600,0)</f>
        <v>72.703999999999994</v>
      </c>
    </row>
    <row r="24" spans="1:19" s="12" customFormat="1" x14ac:dyDescent="0.3">
      <c r="A24" s="27">
        <v>22</v>
      </c>
      <c r="B24" s="10" t="s">
        <v>137</v>
      </c>
      <c r="C24" s="10" t="str">
        <f>_xlfn.XLOOKUP(B24,DataSet!$N$2:$N$600,DataSet!$AF$2:$AF$600,0)</f>
        <v>137330</v>
      </c>
      <c r="D24" s="10" t="str">
        <f>_xlfn.XLOOKUP(B24,DataSet!$N$2:$N$600,DataSet!$G$2:$G$600,0)</f>
        <v>Ken Black</v>
      </c>
      <c r="E24" s="10" t="str">
        <f>_xlfn.XLOOKUP(B24,DataSet!$N$2:$N$600,DataSet!$F$2:$F$600,0)</f>
        <v>KB-16585</v>
      </c>
      <c r="F24" s="10" t="str">
        <f>_xlfn.XLOOKUP(B24,DataSet!$N$2:$N$600,DataSet!$W$2:$W$600,0)</f>
        <v>Corporate</v>
      </c>
      <c r="G24" s="13">
        <f>_xlfn.XLOOKUP(B24,DataSet!$N$2:$N$600,DataSet!$C$2:$C$600,0)</f>
        <v>42713</v>
      </c>
      <c r="H24" s="10" t="str">
        <f>_xlfn.XLOOKUP(B24,DataSet!$N$2:$N$600,DataSet!$I$2:$I$600,0)</f>
        <v>United States</v>
      </c>
      <c r="I24" s="10" t="str">
        <f>_xlfn.XLOOKUP(B24,DataSet!$N$2:$N$600,DataSet!$X$2:$X$600,0)</f>
        <v>Fremont - Nebraska</v>
      </c>
      <c r="J24" s="10" t="str">
        <f>_xlfn.XLOOKUP(B24,DataSet!$N$2:$N$600,DataSet!$M$2:$M$600,0)</f>
        <v>Central</v>
      </c>
      <c r="K24" s="10" t="str">
        <f>_xlfn.XLOOKUP(B24,DataSet!$N$2:$N$600,DataSet!$O$2:$O$600,0)</f>
        <v>Office Supplies</v>
      </c>
      <c r="L24" s="10" t="str">
        <f>_xlfn.XLOOKUP(B24,DataSet!$N$2:$N$600,DataSet!$Y$2:$Y$600,0)</f>
        <v>Art</v>
      </c>
      <c r="M24" s="10" t="str">
        <f>_xlfn.XLOOKUP(B24,DataSet!$N$2:$N$600,DataSet!$Q$2:$Q$600,0)</f>
        <v>Newell 318</v>
      </c>
      <c r="N24" s="16">
        <f>_xlfn.XLOOKUP(B24,DataSet!$N$2:$N$600,DataSet!$AA$2:$AA$600,0)</f>
        <v>19.46</v>
      </c>
      <c r="O24" s="10">
        <f>_xlfn.XLOOKUP(B24,DataSet!$N$2:$N$600,DataSet!$S$2:$S$600,0)</f>
        <v>7</v>
      </c>
      <c r="P24" s="15">
        <f>_xlfn.XLOOKUP(B24,DataSet!$N$2:$N$600,DataSet!$T$2:$T$600,0)</f>
        <v>0</v>
      </c>
      <c r="Q24" s="14">
        <f>_xlfn.XLOOKUP(B24,DataSet!$N$2:$N$600,DataSet!$U$2:$U$600,0)</f>
        <v>5.0595999999999997</v>
      </c>
      <c r="R24" s="16">
        <f>_xlfn.XLOOKUP(B24,DataSet!$N$2:$N$600,DataSet!$AB$2:$AB$600,0)</f>
        <v>136.22</v>
      </c>
      <c r="S24" s="9">
        <f>_xlfn.XLOOKUP(B24,DataSet!$N$2:$N$600,DataSet!$AC$2:$AC$600,0)</f>
        <v>136.22</v>
      </c>
    </row>
    <row r="25" spans="1:19" s="12" customFormat="1" x14ac:dyDescent="0.3">
      <c r="A25" s="27">
        <v>23</v>
      </c>
      <c r="B25" s="10" t="s">
        <v>139</v>
      </c>
      <c r="C25" s="10" t="str">
        <f>_xlfn.XLOOKUP(B25,DataSet!$N$2:$N$600,DataSet!$AF$2:$AF$600,0)</f>
        <v>137330</v>
      </c>
      <c r="D25" s="10" t="str">
        <f>_xlfn.XLOOKUP(B25,DataSet!$N$2:$N$600,DataSet!$G$2:$G$600,0)</f>
        <v>Ken Black</v>
      </c>
      <c r="E25" s="10" t="str">
        <f>_xlfn.XLOOKUP(B25,DataSet!$N$2:$N$600,DataSet!$F$2:$F$600,0)</f>
        <v>KB-16585</v>
      </c>
      <c r="F25" s="10" t="str">
        <f>_xlfn.XLOOKUP(B25,DataSet!$N$2:$N$600,DataSet!$W$2:$W$600,0)</f>
        <v>Corporate</v>
      </c>
      <c r="G25" s="13">
        <f>_xlfn.XLOOKUP(B25,DataSet!$N$2:$N$600,DataSet!$C$2:$C$600,0)</f>
        <v>42713</v>
      </c>
      <c r="H25" s="10" t="str">
        <f>_xlfn.XLOOKUP(B25,DataSet!$N$2:$N$600,DataSet!$I$2:$I$600,0)</f>
        <v>United States</v>
      </c>
      <c r="I25" s="10" t="str">
        <f>_xlfn.XLOOKUP(B25,DataSet!$N$2:$N$600,DataSet!$X$2:$X$600,0)</f>
        <v>Fremont - Nebraska</v>
      </c>
      <c r="J25" s="10" t="str">
        <f>_xlfn.XLOOKUP(B25,DataSet!$N$2:$N$600,DataSet!$M$2:$M$600,0)</f>
        <v>Central</v>
      </c>
      <c r="K25" s="10" t="str">
        <f>_xlfn.XLOOKUP(B25,DataSet!$N$2:$N$600,DataSet!$O$2:$O$600,0)</f>
        <v>Office Supplies</v>
      </c>
      <c r="L25" s="10" t="str">
        <f>_xlfn.XLOOKUP(B25,DataSet!$N$2:$N$600,DataSet!$Y$2:$Y$600,0)</f>
        <v>Appliances</v>
      </c>
      <c r="M25" s="10" t="str">
        <f>_xlfn.XLOOKUP(B25,DataSet!$N$2:$N$600,DataSet!$Q$2:$Q$600,0)</f>
        <v>Acco Six-Outlet Power Strip, 4' Cord Length</v>
      </c>
      <c r="N25" s="16">
        <f>_xlfn.XLOOKUP(B25,DataSet!$N$2:$N$600,DataSet!$AA$2:$AA$600,0)</f>
        <v>60.34</v>
      </c>
      <c r="O25" s="10">
        <f>_xlfn.XLOOKUP(B25,DataSet!$N$2:$N$600,DataSet!$S$2:$S$600,0)</f>
        <v>7</v>
      </c>
      <c r="P25" s="15">
        <f>_xlfn.XLOOKUP(B25,DataSet!$N$2:$N$600,DataSet!$T$2:$T$600,0)</f>
        <v>0</v>
      </c>
      <c r="Q25" s="14">
        <f>_xlfn.XLOOKUP(B25,DataSet!$N$2:$N$600,DataSet!$U$2:$U$600,0)</f>
        <v>15.6884</v>
      </c>
      <c r="R25" s="16">
        <f>_xlfn.XLOOKUP(B25,DataSet!$N$2:$N$600,DataSet!$AB$2:$AB$600,0)</f>
        <v>422.38</v>
      </c>
      <c r="S25" s="9">
        <f>_xlfn.XLOOKUP(B25,DataSet!$N$2:$N$600,DataSet!$AC$2:$AC$600,0)</f>
        <v>422.38</v>
      </c>
    </row>
    <row r="26" spans="1:19" s="12" customFormat="1" x14ac:dyDescent="0.3">
      <c r="A26" s="27">
        <v>24</v>
      </c>
      <c r="B26" s="10" t="s">
        <v>147</v>
      </c>
      <c r="C26" s="10" t="str">
        <f>_xlfn.XLOOKUP(B26,DataSet!$N$2:$N$600,DataSet!$AF$2:$AF$600,0)</f>
        <v>156909</v>
      </c>
      <c r="D26" s="10" t="str">
        <f>_xlfn.XLOOKUP(B26,DataSet!$N$2:$N$600,DataSet!$G$2:$G$600,0)</f>
        <v>Sandra Flanagan</v>
      </c>
      <c r="E26" s="10" t="str">
        <f>_xlfn.XLOOKUP(B26,DataSet!$N$2:$N$600,DataSet!$F$2:$F$600,0)</f>
        <v>SF-20065</v>
      </c>
      <c r="F26" s="10" t="str">
        <f>_xlfn.XLOOKUP(B26,DataSet!$N$2:$N$600,DataSet!$W$2:$W$600,0)</f>
        <v>Consumer</v>
      </c>
      <c r="G26" s="13">
        <f>_xlfn.XLOOKUP(B26,DataSet!$N$2:$N$600,DataSet!$C$2:$C$600,0)</f>
        <v>42932</v>
      </c>
      <c r="H26" s="10" t="str">
        <f>_xlfn.XLOOKUP(B26,DataSet!$N$2:$N$600,DataSet!$I$2:$I$600,0)</f>
        <v>United States</v>
      </c>
      <c r="I26" s="10" t="str">
        <f>_xlfn.XLOOKUP(B26,DataSet!$N$2:$N$600,DataSet!$X$2:$X$600,0)</f>
        <v>Philadelphia - Pennsylvania</v>
      </c>
      <c r="J26" s="10" t="str">
        <f>_xlfn.XLOOKUP(B26,DataSet!$N$2:$N$600,DataSet!$M$2:$M$600,0)</f>
        <v>East</v>
      </c>
      <c r="K26" s="10" t="str">
        <f>_xlfn.XLOOKUP(B26,DataSet!$N$2:$N$600,DataSet!$O$2:$O$600,0)</f>
        <v>Furniture</v>
      </c>
      <c r="L26" s="10" t="str">
        <f>_xlfn.XLOOKUP(B26,DataSet!$N$2:$N$600,DataSet!$Y$2:$Y$600,0)</f>
        <v>Chairs</v>
      </c>
      <c r="M26" s="10" t="str">
        <f>_xlfn.XLOOKUP(B26,DataSet!$N$2:$N$600,DataSet!$Q$2:$Q$600,0)</f>
        <v>Global Deluxe Stacking Chair, Gray</v>
      </c>
      <c r="N26" s="16">
        <f>_xlfn.XLOOKUP(B26,DataSet!$N$2:$N$600,DataSet!$AA$2:$AA$600,0)</f>
        <v>71.372</v>
      </c>
      <c r="O26" s="10">
        <f>_xlfn.XLOOKUP(B26,DataSet!$N$2:$N$600,DataSet!$S$2:$S$600,0)</f>
        <v>2</v>
      </c>
      <c r="P26" s="15">
        <f>_xlfn.XLOOKUP(B26,DataSet!$N$2:$N$600,DataSet!$T$2:$T$600,0)</f>
        <v>0.3</v>
      </c>
      <c r="Q26" s="14">
        <f>_xlfn.XLOOKUP(B26,DataSet!$N$2:$N$600,DataSet!$U$2:$U$600,0)</f>
        <v>-1.0196000000000001</v>
      </c>
      <c r="R26" s="16">
        <f>_xlfn.XLOOKUP(B26,DataSet!$N$2:$N$600,DataSet!$AB$2:$AB$600,0)</f>
        <v>142.744</v>
      </c>
      <c r="S26" s="9">
        <f>_xlfn.XLOOKUP(B26,DataSet!$N$2:$N$600,DataSet!$AC$2:$AC$600,0)</f>
        <v>99.9208</v>
      </c>
    </row>
    <row r="27" spans="1:19" s="12" customFormat="1" x14ac:dyDescent="0.3">
      <c r="A27" s="27">
        <v>25</v>
      </c>
      <c r="B27" s="10" t="s">
        <v>53</v>
      </c>
      <c r="C27" s="10" t="str">
        <f>_xlfn.XLOOKUP(B27,DataSet!$N$2:$N$600,DataSet!$AF$2:$AF$600,0)</f>
        <v>108966</v>
      </c>
      <c r="D27" s="10" t="str">
        <f>_xlfn.XLOOKUP(B27,DataSet!$N$2:$N$600,DataSet!$G$2:$G$600,0)</f>
        <v>Sean O'Donnell</v>
      </c>
      <c r="E27" s="10" t="str">
        <f>_xlfn.XLOOKUP(B27,DataSet!$N$2:$N$600,DataSet!$F$2:$F$600,0)</f>
        <v>SO-20335</v>
      </c>
      <c r="F27" s="10" t="str">
        <f>_xlfn.XLOOKUP(B27,DataSet!$N$2:$N$600,DataSet!$W$2:$W$600,0)</f>
        <v>Consumer</v>
      </c>
      <c r="G27" s="13">
        <f>_xlfn.XLOOKUP(B27,DataSet!$N$2:$N$600,DataSet!$C$2:$C$600,0)</f>
        <v>42288</v>
      </c>
      <c r="H27" s="10" t="str">
        <f>_xlfn.XLOOKUP(B27,DataSet!$N$2:$N$600,DataSet!$I$2:$I$600,0)</f>
        <v>United States</v>
      </c>
      <c r="I27" s="10" t="str">
        <f>_xlfn.XLOOKUP(B27,DataSet!$N$2:$N$600,DataSet!$X$2:$X$600,0)</f>
        <v>Fort Lauderdale - Florida</v>
      </c>
      <c r="J27" s="10" t="str">
        <f>_xlfn.XLOOKUP(B27,DataSet!$N$2:$N$600,DataSet!$M$2:$M$600,0)</f>
        <v>South</v>
      </c>
      <c r="K27" s="10" t="str">
        <f>_xlfn.XLOOKUP(B27,DataSet!$N$2:$N$600,DataSet!$O$2:$O$600,0)</f>
        <v>Furniture</v>
      </c>
      <c r="L27" s="10" t="str">
        <f>_xlfn.XLOOKUP(B27,DataSet!$N$2:$N$600,DataSet!$Y$2:$Y$600,0)</f>
        <v>Tables</v>
      </c>
      <c r="M27" s="10" t="str">
        <f>_xlfn.XLOOKUP(B27,DataSet!$N$2:$N$600,DataSet!$Q$2:$Q$600,0)</f>
        <v>Bretford CR4500 Series Slim Rectangular Table</v>
      </c>
      <c r="N27" s="16">
        <f>_xlfn.XLOOKUP(B27,DataSet!$N$2:$N$600,DataSet!$AA$2:$AA$600,0)</f>
        <v>957.57749999999999</v>
      </c>
      <c r="O27" s="10">
        <f>_xlfn.XLOOKUP(B27,DataSet!$N$2:$N$600,DataSet!$S$2:$S$600,0)</f>
        <v>5</v>
      </c>
      <c r="P27" s="15">
        <f>_xlfn.XLOOKUP(B27,DataSet!$N$2:$N$600,DataSet!$T$2:$T$600,0)</f>
        <v>0.45</v>
      </c>
      <c r="Q27" s="14">
        <f>_xlfn.XLOOKUP(B27,DataSet!$N$2:$N$600,DataSet!$U$2:$U$600,0)</f>
        <v>-383.03100000000001</v>
      </c>
      <c r="R27" s="16">
        <f>_xlfn.XLOOKUP(B27,DataSet!$N$2:$N$600,DataSet!$AB$2:$AB$600,0)</f>
        <v>4787.8874999999998</v>
      </c>
      <c r="S27" s="9">
        <f>_xlfn.XLOOKUP(B27,DataSet!$N$2:$N$600,DataSet!$AC$2:$AC$600,0)</f>
        <v>2633.3381250000002</v>
      </c>
    </row>
    <row r="28" spans="1:19" s="12" customFormat="1" x14ac:dyDescent="0.3">
      <c r="A28" s="27">
        <v>26</v>
      </c>
      <c r="B28" s="10" t="s">
        <v>156</v>
      </c>
      <c r="C28" s="10" t="str">
        <f>_xlfn.XLOOKUP(B28,DataSet!$N$2:$N$600,DataSet!$AF$2:$AF$600,0)</f>
        <v>121755</v>
      </c>
      <c r="D28" s="10" t="str">
        <f>_xlfn.XLOOKUP(B28,DataSet!$N$2:$N$600,DataSet!$G$2:$G$600,0)</f>
        <v>Eric Hoffmann</v>
      </c>
      <c r="E28" s="10" t="str">
        <f>_xlfn.XLOOKUP(B28,DataSet!$N$2:$N$600,DataSet!$F$2:$F$600,0)</f>
        <v>EH-13945</v>
      </c>
      <c r="F28" s="10" t="str">
        <f>_xlfn.XLOOKUP(B28,DataSet!$N$2:$N$600,DataSet!$W$2:$W$600,0)</f>
        <v>Consumer</v>
      </c>
      <c r="G28" s="13">
        <f>_xlfn.XLOOKUP(B28,DataSet!$N$2:$N$600,DataSet!$C$2:$C$600,0)</f>
        <v>42385</v>
      </c>
      <c r="H28" s="10" t="str">
        <f>_xlfn.XLOOKUP(B28,DataSet!$N$2:$N$600,DataSet!$I$2:$I$600,0)</f>
        <v>United States</v>
      </c>
      <c r="I28" s="10" t="str">
        <f>_xlfn.XLOOKUP(B28,DataSet!$N$2:$N$600,DataSet!$X$2:$X$600,0)</f>
        <v>Los Angeles - California</v>
      </c>
      <c r="J28" s="10" t="str">
        <f>_xlfn.XLOOKUP(B28,DataSet!$N$2:$N$600,DataSet!$M$2:$M$600,0)</f>
        <v>West</v>
      </c>
      <c r="K28" s="10" t="str">
        <f>_xlfn.XLOOKUP(B28,DataSet!$N$2:$N$600,DataSet!$O$2:$O$600,0)</f>
        <v>Office Supplies</v>
      </c>
      <c r="L28" s="10" t="str">
        <f>_xlfn.XLOOKUP(B28,DataSet!$N$2:$N$600,DataSet!$Y$2:$Y$600,0)</f>
        <v>Binders</v>
      </c>
      <c r="M28" s="10" t="str">
        <f>_xlfn.XLOOKUP(B28,DataSet!$N$2:$N$600,DataSet!$Q$2:$Q$600,0)</f>
        <v>Wilson Jones Active Use Binders</v>
      </c>
      <c r="N28" s="16">
        <f>_xlfn.XLOOKUP(B28,DataSet!$N$2:$N$600,DataSet!$AA$2:$AA$600,0)</f>
        <v>11.648</v>
      </c>
      <c r="O28" s="10">
        <f>_xlfn.XLOOKUP(B28,DataSet!$N$2:$N$600,DataSet!$S$2:$S$600,0)</f>
        <v>2</v>
      </c>
      <c r="P28" s="15">
        <f>_xlfn.XLOOKUP(B28,DataSet!$N$2:$N$600,DataSet!$T$2:$T$600,0)</f>
        <v>0.2</v>
      </c>
      <c r="Q28" s="14">
        <f>_xlfn.XLOOKUP(B28,DataSet!$N$2:$N$600,DataSet!$U$2:$U$600,0)</f>
        <v>4.2224000000000004</v>
      </c>
      <c r="R28" s="16">
        <f>_xlfn.XLOOKUP(B28,DataSet!$N$2:$N$600,DataSet!$AB$2:$AB$600,0)</f>
        <v>23.295999999999999</v>
      </c>
      <c r="S28" s="9">
        <f>_xlfn.XLOOKUP(B28,DataSet!$N$2:$N$600,DataSet!$AC$2:$AC$600,0)</f>
        <v>18.636800000000001</v>
      </c>
    </row>
    <row r="29" spans="1:19" s="12" customFormat="1" x14ac:dyDescent="0.3">
      <c r="A29" s="27">
        <v>27</v>
      </c>
      <c r="B29" s="10" t="s">
        <v>158</v>
      </c>
      <c r="C29" s="10" t="str">
        <f>_xlfn.XLOOKUP(B29,DataSet!$N$2:$N$600,DataSet!$AF$2:$AF$600,0)</f>
        <v>121755</v>
      </c>
      <c r="D29" s="10" t="str">
        <f>_xlfn.XLOOKUP(B29,DataSet!$N$2:$N$600,DataSet!$G$2:$G$600,0)</f>
        <v>Eric Hoffmann</v>
      </c>
      <c r="E29" s="10" t="str">
        <f>_xlfn.XLOOKUP(B29,DataSet!$N$2:$N$600,DataSet!$F$2:$F$600,0)</f>
        <v>EH-13945</v>
      </c>
      <c r="F29" s="10" t="str">
        <f>_xlfn.XLOOKUP(B29,DataSet!$N$2:$N$600,DataSet!$W$2:$W$600,0)</f>
        <v>Consumer</v>
      </c>
      <c r="G29" s="13">
        <f>_xlfn.XLOOKUP(B29,DataSet!$N$2:$N$600,DataSet!$C$2:$C$600,0)</f>
        <v>42385</v>
      </c>
      <c r="H29" s="10" t="str">
        <f>_xlfn.XLOOKUP(B29,DataSet!$N$2:$N$600,DataSet!$I$2:$I$600,0)</f>
        <v>United States</v>
      </c>
      <c r="I29" s="10" t="str">
        <f>_xlfn.XLOOKUP(B29,DataSet!$N$2:$N$600,DataSet!$X$2:$X$600,0)</f>
        <v>Los Angeles - California</v>
      </c>
      <c r="J29" s="10" t="str">
        <f>_xlfn.XLOOKUP(B29,DataSet!$N$2:$N$600,DataSet!$M$2:$M$600,0)</f>
        <v>West</v>
      </c>
      <c r="K29" s="10" t="str">
        <f>_xlfn.XLOOKUP(B29,DataSet!$N$2:$N$600,DataSet!$O$2:$O$600,0)</f>
        <v>Technology</v>
      </c>
      <c r="L29" s="10" t="str">
        <f>_xlfn.XLOOKUP(B29,DataSet!$N$2:$N$600,DataSet!$Y$2:$Y$600,0)</f>
        <v>Accessories</v>
      </c>
      <c r="M29" s="10" t="str">
        <f>_xlfn.XLOOKUP(B29,DataSet!$N$2:$N$600,DataSet!$Q$2:$Q$600,0)</f>
        <v>Imation 8GB Mini TravelDrive USB 2.0 Flash Drive</v>
      </c>
      <c r="N29" s="16">
        <f>_xlfn.XLOOKUP(B29,DataSet!$N$2:$N$600,DataSet!$AA$2:$AA$600,0)</f>
        <v>90.57</v>
      </c>
      <c r="O29" s="10">
        <f>_xlfn.XLOOKUP(B29,DataSet!$N$2:$N$600,DataSet!$S$2:$S$600,0)</f>
        <v>3</v>
      </c>
      <c r="P29" s="15">
        <f>_xlfn.XLOOKUP(B29,DataSet!$N$2:$N$600,DataSet!$T$2:$T$600,0)</f>
        <v>0</v>
      </c>
      <c r="Q29" s="14">
        <f>_xlfn.XLOOKUP(B29,DataSet!$N$2:$N$600,DataSet!$U$2:$U$600,0)</f>
        <v>11.774100000000001</v>
      </c>
      <c r="R29" s="16">
        <f>_xlfn.XLOOKUP(B29,DataSet!$N$2:$N$600,DataSet!$AB$2:$AB$600,0)</f>
        <v>271.70999999999998</v>
      </c>
      <c r="S29" s="9">
        <f>_xlfn.XLOOKUP(B29,DataSet!$N$2:$N$600,DataSet!$AC$2:$AC$600,0)</f>
        <v>271.70999999999998</v>
      </c>
    </row>
    <row r="30" spans="1:19" s="12" customFormat="1" x14ac:dyDescent="0.3">
      <c r="A30" s="27">
        <v>28</v>
      </c>
      <c r="B30" s="10" t="s">
        <v>164</v>
      </c>
      <c r="C30" s="10" t="str">
        <f>_xlfn.XLOOKUP(B30,DataSet!$N$2:$N$600,DataSet!$AF$2:$AF$600,0)</f>
        <v>150630</v>
      </c>
      <c r="D30" s="10" t="str">
        <f>_xlfn.XLOOKUP(B30,DataSet!$N$2:$N$600,DataSet!$G$2:$G$600,0)</f>
        <v>Tracy Blumstein</v>
      </c>
      <c r="E30" s="10" t="str">
        <f>_xlfn.XLOOKUP(B30,DataSet!$N$2:$N$600,DataSet!$F$2:$F$600,0)</f>
        <v>TB-21520</v>
      </c>
      <c r="F30" s="10" t="str">
        <f>_xlfn.XLOOKUP(B30,DataSet!$N$2:$N$600,DataSet!$W$2:$W$600,0)</f>
        <v>Consumer</v>
      </c>
      <c r="G30" s="13">
        <f>_xlfn.XLOOKUP(B30,DataSet!$N$2:$N$600,DataSet!$C$2:$C$600,0)</f>
        <v>42264</v>
      </c>
      <c r="H30" s="10" t="str">
        <f>_xlfn.XLOOKUP(B30,DataSet!$N$2:$N$600,DataSet!$I$2:$I$600,0)</f>
        <v>United States</v>
      </c>
      <c r="I30" s="10" t="str">
        <f>_xlfn.XLOOKUP(B30,DataSet!$N$2:$N$600,DataSet!$X$2:$X$600,0)</f>
        <v>Philadelphia - Pennsylvania</v>
      </c>
      <c r="J30" s="10" t="str">
        <f>_xlfn.XLOOKUP(B30,DataSet!$N$2:$N$600,DataSet!$M$2:$M$600,0)</f>
        <v>East</v>
      </c>
      <c r="K30" s="10" t="str">
        <f>_xlfn.XLOOKUP(B30,DataSet!$N$2:$N$600,DataSet!$O$2:$O$600,0)</f>
        <v>Furniture</v>
      </c>
      <c r="L30" s="10" t="str">
        <f>_xlfn.XLOOKUP(B30,DataSet!$N$2:$N$600,DataSet!$Y$2:$Y$600,0)</f>
        <v>Bookcases</v>
      </c>
      <c r="M30" s="10" t="str">
        <f>_xlfn.XLOOKUP(B30,DataSet!$N$2:$N$600,DataSet!$Q$2:$Q$600,0)</f>
        <v>Riverside Palais Royal Lawyers Bookcase, Royale Cherry Finish</v>
      </c>
      <c r="N30" s="16">
        <f>_xlfn.XLOOKUP(B30,DataSet!$N$2:$N$600,DataSet!$AA$2:$AA$600,0)</f>
        <v>3083.43</v>
      </c>
      <c r="O30" s="10">
        <f>_xlfn.XLOOKUP(B30,DataSet!$N$2:$N$600,DataSet!$S$2:$S$600,0)</f>
        <v>7</v>
      </c>
      <c r="P30" s="15">
        <f>_xlfn.XLOOKUP(B30,DataSet!$N$2:$N$600,DataSet!$T$2:$T$600,0)</f>
        <v>0.5</v>
      </c>
      <c r="Q30" s="14">
        <f>_xlfn.XLOOKUP(B30,DataSet!$N$2:$N$600,DataSet!$U$2:$U$600,0)</f>
        <v>-1665.0522000000001</v>
      </c>
      <c r="R30" s="16">
        <f>_xlfn.XLOOKUP(B30,DataSet!$N$2:$N$600,DataSet!$AB$2:$AB$600,0)</f>
        <v>21584.01</v>
      </c>
      <c r="S30" s="9">
        <f>_xlfn.XLOOKUP(B30,DataSet!$N$2:$N$600,DataSet!$AC$2:$AC$600,0)</f>
        <v>10792.004999999999</v>
      </c>
    </row>
    <row r="31" spans="1:19" s="12" customFormat="1" x14ac:dyDescent="0.3">
      <c r="A31" s="27">
        <v>29</v>
      </c>
      <c r="B31" s="10" t="s">
        <v>166</v>
      </c>
      <c r="C31" s="10" t="str">
        <f>_xlfn.XLOOKUP(B31,DataSet!$N$2:$N$600,DataSet!$AF$2:$AF$600,0)</f>
        <v>150630</v>
      </c>
      <c r="D31" s="10" t="str">
        <f>_xlfn.XLOOKUP(B31,DataSet!$N$2:$N$600,DataSet!$G$2:$G$600,0)</f>
        <v>Tracy Blumstein</v>
      </c>
      <c r="E31" s="10" t="str">
        <f>_xlfn.XLOOKUP(B31,DataSet!$N$2:$N$600,DataSet!$F$2:$F$600,0)</f>
        <v>TB-21520</v>
      </c>
      <c r="F31" s="10" t="str">
        <f>_xlfn.XLOOKUP(B31,DataSet!$N$2:$N$600,DataSet!$W$2:$W$600,0)</f>
        <v>Consumer</v>
      </c>
      <c r="G31" s="13">
        <f>_xlfn.XLOOKUP(B31,DataSet!$N$2:$N$600,DataSet!$C$2:$C$600,0)</f>
        <v>42264</v>
      </c>
      <c r="H31" s="10" t="str">
        <f>_xlfn.XLOOKUP(B31,DataSet!$N$2:$N$600,DataSet!$I$2:$I$600,0)</f>
        <v>United States</v>
      </c>
      <c r="I31" s="10" t="str">
        <f>_xlfn.XLOOKUP(B31,DataSet!$N$2:$N$600,DataSet!$X$2:$X$600,0)</f>
        <v>Philadelphia - Pennsylvania</v>
      </c>
      <c r="J31" s="10" t="str">
        <f>_xlfn.XLOOKUP(B31,DataSet!$N$2:$N$600,DataSet!$M$2:$M$600,0)</f>
        <v>East</v>
      </c>
      <c r="K31" s="10" t="str">
        <f>_xlfn.XLOOKUP(B31,DataSet!$N$2:$N$600,DataSet!$O$2:$O$600,0)</f>
        <v>Office Supplies</v>
      </c>
      <c r="L31" s="10" t="str">
        <f>_xlfn.XLOOKUP(B31,DataSet!$N$2:$N$600,DataSet!$Y$2:$Y$600,0)</f>
        <v>Binders</v>
      </c>
      <c r="M31" s="10" t="str">
        <f>_xlfn.XLOOKUP(B31,DataSet!$N$2:$N$600,DataSet!$Q$2:$Q$600,0)</f>
        <v>Avery Recycled Flexi-View Covers for Binding Systems</v>
      </c>
      <c r="N31" s="16">
        <f ca="1">_xlfn.XLOOKUP(B31,DataSet!$N$2:$N$600,DataSet!$AA$2:$AA$600,0)</f>
        <v>190</v>
      </c>
      <c r="O31" s="10">
        <f>_xlfn.XLOOKUP(B31,DataSet!$N$2:$N$600,DataSet!$S$2:$S$600,0)</f>
        <v>2</v>
      </c>
      <c r="P31" s="15">
        <f>_xlfn.XLOOKUP(B31,DataSet!$N$2:$N$600,DataSet!$T$2:$T$600,0)</f>
        <v>0.7</v>
      </c>
      <c r="Q31" s="14">
        <f>_xlfn.XLOOKUP(B31,DataSet!$N$2:$N$600,DataSet!$U$2:$U$600,0)</f>
        <v>-7.0532000000000004</v>
      </c>
      <c r="R31" s="16">
        <f ca="1">_xlfn.XLOOKUP(B31,DataSet!$N$2:$N$600,DataSet!$AB$2:$AB$600,0)</f>
        <v>380</v>
      </c>
      <c r="S31" s="9">
        <f ca="1">_xlfn.XLOOKUP(B31,DataSet!$N$2:$N$600,DataSet!$AC$2:$AC$600,0)</f>
        <v>114.00000000000001</v>
      </c>
    </row>
    <row r="32" spans="1:19" s="12" customFormat="1" x14ac:dyDescent="0.3">
      <c r="A32" s="27">
        <v>30</v>
      </c>
      <c r="B32" s="10" t="s">
        <v>168</v>
      </c>
      <c r="C32" s="10" t="str">
        <f>_xlfn.XLOOKUP(B32,DataSet!$N$2:$N$600,DataSet!$AF$2:$AF$600,0)</f>
        <v>150630</v>
      </c>
      <c r="D32" s="10" t="str">
        <f>_xlfn.XLOOKUP(B32,DataSet!$N$2:$N$600,DataSet!$G$2:$G$600,0)</f>
        <v>Tracy Blumstein</v>
      </c>
      <c r="E32" s="10" t="str">
        <f>_xlfn.XLOOKUP(B32,DataSet!$N$2:$N$600,DataSet!$F$2:$F$600,0)</f>
        <v>TB-21520</v>
      </c>
      <c r="F32" s="10" t="str">
        <f>_xlfn.XLOOKUP(B32,DataSet!$N$2:$N$600,DataSet!$W$2:$W$600,0)</f>
        <v>Consumer</v>
      </c>
      <c r="G32" s="13">
        <f>_xlfn.XLOOKUP(B32,DataSet!$N$2:$N$600,DataSet!$C$2:$C$600,0)</f>
        <v>42264</v>
      </c>
      <c r="H32" s="10" t="str">
        <f>_xlfn.XLOOKUP(B32,DataSet!$N$2:$N$600,DataSet!$I$2:$I$600,0)</f>
        <v>United States</v>
      </c>
      <c r="I32" s="10" t="str">
        <f>_xlfn.XLOOKUP(B32,DataSet!$N$2:$N$600,DataSet!$X$2:$X$600,0)</f>
        <v>Philadelphia - Pennsylvania</v>
      </c>
      <c r="J32" s="10" t="str">
        <f>_xlfn.XLOOKUP(B32,DataSet!$N$2:$N$600,DataSet!$M$2:$M$600,0)</f>
        <v>East</v>
      </c>
      <c r="K32" s="10" t="str">
        <f>_xlfn.XLOOKUP(B32,DataSet!$N$2:$N$600,DataSet!$O$2:$O$600,0)</f>
        <v>Furniture</v>
      </c>
      <c r="L32" s="10" t="str">
        <f>_xlfn.XLOOKUP(B32,DataSet!$N$2:$N$600,DataSet!$Y$2:$Y$600,0)</f>
        <v>Furnishings</v>
      </c>
      <c r="M32" s="10" t="str">
        <f>_xlfn.XLOOKUP(B32,DataSet!$N$2:$N$600,DataSet!$Q$2:$Q$600,0)</f>
        <v>Howard Miller 13-3/4" Diameter Brushed Chrome Round Wall Clock</v>
      </c>
      <c r="N32" s="16">
        <f>_xlfn.XLOOKUP(B32,DataSet!$N$2:$N$600,DataSet!$AA$2:$AA$600,0)</f>
        <v>124.2</v>
      </c>
      <c r="O32" s="10">
        <f>_xlfn.XLOOKUP(B32,DataSet!$N$2:$N$600,DataSet!$S$2:$S$600,0)</f>
        <v>3</v>
      </c>
      <c r="P32" s="15">
        <f>_xlfn.XLOOKUP(B32,DataSet!$N$2:$N$600,DataSet!$T$2:$T$600,0)</f>
        <v>0.2</v>
      </c>
      <c r="Q32" s="14">
        <f>_xlfn.XLOOKUP(B32,DataSet!$N$2:$N$600,DataSet!$U$2:$U$600,0)</f>
        <v>15.525</v>
      </c>
      <c r="R32" s="16">
        <f>_xlfn.XLOOKUP(B32,DataSet!$N$2:$N$600,DataSet!$AB$2:$AB$600,0)</f>
        <v>372.6</v>
      </c>
      <c r="S32" s="9">
        <f>_xlfn.XLOOKUP(B32,DataSet!$N$2:$N$600,DataSet!$AC$2:$AC$600,0)</f>
        <v>298.08000000000004</v>
      </c>
    </row>
    <row r="33" spans="1:19" s="12" customFormat="1" x14ac:dyDescent="0.3">
      <c r="A33" s="27">
        <v>31</v>
      </c>
      <c r="B33" s="10" t="s">
        <v>170</v>
      </c>
      <c r="C33" s="10" t="str">
        <f>_xlfn.XLOOKUP(B33,DataSet!$N$2:$N$600,DataSet!$AF$2:$AF$600,0)</f>
        <v>150630</v>
      </c>
      <c r="D33" s="10" t="str">
        <f>_xlfn.XLOOKUP(B33,DataSet!$N$2:$N$600,DataSet!$G$2:$G$600,0)</f>
        <v>Tracy Blumstein</v>
      </c>
      <c r="E33" s="10" t="str">
        <f>_xlfn.XLOOKUP(B33,DataSet!$N$2:$N$600,DataSet!$F$2:$F$600,0)</f>
        <v>TB-21520</v>
      </c>
      <c r="F33" s="10" t="str">
        <f>_xlfn.XLOOKUP(B33,DataSet!$N$2:$N$600,DataSet!$W$2:$W$600,0)</f>
        <v>Consumer</v>
      </c>
      <c r="G33" s="13">
        <f>_xlfn.XLOOKUP(B33,DataSet!$N$2:$N$600,DataSet!$C$2:$C$600,0)</f>
        <v>42264</v>
      </c>
      <c r="H33" s="10" t="str">
        <f>_xlfn.XLOOKUP(B33,DataSet!$N$2:$N$600,DataSet!$I$2:$I$600,0)</f>
        <v>United States</v>
      </c>
      <c r="I33" s="10" t="str">
        <f>_xlfn.XLOOKUP(B33,DataSet!$N$2:$N$600,DataSet!$X$2:$X$600,0)</f>
        <v>Philadelphia - Pennsylvania</v>
      </c>
      <c r="J33" s="10" t="str">
        <f>_xlfn.XLOOKUP(B33,DataSet!$N$2:$N$600,DataSet!$M$2:$M$600,0)</f>
        <v>East</v>
      </c>
      <c r="K33" s="10" t="str">
        <f>_xlfn.XLOOKUP(B33,DataSet!$N$2:$N$600,DataSet!$O$2:$O$600,0)</f>
        <v>Office Supplies</v>
      </c>
      <c r="L33" s="10" t="str">
        <f>_xlfn.XLOOKUP(B33,DataSet!$N$2:$N$600,DataSet!$Y$2:$Y$600,0)</f>
        <v>Envelopes</v>
      </c>
      <c r="M33" s="10" t="str">
        <f>_xlfn.XLOOKUP(B33,DataSet!$N$2:$N$600,DataSet!$Q$2:$Q$600,0)</f>
        <v>Poly String Tie Envelopes</v>
      </c>
      <c r="N33" s="16">
        <f>_xlfn.XLOOKUP(B33,DataSet!$N$2:$N$600,DataSet!$AA$2:$AA$600,0)</f>
        <v>3.2639999999999998</v>
      </c>
      <c r="O33" s="10">
        <f>_xlfn.XLOOKUP(B33,DataSet!$N$2:$N$600,DataSet!$S$2:$S$600,0)</f>
        <v>2</v>
      </c>
      <c r="P33" s="15">
        <f>_xlfn.XLOOKUP(B33,DataSet!$N$2:$N$600,DataSet!$T$2:$T$600,0)</f>
        <v>0.2</v>
      </c>
      <c r="Q33" s="14">
        <f>_xlfn.XLOOKUP(B33,DataSet!$N$2:$N$600,DataSet!$U$2:$U$600,0)</f>
        <v>1.1015999999999999</v>
      </c>
      <c r="R33" s="16">
        <f>_xlfn.XLOOKUP(B33,DataSet!$N$2:$N$600,DataSet!$AB$2:$AB$600,0)</f>
        <v>6.5279999999999996</v>
      </c>
      <c r="S33" s="9">
        <f>_xlfn.XLOOKUP(B33,DataSet!$N$2:$N$600,DataSet!$AC$2:$AC$600,0)</f>
        <v>5.2224000000000004</v>
      </c>
    </row>
    <row r="34" spans="1:19" s="12" customFormat="1" x14ac:dyDescent="0.3">
      <c r="A34" s="27">
        <v>32</v>
      </c>
      <c r="B34" s="10" t="s">
        <v>173</v>
      </c>
      <c r="C34" s="10" t="str">
        <f>_xlfn.XLOOKUP(B34,DataSet!$N$2:$N$600,DataSet!$AF$2:$AF$600,0)</f>
        <v>150630</v>
      </c>
      <c r="D34" s="10" t="str">
        <f>_xlfn.XLOOKUP(B34,DataSet!$N$2:$N$600,DataSet!$G$2:$G$600,0)</f>
        <v>Tracy Blumstein</v>
      </c>
      <c r="E34" s="10" t="str">
        <f>_xlfn.XLOOKUP(B34,DataSet!$N$2:$N$600,DataSet!$F$2:$F$600,0)</f>
        <v>TB-21520</v>
      </c>
      <c r="F34" s="10" t="str">
        <f>_xlfn.XLOOKUP(B34,DataSet!$N$2:$N$600,DataSet!$W$2:$W$600,0)</f>
        <v>Consumer</v>
      </c>
      <c r="G34" s="13">
        <f>_xlfn.XLOOKUP(B34,DataSet!$N$2:$N$600,DataSet!$C$2:$C$600,0)</f>
        <v>42264</v>
      </c>
      <c r="H34" s="10" t="str">
        <f>_xlfn.XLOOKUP(B34,DataSet!$N$2:$N$600,DataSet!$I$2:$I$600,0)</f>
        <v>United States</v>
      </c>
      <c r="I34" s="10" t="str">
        <f>_xlfn.XLOOKUP(B34,DataSet!$N$2:$N$600,DataSet!$X$2:$X$600,0)</f>
        <v>Philadelphia - Pennsylvania</v>
      </c>
      <c r="J34" s="10" t="str">
        <f>_xlfn.XLOOKUP(B34,DataSet!$N$2:$N$600,DataSet!$M$2:$M$600,0)</f>
        <v>East</v>
      </c>
      <c r="K34" s="10" t="str">
        <f>_xlfn.XLOOKUP(B34,DataSet!$N$2:$N$600,DataSet!$O$2:$O$600,0)</f>
        <v>Office Supplies</v>
      </c>
      <c r="L34" s="10" t="str">
        <f>_xlfn.XLOOKUP(B34,DataSet!$N$2:$N$600,DataSet!$Y$2:$Y$600,0)</f>
        <v>Art</v>
      </c>
      <c r="M34" s="10" t="str">
        <f>_xlfn.XLOOKUP(B34,DataSet!$N$2:$N$600,DataSet!$Q$2:$Q$600,0)</f>
        <v>BOSTON Model 1800 Electric Pencil Sharpeners, Putty/Woodgrain</v>
      </c>
      <c r="N34" s="16">
        <f>_xlfn.XLOOKUP(B34,DataSet!$N$2:$N$600,DataSet!$AA$2:$AA$600,0)</f>
        <v>86.304000000000002</v>
      </c>
      <c r="O34" s="10">
        <f>_xlfn.XLOOKUP(B34,DataSet!$N$2:$N$600,DataSet!$S$2:$S$600,0)</f>
        <v>6</v>
      </c>
      <c r="P34" s="15">
        <f>_xlfn.XLOOKUP(B34,DataSet!$N$2:$N$600,DataSet!$T$2:$T$600,0)</f>
        <v>0.2</v>
      </c>
      <c r="Q34" s="14">
        <f>_xlfn.XLOOKUP(B34,DataSet!$N$2:$N$600,DataSet!$U$2:$U$600,0)</f>
        <v>9.7091999999999992</v>
      </c>
      <c r="R34" s="16">
        <f>_xlfn.XLOOKUP(B34,DataSet!$N$2:$N$600,DataSet!$AB$2:$AB$600,0)</f>
        <v>517.82400000000007</v>
      </c>
      <c r="S34" s="9">
        <f>_xlfn.XLOOKUP(B34,DataSet!$N$2:$N$600,DataSet!$AC$2:$AC$600,0)</f>
        <v>414.25920000000008</v>
      </c>
    </row>
    <row r="35" spans="1:19" s="12" customFormat="1" x14ac:dyDescent="0.3">
      <c r="A35" s="27">
        <v>33</v>
      </c>
      <c r="B35" s="10" t="s">
        <v>175</v>
      </c>
      <c r="C35" s="10" t="str">
        <f>_xlfn.XLOOKUP(B35,DataSet!$N$2:$N$600,DataSet!$AF$2:$AF$600,0)</f>
        <v>150630</v>
      </c>
      <c r="D35" s="10" t="str">
        <f>_xlfn.XLOOKUP(B35,DataSet!$N$2:$N$600,DataSet!$G$2:$G$600,0)</f>
        <v>Tracy Blumstein</v>
      </c>
      <c r="E35" s="10" t="str">
        <f>_xlfn.XLOOKUP(B35,DataSet!$N$2:$N$600,DataSet!$F$2:$F$600,0)</f>
        <v>TB-21520</v>
      </c>
      <c r="F35" s="10" t="str">
        <f>_xlfn.XLOOKUP(B35,DataSet!$N$2:$N$600,DataSet!$W$2:$W$600,0)</f>
        <v>Consumer</v>
      </c>
      <c r="G35" s="13">
        <f>_xlfn.XLOOKUP(B35,DataSet!$N$2:$N$600,DataSet!$C$2:$C$600,0)</f>
        <v>42264</v>
      </c>
      <c r="H35" s="10" t="str">
        <f>_xlfn.XLOOKUP(B35,DataSet!$N$2:$N$600,DataSet!$I$2:$I$600,0)</f>
        <v>United States</v>
      </c>
      <c r="I35" s="10" t="str">
        <f>_xlfn.XLOOKUP(B35,DataSet!$N$2:$N$600,DataSet!$X$2:$X$600,0)</f>
        <v>Philadelphia - Pennsylvania</v>
      </c>
      <c r="J35" s="10" t="str">
        <f>_xlfn.XLOOKUP(B35,DataSet!$N$2:$N$600,DataSet!$M$2:$M$600,0)</f>
        <v>East</v>
      </c>
      <c r="K35" s="10" t="str">
        <f>_xlfn.XLOOKUP(B35,DataSet!$N$2:$N$600,DataSet!$O$2:$O$600,0)</f>
        <v>Office Supplies</v>
      </c>
      <c r="L35" s="10" t="str">
        <f>_xlfn.XLOOKUP(B35,DataSet!$N$2:$N$600,DataSet!$Y$2:$Y$600,0)</f>
        <v>Binders</v>
      </c>
      <c r="M35" s="10" t="str">
        <f>_xlfn.XLOOKUP(B35,DataSet!$N$2:$N$600,DataSet!$Q$2:$Q$600,0)</f>
        <v>Acco Pressboard Covers with Storage Hooks, 14 7/8" x 11", Executive Red</v>
      </c>
      <c r="N35" s="16">
        <f>_xlfn.XLOOKUP(B35,DataSet!$N$2:$N$600,DataSet!$AA$2:$AA$600,0)</f>
        <v>6.8579999999999997</v>
      </c>
      <c r="O35" s="10">
        <f>_xlfn.XLOOKUP(B35,DataSet!$N$2:$N$600,DataSet!$S$2:$S$600,0)</f>
        <v>6</v>
      </c>
      <c r="P35" s="15">
        <f>_xlfn.XLOOKUP(B35,DataSet!$N$2:$N$600,DataSet!$T$2:$T$600,0)</f>
        <v>0.7</v>
      </c>
      <c r="Q35" s="14">
        <f>_xlfn.XLOOKUP(B35,DataSet!$N$2:$N$600,DataSet!$U$2:$U$600,0)</f>
        <v>-5.7149999999999999</v>
      </c>
      <c r="R35" s="16">
        <f>_xlfn.XLOOKUP(B35,DataSet!$N$2:$N$600,DataSet!$AB$2:$AB$600,0)</f>
        <v>41.147999999999996</v>
      </c>
      <c r="S35" s="9">
        <f>_xlfn.XLOOKUP(B35,DataSet!$N$2:$N$600,DataSet!$AC$2:$AC$600,0)</f>
        <v>12.3444</v>
      </c>
    </row>
    <row r="36" spans="1:19" s="12" customFormat="1" x14ac:dyDescent="0.3">
      <c r="A36" s="27">
        <v>34</v>
      </c>
      <c r="B36" s="10" t="s">
        <v>177</v>
      </c>
      <c r="C36" s="10" t="str">
        <f>_xlfn.XLOOKUP(B36,DataSet!$N$2:$N$600,DataSet!$AF$2:$AF$600,0)</f>
        <v>150630</v>
      </c>
      <c r="D36" s="10" t="str">
        <f>_xlfn.XLOOKUP(B36,DataSet!$N$2:$N$600,DataSet!$G$2:$G$600,0)</f>
        <v>Tracy Blumstein</v>
      </c>
      <c r="E36" s="10" t="str">
        <f>_xlfn.XLOOKUP(B36,DataSet!$N$2:$N$600,DataSet!$F$2:$F$600,0)</f>
        <v>TB-21520</v>
      </c>
      <c r="F36" s="10" t="str">
        <f>_xlfn.XLOOKUP(B36,DataSet!$N$2:$N$600,DataSet!$W$2:$W$600,0)</f>
        <v>Consumer</v>
      </c>
      <c r="G36" s="13">
        <f>_xlfn.XLOOKUP(B36,DataSet!$N$2:$N$600,DataSet!$C$2:$C$600,0)</f>
        <v>42264</v>
      </c>
      <c r="H36" s="10" t="str">
        <f>_xlfn.XLOOKUP(B36,DataSet!$N$2:$N$600,DataSet!$I$2:$I$600,0)</f>
        <v>United States</v>
      </c>
      <c r="I36" s="10" t="str">
        <f>_xlfn.XLOOKUP(B36,DataSet!$N$2:$N$600,DataSet!$X$2:$X$600,0)</f>
        <v>Philadelphia - Pennsylvania</v>
      </c>
      <c r="J36" s="10" t="str">
        <f>_xlfn.XLOOKUP(B36,DataSet!$N$2:$N$600,DataSet!$M$2:$M$600,0)</f>
        <v>East</v>
      </c>
      <c r="K36" s="10" t="str">
        <f>_xlfn.XLOOKUP(B36,DataSet!$N$2:$N$600,DataSet!$O$2:$O$600,0)</f>
        <v>Office Supplies</v>
      </c>
      <c r="L36" s="10" t="str">
        <f>_xlfn.XLOOKUP(B36,DataSet!$N$2:$N$600,DataSet!$Y$2:$Y$600,0)</f>
        <v>Art</v>
      </c>
      <c r="M36" s="10" t="str">
        <f>_xlfn.XLOOKUP(B36,DataSet!$N$2:$N$600,DataSet!$Q$2:$Q$600,0)</f>
        <v>Lumber Crayons</v>
      </c>
      <c r="N36" s="16">
        <f>_xlfn.XLOOKUP(B36,DataSet!$N$2:$N$600,DataSet!$AA$2:$AA$600,0)</f>
        <v>15.76</v>
      </c>
      <c r="O36" s="10">
        <f>_xlfn.XLOOKUP(B36,DataSet!$N$2:$N$600,DataSet!$S$2:$S$600,0)</f>
        <v>2</v>
      </c>
      <c r="P36" s="15">
        <f>_xlfn.XLOOKUP(B36,DataSet!$N$2:$N$600,DataSet!$T$2:$T$600,0)</f>
        <v>0.2</v>
      </c>
      <c r="Q36" s="14">
        <f>_xlfn.XLOOKUP(B36,DataSet!$N$2:$N$600,DataSet!$U$2:$U$600,0)</f>
        <v>3.5459999999999998</v>
      </c>
      <c r="R36" s="16">
        <f>_xlfn.XLOOKUP(B36,DataSet!$N$2:$N$600,DataSet!$AB$2:$AB$600,0)</f>
        <v>31.52</v>
      </c>
      <c r="S36" s="9">
        <f>_xlfn.XLOOKUP(B36,DataSet!$N$2:$N$600,DataSet!$AC$2:$AC$600,0)</f>
        <v>25.216000000000001</v>
      </c>
    </row>
    <row r="37" spans="1:19" s="12" customFormat="1" x14ac:dyDescent="0.3">
      <c r="A37" s="27">
        <v>35</v>
      </c>
      <c r="B37" s="10" t="s">
        <v>183</v>
      </c>
      <c r="C37" s="10" t="str">
        <f>_xlfn.XLOOKUP(B37,DataSet!$N$2:$N$600,DataSet!$AF$2:$AF$600,0)</f>
        <v>107727</v>
      </c>
      <c r="D37" s="10" t="str">
        <f>_xlfn.XLOOKUP(B37,DataSet!$N$2:$N$600,DataSet!$G$2:$G$600,0)</f>
        <v>Matt Abelman</v>
      </c>
      <c r="E37" s="10" t="str">
        <f>_xlfn.XLOOKUP(B37,DataSet!$N$2:$N$600,DataSet!$F$2:$F$600,0)</f>
        <v>MA-17560</v>
      </c>
      <c r="F37" s="10" t="str">
        <f>_xlfn.XLOOKUP(B37,DataSet!$N$2:$N$600,DataSet!$W$2:$W$600,0)</f>
        <v>Home Office</v>
      </c>
      <c r="G37" s="13">
        <f>_xlfn.XLOOKUP(B37,DataSet!$N$2:$N$600,DataSet!$C$2:$C$600,0)</f>
        <v>43027</v>
      </c>
      <c r="H37" s="10" t="str">
        <f>_xlfn.XLOOKUP(B37,DataSet!$N$2:$N$600,DataSet!$I$2:$I$600,0)</f>
        <v>United States</v>
      </c>
      <c r="I37" s="10" t="str">
        <f>_xlfn.XLOOKUP(B37,DataSet!$N$2:$N$600,DataSet!$X$2:$X$600,0)</f>
        <v>Houston - Texas</v>
      </c>
      <c r="J37" s="10" t="str">
        <f>_xlfn.XLOOKUP(B37,DataSet!$N$2:$N$600,DataSet!$M$2:$M$600,0)</f>
        <v>Central</v>
      </c>
      <c r="K37" s="10" t="str">
        <f>_xlfn.XLOOKUP(B37,DataSet!$N$2:$N$600,DataSet!$O$2:$O$600,0)</f>
        <v>Office Supplies</v>
      </c>
      <c r="L37" s="10" t="str">
        <f>_xlfn.XLOOKUP(B37,DataSet!$N$2:$N$600,DataSet!$Y$2:$Y$600,0)</f>
        <v>Paper</v>
      </c>
      <c r="M37" s="10" t="str">
        <f>_xlfn.XLOOKUP(B37,DataSet!$N$2:$N$600,DataSet!$Q$2:$Q$600,0)</f>
        <v>Easy-staple paper</v>
      </c>
      <c r="N37" s="16">
        <f>_xlfn.XLOOKUP(B37,DataSet!$N$2:$N$600,DataSet!$AA$2:$AA$600,0)</f>
        <v>29.472000000000001</v>
      </c>
      <c r="O37" s="10">
        <f>_xlfn.XLOOKUP(B37,DataSet!$N$2:$N$600,DataSet!$S$2:$S$600,0)</f>
        <v>3</v>
      </c>
      <c r="P37" s="15">
        <f>_xlfn.XLOOKUP(B37,DataSet!$N$2:$N$600,DataSet!$T$2:$T$600,0)</f>
        <v>0.2</v>
      </c>
      <c r="Q37" s="14">
        <f>_xlfn.XLOOKUP(B37,DataSet!$N$2:$N$600,DataSet!$U$2:$U$600,0)</f>
        <v>9.9467999999999996</v>
      </c>
      <c r="R37" s="16">
        <f>_xlfn.XLOOKUP(B37,DataSet!$N$2:$N$600,DataSet!$AB$2:$AB$600,0)</f>
        <v>88.415999999999997</v>
      </c>
      <c r="S37" s="9">
        <f>_xlfn.XLOOKUP(B37,DataSet!$N$2:$N$600,DataSet!$AC$2:$AC$600,0)</f>
        <v>70.732799999999997</v>
      </c>
    </row>
    <row r="38" spans="1:19" s="12" customFormat="1" x14ac:dyDescent="0.3">
      <c r="A38" s="27">
        <v>36</v>
      </c>
      <c r="B38" s="10" t="s">
        <v>190</v>
      </c>
      <c r="C38" s="10" t="str">
        <f>_xlfn.XLOOKUP(B38,DataSet!$N$2:$N$600,DataSet!$AF$2:$AF$600,0)</f>
        <v>117590</v>
      </c>
      <c r="D38" s="10" t="str">
        <f>_xlfn.XLOOKUP(B38,DataSet!$N$2:$N$600,DataSet!$G$2:$G$600,0)</f>
        <v>Gene Hale</v>
      </c>
      <c r="E38" s="10" t="str">
        <f>_xlfn.XLOOKUP(B38,DataSet!$N$2:$N$600,DataSet!$F$2:$F$600,0)</f>
        <v>GH-14485</v>
      </c>
      <c r="F38" s="10" t="str">
        <f>_xlfn.XLOOKUP(B38,DataSet!$N$2:$N$600,DataSet!$W$2:$W$600,0)</f>
        <v>Corporate</v>
      </c>
      <c r="G38" s="13">
        <f>_xlfn.XLOOKUP(B38,DataSet!$N$2:$N$600,DataSet!$C$2:$C$600,0)</f>
        <v>42712</v>
      </c>
      <c r="H38" s="10" t="str">
        <f>_xlfn.XLOOKUP(B38,DataSet!$N$2:$N$600,DataSet!$I$2:$I$600,0)</f>
        <v>United States</v>
      </c>
      <c r="I38" s="10" t="str">
        <f>_xlfn.XLOOKUP(B38,DataSet!$N$2:$N$600,DataSet!$X$2:$X$600,0)</f>
        <v>Richardson - Texas</v>
      </c>
      <c r="J38" s="10" t="str">
        <f>_xlfn.XLOOKUP(B38,DataSet!$N$2:$N$600,DataSet!$M$2:$M$600,0)</f>
        <v>Central</v>
      </c>
      <c r="K38" s="10" t="str">
        <f>_xlfn.XLOOKUP(B38,DataSet!$N$2:$N$600,DataSet!$O$2:$O$600,0)</f>
        <v>Technology</v>
      </c>
      <c r="L38" s="10" t="str">
        <f>_xlfn.XLOOKUP(B38,DataSet!$N$2:$N$600,DataSet!$Y$2:$Y$600,0)</f>
        <v>Phones</v>
      </c>
      <c r="M38" s="10" t="str">
        <f>_xlfn.XLOOKUP(B38,DataSet!$N$2:$N$600,DataSet!$Q$2:$Q$600,0)</f>
        <v>GE 30524EE4</v>
      </c>
      <c r="N38" s="16">
        <f>_xlfn.XLOOKUP(B38,DataSet!$N$2:$N$600,DataSet!$AA$2:$AA$600,0)</f>
        <v>1097.5440000000001</v>
      </c>
      <c r="O38" s="10">
        <f>_xlfn.XLOOKUP(B38,DataSet!$N$2:$N$600,DataSet!$S$2:$S$600,0)</f>
        <v>7</v>
      </c>
      <c r="P38" s="15">
        <f>_xlfn.XLOOKUP(B38,DataSet!$N$2:$N$600,DataSet!$T$2:$T$600,0)</f>
        <v>0.2</v>
      </c>
      <c r="Q38" s="14">
        <f>_xlfn.XLOOKUP(B38,DataSet!$N$2:$N$600,DataSet!$U$2:$U$600,0)</f>
        <v>123.47369999999999</v>
      </c>
      <c r="R38" s="16">
        <f>_xlfn.XLOOKUP(B38,DataSet!$N$2:$N$600,DataSet!$AB$2:$AB$600,0)</f>
        <v>7682.8080000000009</v>
      </c>
      <c r="S38" s="9">
        <f>_xlfn.XLOOKUP(B38,DataSet!$N$2:$N$600,DataSet!$AC$2:$AC$600,0)</f>
        <v>6146.2464000000009</v>
      </c>
    </row>
    <row r="39" spans="1:19" s="12" customFormat="1" x14ac:dyDescent="0.3">
      <c r="A39" s="27">
        <v>37</v>
      </c>
      <c r="B39" s="10" t="s">
        <v>192</v>
      </c>
      <c r="C39" s="10" t="str">
        <f>_xlfn.XLOOKUP(B39,DataSet!$N$2:$N$600,DataSet!$AF$2:$AF$600,0)</f>
        <v>117590</v>
      </c>
      <c r="D39" s="10" t="str">
        <f>_xlfn.XLOOKUP(B39,DataSet!$N$2:$N$600,DataSet!$G$2:$G$600,0)</f>
        <v>Gene Hale</v>
      </c>
      <c r="E39" s="10" t="str">
        <f>_xlfn.XLOOKUP(B39,DataSet!$N$2:$N$600,DataSet!$F$2:$F$600,0)</f>
        <v>GH-14485</v>
      </c>
      <c r="F39" s="10" t="str">
        <f>_xlfn.XLOOKUP(B39,DataSet!$N$2:$N$600,DataSet!$W$2:$W$600,0)</f>
        <v>Corporate</v>
      </c>
      <c r="G39" s="13">
        <f>_xlfn.XLOOKUP(B39,DataSet!$N$2:$N$600,DataSet!$C$2:$C$600,0)</f>
        <v>42712</v>
      </c>
      <c r="H39" s="10" t="str">
        <f>_xlfn.XLOOKUP(B39,DataSet!$N$2:$N$600,DataSet!$I$2:$I$600,0)</f>
        <v>United States</v>
      </c>
      <c r="I39" s="10" t="str">
        <f>_xlfn.XLOOKUP(B39,DataSet!$N$2:$N$600,DataSet!$X$2:$X$600,0)</f>
        <v>Richardson - Texas</v>
      </c>
      <c r="J39" s="10" t="str">
        <f>_xlfn.XLOOKUP(B39,DataSet!$N$2:$N$600,DataSet!$M$2:$M$600,0)</f>
        <v>Central</v>
      </c>
      <c r="K39" s="10" t="str">
        <f>_xlfn.XLOOKUP(B39,DataSet!$N$2:$N$600,DataSet!$O$2:$O$600,0)</f>
        <v>Furniture</v>
      </c>
      <c r="L39" s="10" t="str">
        <f>_xlfn.XLOOKUP(B39,DataSet!$N$2:$N$600,DataSet!$Y$2:$Y$600,0)</f>
        <v>Furnishings</v>
      </c>
      <c r="M39" s="10" t="str">
        <f>_xlfn.XLOOKUP(B39,DataSet!$N$2:$N$600,DataSet!$Q$2:$Q$600,0)</f>
        <v>Electrix Architect's Clamp-On Swing Arm Lamp, Black</v>
      </c>
      <c r="N39" s="16">
        <f>_xlfn.XLOOKUP(B39,DataSet!$N$2:$N$600,DataSet!$AA$2:$AA$600,0)</f>
        <v>190.92</v>
      </c>
      <c r="O39" s="10">
        <f>_xlfn.XLOOKUP(B39,DataSet!$N$2:$N$600,DataSet!$S$2:$S$600,0)</f>
        <v>5</v>
      </c>
      <c r="P39" s="15">
        <f>_xlfn.XLOOKUP(B39,DataSet!$N$2:$N$600,DataSet!$T$2:$T$600,0)</f>
        <v>0.6</v>
      </c>
      <c r="Q39" s="14">
        <f>_xlfn.XLOOKUP(B39,DataSet!$N$2:$N$600,DataSet!$U$2:$U$600,0)</f>
        <v>-147.96299999999999</v>
      </c>
      <c r="R39" s="16">
        <f>_xlfn.XLOOKUP(B39,DataSet!$N$2:$N$600,DataSet!$AB$2:$AB$600,0)</f>
        <v>954.59999999999991</v>
      </c>
      <c r="S39" s="9">
        <f>_xlfn.XLOOKUP(B39,DataSet!$N$2:$N$600,DataSet!$AC$2:$AC$600,0)</f>
        <v>381.84</v>
      </c>
    </row>
    <row r="40" spans="1:19" s="12" customFormat="1" x14ac:dyDescent="0.3">
      <c r="A40" s="27">
        <v>38</v>
      </c>
      <c r="B40" s="10" t="s">
        <v>197</v>
      </c>
      <c r="C40" s="10" t="str">
        <f>_xlfn.XLOOKUP(B40,DataSet!$N$2:$N$600,DataSet!$AF$2:$AF$600,0)</f>
        <v>117415</v>
      </c>
      <c r="D40" s="10" t="str">
        <f>_xlfn.XLOOKUP(B40,DataSet!$N$2:$N$600,DataSet!$G$2:$G$600,0)</f>
        <v>Steve Nguyen</v>
      </c>
      <c r="E40" s="10" t="str">
        <f>_xlfn.XLOOKUP(B40,DataSet!$N$2:$N$600,DataSet!$F$2:$F$600,0)</f>
        <v>SN-20710</v>
      </c>
      <c r="F40" s="10" t="str">
        <f>_xlfn.XLOOKUP(B40,DataSet!$N$2:$N$600,DataSet!$W$2:$W$600,0)</f>
        <v>Home Office</v>
      </c>
      <c r="G40" s="13">
        <f>_xlfn.XLOOKUP(B40,DataSet!$N$2:$N$600,DataSet!$C$2:$C$600,0)</f>
        <v>42365</v>
      </c>
      <c r="H40" s="10" t="str">
        <f>_xlfn.XLOOKUP(B40,DataSet!$N$2:$N$600,DataSet!$I$2:$I$600,0)</f>
        <v>United States</v>
      </c>
      <c r="I40" s="10" t="str">
        <f>_xlfn.XLOOKUP(B40,DataSet!$N$2:$N$600,DataSet!$X$2:$X$600,0)</f>
        <v>Houston - Texas</v>
      </c>
      <c r="J40" s="10" t="str">
        <f>_xlfn.XLOOKUP(B40,DataSet!$N$2:$N$600,DataSet!$M$2:$M$600,0)</f>
        <v>Central</v>
      </c>
      <c r="K40" s="10" t="str">
        <f>_xlfn.XLOOKUP(B40,DataSet!$N$2:$N$600,DataSet!$O$2:$O$600,0)</f>
        <v>Office Supplies</v>
      </c>
      <c r="L40" s="10" t="str">
        <f>_xlfn.XLOOKUP(B40,DataSet!$N$2:$N$600,DataSet!$Y$2:$Y$600,0)</f>
        <v>Envelopes</v>
      </c>
      <c r="M40" s="10" t="str">
        <f>_xlfn.XLOOKUP(B40,DataSet!$N$2:$N$600,DataSet!$Q$2:$Q$600,0)</f>
        <v>#10-4 1/8" x 9 1/2" Premium Diagonal Seam Envelopes</v>
      </c>
      <c r="N40" s="16">
        <f>_xlfn.XLOOKUP(B40,DataSet!$N$2:$N$600,DataSet!$AA$2:$AA$600,0)</f>
        <v>113.328</v>
      </c>
      <c r="O40" s="10">
        <f>_xlfn.XLOOKUP(B40,DataSet!$N$2:$N$600,DataSet!$S$2:$S$600,0)</f>
        <v>9</v>
      </c>
      <c r="P40" s="15">
        <f>_xlfn.XLOOKUP(B40,DataSet!$N$2:$N$600,DataSet!$T$2:$T$600,0)</f>
        <v>0.2</v>
      </c>
      <c r="Q40" s="14">
        <f>_xlfn.XLOOKUP(B40,DataSet!$N$2:$N$600,DataSet!$U$2:$U$600,0)</f>
        <v>35.414999999999999</v>
      </c>
      <c r="R40" s="16">
        <f>_xlfn.XLOOKUP(B40,DataSet!$N$2:$N$600,DataSet!$AB$2:$AB$600,0)</f>
        <v>1019.952</v>
      </c>
      <c r="S40" s="9">
        <f>_xlfn.XLOOKUP(B40,DataSet!$N$2:$N$600,DataSet!$AC$2:$AC$600,0)</f>
        <v>815.96160000000009</v>
      </c>
    </row>
    <row r="41" spans="1:19" s="12" customFormat="1" x14ac:dyDescent="0.3">
      <c r="A41" s="27">
        <v>39</v>
      </c>
      <c r="B41" s="10" t="s">
        <v>199</v>
      </c>
      <c r="C41" s="10" t="str">
        <f>_xlfn.XLOOKUP(B41,DataSet!$N$2:$N$600,DataSet!$AF$2:$AF$600,0)</f>
        <v>117415</v>
      </c>
      <c r="D41" s="10" t="str">
        <f>_xlfn.XLOOKUP(B41,DataSet!$N$2:$N$600,DataSet!$G$2:$G$600,0)</f>
        <v>Steve Nguyen</v>
      </c>
      <c r="E41" s="10" t="str">
        <f>_xlfn.XLOOKUP(B41,DataSet!$N$2:$N$600,DataSet!$F$2:$F$600,0)</f>
        <v>SN-20710</v>
      </c>
      <c r="F41" s="10" t="str">
        <f>_xlfn.XLOOKUP(B41,DataSet!$N$2:$N$600,DataSet!$W$2:$W$600,0)</f>
        <v>Home Office</v>
      </c>
      <c r="G41" s="13">
        <f>_xlfn.XLOOKUP(B41,DataSet!$N$2:$N$600,DataSet!$C$2:$C$600,0)</f>
        <v>42365</v>
      </c>
      <c r="H41" s="10" t="str">
        <f>_xlfn.XLOOKUP(B41,DataSet!$N$2:$N$600,DataSet!$I$2:$I$600,0)</f>
        <v>United States</v>
      </c>
      <c r="I41" s="10" t="str">
        <f>_xlfn.XLOOKUP(B41,DataSet!$N$2:$N$600,DataSet!$X$2:$X$600,0)</f>
        <v>Houston - Texas</v>
      </c>
      <c r="J41" s="10" t="str">
        <f>_xlfn.XLOOKUP(B41,DataSet!$N$2:$N$600,DataSet!$M$2:$M$600,0)</f>
        <v>Central</v>
      </c>
      <c r="K41" s="10" t="str">
        <f>_xlfn.XLOOKUP(B41,DataSet!$N$2:$N$600,DataSet!$O$2:$O$600,0)</f>
        <v>Furniture</v>
      </c>
      <c r="L41" s="10" t="str">
        <f>_xlfn.XLOOKUP(B41,DataSet!$N$2:$N$600,DataSet!$Y$2:$Y$600,0)</f>
        <v>Bookcases</v>
      </c>
      <c r="M41" s="10" t="str">
        <f>_xlfn.XLOOKUP(B41,DataSet!$N$2:$N$600,DataSet!$Q$2:$Q$600,0)</f>
        <v>Atlantic Metals Mobile 3-Shelf Bookcases, Custom Colors</v>
      </c>
      <c r="N41" s="16">
        <f>_xlfn.XLOOKUP(B41,DataSet!$N$2:$N$600,DataSet!$AA$2:$AA$600,0)</f>
        <v>532.39919999999995</v>
      </c>
      <c r="O41" s="10">
        <f>_xlfn.XLOOKUP(B41,DataSet!$N$2:$N$600,DataSet!$S$2:$S$600,0)</f>
        <v>3</v>
      </c>
      <c r="P41" s="15">
        <f>_xlfn.XLOOKUP(B41,DataSet!$N$2:$N$600,DataSet!$T$2:$T$600,0)</f>
        <v>0.32</v>
      </c>
      <c r="Q41" s="14">
        <f>_xlfn.XLOOKUP(B41,DataSet!$N$2:$N$600,DataSet!$U$2:$U$600,0)</f>
        <v>-46.976399999999998</v>
      </c>
      <c r="R41" s="16">
        <f>_xlfn.XLOOKUP(B41,DataSet!$N$2:$N$600,DataSet!$AB$2:$AB$600,0)</f>
        <v>1597.1976</v>
      </c>
      <c r="S41" s="9">
        <f>_xlfn.XLOOKUP(B41,DataSet!$N$2:$N$600,DataSet!$AC$2:$AC$600,0)</f>
        <v>1086.0943679999998</v>
      </c>
    </row>
    <row r="42" spans="1:19" s="12" customFormat="1" x14ac:dyDescent="0.3">
      <c r="A42" s="27">
        <v>40</v>
      </c>
      <c r="B42" s="10" t="s">
        <v>201</v>
      </c>
      <c r="C42" s="10" t="str">
        <f>_xlfn.XLOOKUP(B42,DataSet!$N$2:$N$600,DataSet!$AF$2:$AF$600,0)</f>
        <v>117415</v>
      </c>
      <c r="D42" s="10" t="str">
        <f>_xlfn.XLOOKUP(B42,DataSet!$N$2:$N$600,DataSet!$G$2:$G$600,0)</f>
        <v>Steve Nguyen</v>
      </c>
      <c r="E42" s="10" t="str">
        <f>_xlfn.XLOOKUP(B42,DataSet!$N$2:$N$600,DataSet!$F$2:$F$600,0)</f>
        <v>SN-20710</v>
      </c>
      <c r="F42" s="10" t="str">
        <f>_xlfn.XLOOKUP(B42,DataSet!$N$2:$N$600,DataSet!$W$2:$W$600,0)</f>
        <v>UNKNOWN</v>
      </c>
      <c r="G42" s="13">
        <f>_xlfn.XLOOKUP(B42,DataSet!$N$2:$N$600,DataSet!$C$2:$C$600,0)</f>
        <v>42365</v>
      </c>
      <c r="H42" s="10" t="str">
        <f>_xlfn.XLOOKUP(B42,DataSet!$N$2:$N$600,DataSet!$I$2:$I$600,0)</f>
        <v>United States</v>
      </c>
      <c r="I42" s="10" t="str">
        <f>_xlfn.XLOOKUP(B42,DataSet!$N$2:$N$600,DataSet!$X$2:$X$600,0)</f>
        <v>Houston - Texas</v>
      </c>
      <c r="J42" s="10" t="str">
        <f>_xlfn.XLOOKUP(B42,DataSet!$N$2:$N$600,DataSet!$M$2:$M$600,0)</f>
        <v>Central</v>
      </c>
      <c r="K42" s="10" t="str">
        <f>_xlfn.XLOOKUP(B42,DataSet!$N$2:$N$600,DataSet!$O$2:$O$600,0)</f>
        <v>Furniture</v>
      </c>
      <c r="L42" s="10" t="str">
        <f>_xlfn.XLOOKUP(B42,DataSet!$N$2:$N$600,DataSet!$Y$2:$Y$600,0)</f>
        <v>Chairs</v>
      </c>
      <c r="M42" s="10" t="str">
        <f>_xlfn.XLOOKUP(B42,DataSet!$N$2:$N$600,DataSet!$Q$2:$Q$600,0)</f>
        <v>Global Fabric Manager's Chair, Dark Gray</v>
      </c>
      <c r="N42" s="16">
        <f>_xlfn.XLOOKUP(B42,DataSet!$N$2:$N$600,DataSet!$AA$2:$AA$600,0)</f>
        <v>212.05799999999999</v>
      </c>
      <c r="O42" s="10">
        <f>_xlfn.XLOOKUP(B42,DataSet!$N$2:$N$600,DataSet!$S$2:$S$600,0)</f>
        <v>3</v>
      </c>
      <c r="P42" s="15">
        <f>_xlfn.XLOOKUP(B42,DataSet!$N$2:$N$600,DataSet!$T$2:$T$600,0)</f>
        <v>0.3</v>
      </c>
      <c r="Q42" s="14">
        <f>_xlfn.XLOOKUP(B42,DataSet!$N$2:$N$600,DataSet!$U$2:$U$600,0)</f>
        <v>-15.147</v>
      </c>
      <c r="R42" s="16">
        <f>_xlfn.XLOOKUP(B42,DataSet!$N$2:$N$600,DataSet!$AB$2:$AB$600,0)</f>
        <v>636.17399999999998</v>
      </c>
      <c r="S42" s="9">
        <f>_xlfn.XLOOKUP(B42,DataSet!$N$2:$N$600,DataSet!$AC$2:$AC$600,0)</f>
        <v>445.32179999999994</v>
      </c>
    </row>
    <row r="43" spans="1:19" s="12" customFormat="1" x14ac:dyDescent="0.3">
      <c r="A43" s="27">
        <v>41</v>
      </c>
      <c r="B43" s="10" t="s">
        <v>203</v>
      </c>
      <c r="C43" s="10" t="str">
        <f>_xlfn.XLOOKUP(B43,DataSet!$N$2:$N$600,DataSet!$AF$2:$AF$600,0)</f>
        <v>117415</v>
      </c>
      <c r="D43" s="10" t="str">
        <f>_xlfn.XLOOKUP(B43,DataSet!$N$2:$N$600,DataSet!$G$2:$G$600,0)</f>
        <v>Steve Nguyen</v>
      </c>
      <c r="E43" s="10" t="str">
        <f>_xlfn.XLOOKUP(B43,DataSet!$N$2:$N$600,DataSet!$F$2:$F$600,0)</f>
        <v>SN-20710</v>
      </c>
      <c r="F43" s="10" t="str">
        <f>_xlfn.XLOOKUP(B43,DataSet!$N$2:$N$600,DataSet!$W$2:$W$600,0)</f>
        <v>Home Office</v>
      </c>
      <c r="G43" s="13">
        <f>_xlfn.XLOOKUP(B43,DataSet!$N$2:$N$600,DataSet!$C$2:$C$600,0)</f>
        <v>42365</v>
      </c>
      <c r="H43" s="10" t="str">
        <f>_xlfn.XLOOKUP(B43,DataSet!$N$2:$N$600,DataSet!$I$2:$I$600,0)</f>
        <v>United States</v>
      </c>
      <c r="I43" s="10" t="str">
        <f>_xlfn.XLOOKUP(B43,DataSet!$N$2:$N$600,DataSet!$X$2:$X$600,0)</f>
        <v>Houston - Texas</v>
      </c>
      <c r="J43" s="10" t="str">
        <f>_xlfn.XLOOKUP(B43,DataSet!$N$2:$N$600,DataSet!$M$2:$M$600,0)</f>
        <v>Central</v>
      </c>
      <c r="K43" s="10" t="str">
        <f>_xlfn.XLOOKUP(B43,DataSet!$N$2:$N$600,DataSet!$O$2:$O$600,0)</f>
        <v>Technology</v>
      </c>
      <c r="L43" s="10" t="str">
        <f>_xlfn.XLOOKUP(B43,DataSet!$N$2:$N$600,DataSet!$Y$2:$Y$600,0)</f>
        <v>Phones</v>
      </c>
      <c r="M43" s="10" t="str">
        <f>_xlfn.XLOOKUP(B43,DataSet!$N$2:$N$600,DataSet!$Q$2:$Q$600,0)</f>
        <v>Plantronics HL10 Handset Lifter</v>
      </c>
      <c r="N43" s="16">
        <f>_xlfn.XLOOKUP(B43,DataSet!$N$2:$N$600,DataSet!$AA$2:$AA$600,0)</f>
        <v>371.16800000000001</v>
      </c>
      <c r="O43" s="10">
        <f>_xlfn.XLOOKUP(B43,DataSet!$N$2:$N$600,DataSet!$S$2:$S$600,0)</f>
        <v>4</v>
      </c>
      <c r="P43" s="15">
        <f>_xlfn.XLOOKUP(B43,DataSet!$N$2:$N$600,DataSet!$T$2:$T$600,0)</f>
        <v>0.2</v>
      </c>
      <c r="Q43" s="14">
        <f>_xlfn.XLOOKUP(B43,DataSet!$N$2:$N$600,DataSet!$U$2:$U$600,0)</f>
        <v>41.756399999999999</v>
      </c>
      <c r="R43" s="16">
        <f>_xlfn.XLOOKUP(B43,DataSet!$N$2:$N$600,DataSet!$AB$2:$AB$600,0)</f>
        <v>1484.672</v>
      </c>
      <c r="S43" s="9">
        <f>_xlfn.XLOOKUP(B43,DataSet!$N$2:$N$600,DataSet!$AC$2:$AC$600,0)</f>
        <v>1187.7376000000002</v>
      </c>
    </row>
    <row r="44" spans="1:19" s="12" customFormat="1" x14ac:dyDescent="0.3">
      <c r="A44" s="27">
        <v>42</v>
      </c>
      <c r="B44" s="10" t="s">
        <v>210</v>
      </c>
      <c r="C44" s="10" t="str">
        <f>_xlfn.XLOOKUP(B44,DataSet!$N$2:$N$600,DataSet!$AF$2:$AF$600,0)</f>
        <v>120999</v>
      </c>
      <c r="D44" s="10" t="str">
        <f>_xlfn.XLOOKUP(B44,DataSet!$N$2:$N$600,DataSet!$G$2:$G$600,0)</f>
        <v>Linda Cazamias</v>
      </c>
      <c r="E44" s="10" t="str">
        <f>_xlfn.XLOOKUP(B44,DataSet!$N$2:$N$600,DataSet!$F$2:$F$600,0)</f>
        <v>LC-16930</v>
      </c>
      <c r="F44" s="10" t="str">
        <f>_xlfn.XLOOKUP(B44,DataSet!$N$2:$N$600,DataSet!$W$2:$W$600,0)</f>
        <v>Corporate</v>
      </c>
      <c r="G44" s="13">
        <f>_xlfn.XLOOKUP(B44,DataSet!$N$2:$N$600,DataSet!$C$2:$C$600,0)</f>
        <v>42988</v>
      </c>
      <c r="H44" s="10" t="str">
        <f>_xlfn.XLOOKUP(B44,DataSet!$N$2:$N$600,DataSet!$I$2:$I$600,0)</f>
        <v>United States</v>
      </c>
      <c r="I44" s="10" t="str">
        <f>_xlfn.XLOOKUP(B44,DataSet!$N$2:$N$600,DataSet!$X$2:$X$600,0)</f>
        <v>Naperville - Illinois</v>
      </c>
      <c r="J44" s="10" t="str">
        <f>_xlfn.XLOOKUP(B44,DataSet!$N$2:$N$600,DataSet!$M$2:$M$600,0)</f>
        <v>Central</v>
      </c>
      <c r="K44" s="10" t="str">
        <f>_xlfn.XLOOKUP(B44,DataSet!$N$2:$N$600,DataSet!$O$2:$O$600,0)</f>
        <v>Technology</v>
      </c>
      <c r="L44" s="10" t="str">
        <f>_xlfn.XLOOKUP(B44,DataSet!$N$2:$N$600,DataSet!$Y$2:$Y$600,0)</f>
        <v>Phones</v>
      </c>
      <c r="M44" s="10" t="str">
        <f>_xlfn.XLOOKUP(B44,DataSet!$N$2:$N$600,DataSet!$Q$2:$Q$600,0)</f>
        <v>Panasonic Kx-TS550</v>
      </c>
      <c r="N44" s="16">
        <f>_xlfn.XLOOKUP(B44,DataSet!$N$2:$N$600,DataSet!$AA$2:$AA$600,0)</f>
        <v>147.16800000000001</v>
      </c>
      <c r="O44" s="10">
        <f>_xlfn.XLOOKUP(B44,DataSet!$N$2:$N$600,DataSet!$S$2:$S$600,0)</f>
        <v>4</v>
      </c>
      <c r="P44" s="15">
        <f>_xlfn.XLOOKUP(B44,DataSet!$N$2:$N$600,DataSet!$T$2:$T$600,0)</f>
        <v>0.2</v>
      </c>
      <c r="Q44" s="14">
        <f>_xlfn.XLOOKUP(B44,DataSet!$N$2:$N$600,DataSet!$U$2:$U$600,0)</f>
        <v>16.5564</v>
      </c>
      <c r="R44" s="16">
        <f>_xlfn.XLOOKUP(B44,DataSet!$N$2:$N$600,DataSet!$AB$2:$AB$600,0)</f>
        <v>588.67200000000003</v>
      </c>
      <c r="S44" s="9">
        <f>_xlfn.XLOOKUP(B44,DataSet!$N$2:$N$600,DataSet!$AC$2:$AC$600,0)</f>
        <v>470.93760000000003</v>
      </c>
    </row>
    <row r="45" spans="1:19" s="12" customFormat="1" x14ac:dyDescent="0.3">
      <c r="A45" s="27">
        <v>43</v>
      </c>
      <c r="B45" s="10" t="s">
        <v>215</v>
      </c>
      <c r="C45" s="10" t="str">
        <f>_xlfn.XLOOKUP(B45,DataSet!$N$2:$N$600,DataSet!$AF$2:$AF$600,0)</f>
        <v>101343</v>
      </c>
      <c r="D45" s="10" t="str">
        <f>_xlfn.XLOOKUP(B45,DataSet!$N$2:$N$600,DataSet!$G$2:$G$600,0)</f>
        <v>Ruben Ausman</v>
      </c>
      <c r="E45" s="10" t="str">
        <f>_xlfn.XLOOKUP(B45,DataSet!$N$2:$N$600,DataSet!$F$2:$F$600,0)</f>
        <v>RA-19885</v>
      </c>
      <c r="F45" s="10" t="str">
        <f>_xlfn.XLOOKUP(B45,DataSet!$N$2:$N$600,DataSet!$W$2:$W$600,0)</f>
        <v>Corporate</v>
      </c>
      <c r="G45" s="13">
        <f>_xlfn.XLOOKUP(B45,DataSet!$N$2:$N$600,DataSet!$C$2:$C$600,0)</f>
        <v>42568</v>
      </c>
      <c r="H45" s="10" t="str">
        <f>_xlfn.XLOOKUP(B45,DataSet!$N$2:$N$600,DataSet!$I$2:$I$600,0)</f>
        <v>United States</v>
      </c>
      <c r="I45" s="10" t="str">
        <f>_xlfn.XLOOKUP(B45,DataSet!$N$2:$N$600,DataSet!$X$2:$X$600,0)</f>
        <v>Los Angeles - California</v>
      </c>
      <c r="J45" s="10" t="str">
        <f>_xlfn.XLOOKUP(B45,DataSet!$N$2:$N$600,DataSet!$M$2:$M$600,0)</f>
        <v>West</v>
      </c>
      <c r="K45" s="10" t="str">
        <f>_xlfn.XLOOKUP(B45,DataSet!$N$2:$N$600,DataSet!$O$2:$O$600,0)</f>
        <v>Office Supplies</v>
      </c>
      <c r="L45" s="10" t="str">
        <f>_xlfn.XLOOKUP(B45,DataSet!$N$2:$N$600,DataSet!$Y$2:$Y$600,0)</f>
        <v>Storage</v>
      </c>
      <c r="M45" s="10" t="str">
        <f>_xlfn.XLOOKUP(B45,DataSet!$N$2:$N$600,DataSet!$Q$2:$Q$600,0)</f>
        <v>Eldon Base for stackable storage shelf, platinum</v>
      </c>
      <c r="N45" s="16">
        <f>_xlfn.XLOOKUP(B45,DataSet!$N$2:$N$600,DataSet!$AA$2:$AA$600,0)</f>
        <v>77.88</v>
      </c>
      <c r="O45" s="10">
        <f>_xlfn.XLOOKUP(B45,DataSet!$N$2:$N$600,DataSet!$S$2:$S$600,0)</f>
        <v>2</v>
      </c>
      <c r="P45" s="15">
        <f>_xlfn.XLOOKUP(B45,DataSet!$N$2:$N$600,DataSet!$T$2:$T$600,0)</f>
        <v>0</v>
      </c>
      <c r="Q45" s="14">
        <f>_xlfn.XLOOKUP(B45,DataSet!$N$2:$N$600,DataSet!$U$2:$U$600,0)</f>
        <v>3.8940000000000001</v>
      </c>
      <c r="R45" s="16">
        <f>_xlfn.XLOOKUP(B45,DataSet!$N$2:$N$600,DataSet!$AB$2:$AB$600,0)</f>
        <v>155.76</v>
      </c>
      <c r="S45" s="9">
        <f>_xlfn.XLOOKUP(B45,DataSet!$N$2:$N$600,DataSet!$AC$2:$AC$600,0)</f>
        <v>155.76</v>
      </c>
    </row>
    <row r="46" spans="1:19" s="12" customFormat="1" x14ac:dyDescent="0.3">
      <c r="A46" s="27">
        <v>44</v>
      </c>
      <c r="B46" s="10" t="s">
        <v>221</v>
      </c>
      <c r="C46" s="10" t="str">
        <f>_xlfn.XLOOKUP(B46,DataSet!$N$2:$N$600,DataSet!$AF$2:$AF$600,0)</f>
        <v>139619</v>
      </c>
      <c r="D46" s="10" t="str">
        <f>_xlfn.XLOOKUP(B46,DataSet!$N$2:$N$600,DataSet!$G$2:$G$600,0)</f>
        <v>Erin Smith</v>
      </c>
      <c r="E46" s="10" t="str">
        <f>_xlfn.XLOOKUP(B46,DataSet!$N$2:$N$600,DataSet!$F$2:$F$600,0)</f>
        <v>ES-14080</v>
      </c>
      <c r="F46" s="10" t="str">
        <f>_xlfn.XLOOKUP(B46,DataSet!$N$2:$N$600,DataSet!$W$2:$W$600,0)</f>
        <v>Corporate</v>
      </c>
      <c r="G46" s="13">
        <f>_xlfn.XLOOKUP(B46,DataSet!$N$2:$N$600,DataSet!$C$2:$C$600,0)</f>
        <v>42997</v>
      </c>
      <c r="H46" s="10" t="str">
        <f>_xlfn.XLOOKUP(B46,DataSet!$N$2:$N$600,DataSet!$I$2:$I$600,0)</f>
        <v>United States</v>
      </c>
      <c r="I46" s="10" t="str">
        <f>_xlfn.XLOOKUP(B46,DataSet!$N$2:$N$600,DataSet!$X$2:$X$600,0)</f>
        <v>Melbourne - Florida</v>
      </c>
      <c r="J46" s="10" t="str">
        <f>_xlfn.XLOOKUP(B46,DataSet!$N$2:$N$600,DataSet!$M$2:$M$600,0)</f>
        <v>South</v>
      </c>
      <c r="K46" s="10" t="str">
        <f>_xlfn.XLOOKUP(B46,DataSet!$N$2:$N$600,DataSet!$O$2:$O$600,0)</f>
        <v>Office Supplies</v>
      </c>
      <c r="L46" s="10" t="str">
        <f>_xlfn.XLOOKUP(B46,DataSet!$N$2:$N$600,DataSet!$Y$2:$Y$600,0)</f>
        <v>Storage</v>
      </c>
      <c r="M46" s="10" t="str">
        <f>_xlfn.XLOOKUP(B46,DataSet!$N$2:$N$600,DataSet!$Q$2:$Q$600,0)</f>
        <v>Advantus 10-Drawer Portable Organizer, Chrome Metal Frame, Smoke Drawers</v>
      </c>
      <c r="N46" s="16">
        <f>_xlfn.XLOOKUP(B46,DataSet!$N$2:$N$600,DataSet!$AA$2:$AA$600,0)</f>
        <v>95.616</v>
      </c>
      <c r="O46" s="10">
        <f>_xlfn.XLOOKUP(B46,DataSet!$N$2:$N$600,DataSet!$S$2:$S$600,0)</f>
        <v>2</v>
      </c>
      <c r="P46" s="15">
        <f>_xlfn.XLOOKUP(B46,DataSet!$N$2:$N$600,DataSet!$T$2:$T$600,0)</f>
        <v>0.2</v>
      </c>
      <c r="Q46" s="14">
        <f>_xlfn.XLOOKUP(B46,DataSet!$N$2:$N$600,DataSet!$U$2:$U$600,0)</f>
        <v>9.5616000000000003</v>
      </c>
      <c r="R46" s="16">
        <f>_xlfn.XLOOKUP(B46,DataSet!$N$2:$N$600,DataSet!$AB$2:$AB$600,0)</f>
        <v>191.232</v>
      </c>
      <c r="S46" s="9">
        <f>_xlfn.XLOOKUP(B46,DataSet!$N$2:$N$600,DataSet!$AC$2:$AC$600,0)</f>
        <v>152.98560000000001</v>
      </c>
    </row>
    <row r="47" spans="1:19" s="12" customFormat="1" x14ac:dyDescent="0.3">
      <c r="A47" s="27">
        <v>45</v>
      </c>
      <c r="B47" s="10" t="s">
        <v>228</v>
      </c>
      <c r="C47" s="10" t="str">
        <f>_xlfn.XLOOKUP(B47,DataSet!$N$2:$N$600,DataSet!$AF$2:$AF$600,0)</f>
        <v>118255</v>
      </c>
      <c r="D47" s="10" t="str">
        <f>_xlfn.XLOOKUP(B47,DataSet!$N$2:$N$600,DataSet!$G$2:$G$600,0)</f>
        <v>Odella Nelson</v>
      </c>
      <c r="E47" s="10" t="str">
        <f>_xlfn.XLOOKUP(B47,DataSet!$N$2:$N$600,DataSet!$F$2:$F$600,0)</f>
        <v>ON-18715</v>
      </c>
      <c r="F47" s="10" t="str">
        <f>_xlfn.XLOOKUP(B47,DataSet!$N$2:$N$600,DataSet!$W$2:$W$600,0)</f>
        <v>Corporate</v>
      </c>
      <c r="G47" s="13">
        <f>_xlfn.XLOOKUP(B47,DataSet!$N$2:$N$600,DataSet!$C$2:$C$600,0)</f>
        <v>42440</v>
      </c>
      <c r="H47" s="10" t="str">
        <f>_xlfn.XLOOKUP(B47,DataSet!$N$2:$N$600,DataSet!$I$2:$I$600,0)</f>
        <v>United States</v>
      </c>
      <c r="I47" s="10" t="str">
        <f>_xlfn.XLOOKUP(B47,DataSet!$N$2:$N$600,DataSet!$X$2:$X$600,0)</f>
        <v>Eagan - Minnesota</v>
      </c>
      <c r="J47" s="10" t="str">
        <f>_xlfn.XLOOKUP(B47,DataSet!$N$2:$N$600,DataSet!$M$2:$M$600,0)</f>
        <v>Central</v>
      </c>
      <c r="K47" s="10" t="str">
        <f>_xlfn.XLOOKUP(B47,DataSet!$N$2:$N$600,DataSet!$O$2:$O$600,0)</f>
        <v>Technology</v>
      </c>
      <c r="L47" s="10" t="str">
        <f>_xlfn.XLOOKUP(B47,DataSet!$N$2:$N$600,DataSet!$Y$2:$Y$600,0)</f>
        <v>Accessories</v>
      </c>
      <c r="M47" s="10" t="str">
        <f>_xlfn.XLOOKUP(B47,DataSet!$N$2:$N$600,DataSet!$Q$2:$Q$600,0)</f>
        <v>Verbatim 25 GB 6x Blu-ray Single Layer Recordable Disc, 25/Pack</v>
      </c>
      <c r="N47" s="16">
        <f>_xlfn.XLOOKUP(B47,DataSet!$N$2:$N$600,DataSet!$AA$2:$AA$600,0)</f>
        <v>45.98</v>
      </c>
      <c r="O47" s="10">
        <f>_xlfn.XLOOKUP(B47,DataSet!$N$2:$N$600,DataSet!$S$2:$S$600,0)</f>
        <v>2</v>
      </c>
      <c r="P47" s="15">
        <f>_xlfn.XLOOKUP(B47,DataSet!$N$2:$N$600,DataSet!$T$2:$T$600,0)</f>
        <v>0</v>
      </c>
      <c r="Q47" s="14">
        <f>_xlfn.XLOOKUP(B47,DataSet!$N$2:$N$600,DataSet!$U$2:$U$600,0)</f>
        <v>19.7714</v>
      </c>
      <c r="R47" s="16">
        <f>_xlfn.XLOOKUP(B47,DataSet!$N$2:$N$600,DataSet!$AB$2:$AB$600,0)</f>
        <v>91.96</v>
      </c>
      <c r="S47" s="9">
        <f>_xlfn.XLOOKUP(B47,DataSet!$N$2:$N$600,DataSet!$AC$2:$AC$600,0)</f>
        <v>91.96</v>
      </c>
    </row>
    <row r="48" spans="1:19" s="12" customFormat="1" x14ac:dyDescent="0.3">
      <c r="A48" s="27">
        <v>46</v>
      </c>
      <c r="B48" s="10" t="s">
        <v>230</v>
      </c>
      <c r="C48" s="10" t="str">
        <f>_xlfn.XLOOKUP(B48,DataSet!$N$2:$N$600,DataSet!$AF$2:$AF$600,0)</f>
        <v>118255</v>
      </c>
      <c r="D48" s="10" t="str">
        <f>_xlfn.XLOOKUP(B48,DataSet!$N$2:$N$600,DataSet!$G$2:$G$600,0)</f>
        <v>Odella Nelson</v>
      </c>
      <c r="E48" s="10" t="str">
        <f>_xlfn.XLOOKUP(B48,DataSet!$N$2:$N$600,DataSet!$F$2:$F$600,0)</f>
        <v>ON-18715</v>
      </c>
      <c r="F48" s="10" t="str">
        <f>_xlfn.XLOOKUP(B48,DataSet!$N$2:$N$600,DataSet!$W$2:$W$600,0)</f>
        <v>Corporate</v>
      </c>
      <c r="G48" s="13">
        <f>_xlfn.XLOOKUP(B48,DataSet!$N$2:$N$600,DataSet!$C$2:$C$600,0)</f>
        <v>42440</v>
      </c>
      <c r="H48" s="10" t="str">
        <f>_xlfn.XLOOKUP(B48,DataSet!$N$2:$N$600,DataSet!$I$2:$I$600,0)</f>
        <v>United States</v>
      </c>
      <c r="I48" s="10" t="str">
        <f>_xlfn.XLOOKUP(B48,DataSet!$N$2:$N$600,DataSet!$X$2:$X$600,0)</f>
        <v>Eagan - Minnesota</v>
      </c>
      <c r="J48" s="10" t="str">
        <f>_xlfn.XLOOKUP(B48,DataSet!$N$2:$N$600,DataSet!$M$2:$M$600,0)</f>
        <v>Central</v>
      </c>
      <c r="K48" s="10" t="str">
        <f>_xlfn.XLOOKUP(B48,DataSet!$N$2:$N$600,DataSet!$O$2:$O$600,0)</f>
        <v>Office Supplies</v>
      </c>
      <c r="L48" s="10" t="str">
        <f>_xlfn.XLOOKUP(B48,DataSet!$N$2:$N$600,DataSet!$Y$2:$Y$600,0)</f>
        <v>Binders</v>
      </c>
      <c r="M48" s="10" t="str">
        <f>_xlfn.XLOOKUP(B48,DataSet!$N$2:$N$600,DataSet!$Q$2:$Q$600,0)</f>
        <v>Wilson Jones Leather-Like Binders with DublLock Round Rings</v>
      </c>
      <c r="N48" s="16">
        <f>_xlfn.XLOOKUP(B48,DataSet!$N$2:$N$600,DataSet!$AA$2:$AA$600,0)</f>
        <v>17.46</v>
      </c>
      <c r="O48" s="10">
        <f>_xlfn.XLOOKUP(B48,DataSet!$N$2:$N$600,DataSet!$S$2:$S$600,0)</f>
        <v>2</v>
      </c>
      <c r="P48" s="15">
        <f>_xlfn.XLOOKUP(B48,DataSet!$N$2:$N$600,DataSet!$T$2:$T$600,0)</f>
        <v>0</v>
      </c>
      <c r="Q48" s="14">
        <f>_xlfn.XLOOKUP(B48,DataSet!$N$2:$N$600,DataSet!$U$2:$U$600,0)</f>
        <v>8.2062000000000008</v>
      </c>
      <c r="R48" s="16">
        <f>_xlfn.XLOOKUP(B48,DataSet!$N$2:$N$600,DataSet!$AB$2:$AB$600,0)</f>
        <v>34.92</v>
      </c>
      <c r="S48" s="9">
        <f>_xlfn.XLOOKUP(B48,DataSet!$N$2:$N$600,DataSet!$AC$2:$AC$600,0)</f>
        <v>34.92</v>
      </c>
    </row>
    <row r="49" spans="1:19" s="12" customFormat="1" x14ac:dyDescent="0.3">
      <c r="A49" s="27">
        <v>47</v>
      </c>
      <c r="B49" s="10" t="s">
        <v>237</v>
      </c>
      <c r="C49" s="10" t="str">
        <f>_xlfn.XLOOKUP(B49,DataSet!$N$2:$N$600,DataSet!$AF$2:$AF$600,0)</f>
        <v>146703</v>
      </c>
      <c r="D49" s="10" t="str">
        <f>_xlfn.XLOOKUP(B49,DataSet!$N$2:$N$600,DataSet!$G$2:$G$600,0)</f>
        <v>Patrick O'Donnell</v>
      </c>
      <c r="E49" s="10" t="str">
        <f>_xlfn.XLOOKUP(B49,DataSet!$N$2:$N$600,DataSet!$F$2:$F$600,0)</f>
        <v>PO-18865</v>
      </c>
      <c r="F49" s="10" t="str">
        <f>_xlfn.XLOOKUP(B49,DataSet!$N$2:$N$600,DataSet!$W$2:$W$600,0)</f>
        <v>Consumer</v>
      </c>
      <c r="G49" s="13">
        <f>_xlfn.XLOOKUP(B49,DataSet!$N$2:$N$600,DataSet!$C$2:$C$600,0)</f>
        <v>41932</v>
      </c>
      <c r="H49" s="10" t="str">
        <f>_xlfn.XLOOKUP(B49,DataSet!$N$2:$N$600,DataSet!$I$2:$I$600,0)</f>
        <v>United States</v>
      </c>
      <c r="I49" s="10" t="str">
        <f>_xlfn.XLOOKUP(B49,DataSet!$N$2:$N$600,DataSet!$X$2:$X$600,0)</f>
        <v>Westland - Michigan</v>
      </c>
      <c r="J49" s="10" t="str">
        <f>_xlfn.XLOOKUP(B49,DataSet!$N$2:$N$600,DataSet!$M$2:$M$600,0)</f>
        <v>Central</v>
      </c>
      <c r="K49" s="10" t="str">
        <f>_xlfn.XLOOKUP(B49,DataSet!$N$2:$N$600,DataSet!$O$2:$O$600,0)</f>
        <v>Office Supplies</v>
      </c>
      <c r="L49" s="10" t="str">
        <f>_xlfn.XLOOKUP(B49,DataSet!$N$2:$N$600,DataSet!$Y$2:$Y$600,0)</f>
        <v>Storage</v>
      </c>
      <c r="M49" s="10" t="str">
        <f>_xlfn.XLOOKUP(B49,DataSet!$N$2:$N$600,DataSet!$Q$2:$Q$600,0)</f>
        <v>Gould Plastics 9-Pocket Panel Bin, 18-3/8w x 5-1/4d x 20-1/2h, Black</v>
      </c>
      <c r="N49" s="16">
        <f>_xlfn.XLOOKUP(B49,DataSet!$N$2:$N$600,DataSet!$AA$2:$AA$600,0)</f>
        <v>211.96</v>
      </c>
      <c r="O49" s="10">
        <f>_xlfn.XLOOKUP(B49,DataSet!$N$2:$N$600,DataSet!$S$2:$S$600,0)</f>
        <v>4</v>
      </c>
      <c r="P49" s="15">
        <f>_xlfn.XLOOKUP(B49,DataSet!$N$2:$N$600,DataSet!$T$2:$T$600,0)</f>
        <v>0</v>
      </c>
      <c r="Q49" s="14">
        <f>_xlfn.XLOOKUP(B49,DataSet!$N$2:$N$600,DataSet!$U$2:$U$600,0)</f>
        <v>8.4784000000000006</v>
      </c>
      <c r="R49" s="16">
        <f>_xlfn.XLOOKUP(B49,DataSet!$N$2:$N$600,DataSet!$AB$2:$AB$600,0)</f>
        <v>847.84</v>
      </c>
      <c r="S49" s="9">
        <f>_xlfn.XLOOKUP(B49,DataSet!$N$2:$N$600,DataSet!$AC$2:$AC$600,0)</f>
        <v>847.84</v>
      </c>
    </row>
    <row r="50" spans="1:19" s="12" customFormat="1" x14ac:dyDescent="0.3">
      <c r="A50" s="27">
        <v>48</v>
      </c>
      <c r="B50" s="10" t="s">
        <v>244</v>
      </c>
      <c r="C50" s="10" t="str">
        <f>_xlfn.XLOOKUP(B50,DataSet!$N$2:$N$600,DataSet!$AF$2:$AF$600,0)</f>
        <v>169194</v>
      </c>
      <c r="D50" s="10" t="str">
        <f>_xlfn.XLOOKUP(B50,DataSet!$N$2:$N$600,DataSet!$G$2:$G$600,0)</f>
        <v>Lena Hernandez</v>
      </c>
      <c r="E50" s="10" t="str">
        <f>_xlfn.XLOOKUP(B50,DataSet!$N$2:$N$600,DataSet!$F$2:$F$600,0)</f>
        <v>LH-16900</v>
      </c>
      <c r="F50" s="10" t="str">
        <f>_xlfn.XLOOKUP(B50,DataSet!$N$2:$N$600,DataSet!$W$2:$W$600,0)</f>
        <v>Consumer</v>
      </c>
      <c r="G50" s="13">
        <f>_xlfn.XLOOKUP(B50,DataSet!$N$2:$N$600,DataSet!$C$2:$C$600,0)</f>
        <v>42541</v>
      </c>
      <c r="H50" s="10" t="str">
        <f>_xlfn.XLOOKUP(B50,DataSet!$N$2:$N$600,DataSet!$I$2:$I$600,0)</f>
        <v>United States</v>
      </c>
      <c r="I50" s="10" t="str">
        <f>_xlfn.XLOOKUP(B50,DataSet!$N$2:$N$600,DataSet!$X$2:$X$600,0)</f>
        <v>Dover - Delaware</v>
      </c>
      <c r="J50" s="10" t="str">
        <f>_xlfn.XLOOKUP(B50,DataSet!$N$2:$N$600,DataSet!$M$2:$M$600,0)</f>
        <v>East</v>
      </c>
      <c r="K50" s="10" t="str">
        <f>_xlfn.XLOOKUP(B50,DataSet!$N$2:$N$600,DataSet!$O$2:$O$600,0)</f>
        <v>Technology</v>
      </c>
      <c r="L50" s="10" t="str">
        <f>_xlfn.XLOOKUP(B50,DataSet!$N$2:$N$600,DataSet!$Y$2:$Y$600,0)</f>
        <v>Accessories</v>
      </c>
      <c r="M50" s="10" t="str">
        <f>_xlfn.XLOOKUP(B50,DataSet!$N$2:$N$600,DataSet!$Q$2:$Q$600,0)</f>
        <v>Imation 8gb Micro Traveldrive Usb 2.0 Flash Drive</v>
      </c>
      <c r="N50" s="16">
        <f>_xlfn.XLOOKUP(B50,DataSet!$N$2:$N$600,DataSet!$AA$2:$AA$600,0)</f>
        <v>45</v>
      </c>
      <c r="O50" s="10">
        <f>_xlfn.XLOOKUP(B50,DataSet!$N$2:$N$600,DataSet!$S$2:$S$600,0)</f>
        <v>3</v>
      </c>
      <c r="P50" s="15">
        <f>_xlfn.XLOOKUP(B50,DataSet!$N$2:$N$600,DataSet!$T$2:$T$600,0)</f>
        <v>0</v>
      </c>
      <c r="Q50" s="14">
        <f>_xlfn.XLOOKUP(B50,DataSet!$N$2:$N$600,DataSet!$U$2:$U$600,0)</f>
        <v>4.95</v>
      </c>
      <c r="R50" s="16">
        <f>_xlfn.XLOOKUP(B50,DataSet!$N$2:$N$600,DataSet!$AB$2:$AB$600,0)</f>
        <v>135</v>
      </c>
      <c r="S50" s="9">
        <f>_xlfn.XLOOKUP(B50,DataSet!$N$2:$N$600,DataSet!$AC$2:$AC$600,0)</f>
        <v>135</v>
      </c>
    </row>
    <row r="51" spans="1:19" s="12" customFormat="1" x14ac:dyDescent="0.3">
      <c r="A51" s="27">
        <v>49</v>
      </c>
      <c r="B51" s="10" t="s">
        <v>246</v>
      </c>
      <c r="C51" s="10" t="str">
        <f>_xlfn.XLOOKUP(B51,DataSet!$N$2:$N$600,DataSet!$AF$2:$AF$600,0)</f>
        <v>169194</v>
      </c>
      <c r="D51" s="10" t="str">
        <f>_xlfn.XLOOKUP(B51,DataSet!$N$2:$N$600,DataSet!$G$2:$G$600,0)</f>
        <v>Lena Hernandez</v>
      </c>
      <c r="E51" s="10" t="str">
        <f>_xlfn.XLOOKUP(B51,DataSet!$N$2:$N$600,DataSet!$F$2:$F$600,0)</f>
        <v>LH-16900</v>
      </c>
      <c r="F51" s="10" t="str">
        <f>_xlfn.XLOOKUP(B51,DataSet!$N$2:$N$600,DataSet!$W$2:$W$600,0)</f>
        <v>Consumer</v>
      </c>
      <c r="G51" s="13">
        <f>_xlfn.XLOOKUP(B51,DataSet!$N$2:$N$600,DataSet!$C$2:$C$600,0)</f>
        <v>42541</v>
      </c>
      <c r="H51" s="10" t="str">
        <f>_xlfn.XLOOKUP(B51,DataSet!$N$2:$N$600,DataSet!$I$2:$I$600,0)</f>
        <v>United States</v>
      </c>
      <c r="I51" s="10" t="str">
        <f>_xlfn.XLOOKUP(B51,DataSet!$N$2:$N$600,DataSet!$X$2:$X$600,0)</f>
        <v>Dover - Delaware</v>
      </c>
      <c r="J51" s="10" t="str">
        <f>_xlfn.XLOOKUP(B51,DataSet!$N$2:$N$600,DataSet!$M$2:$M$600,0)</f>
        <v>East</v>
      </c>
      <c r="K51" s="10" t="str">
        <f>_xlfn.XLOOKUP(B51,DataSet!$N$2:$N$600,DataSet!$O$2:$O$600,0)</f>
        <v>Technology</v>
      </c>
      <c r="L51" s="10" t="str">
        <f>_xlfn.XLOOKUP(B51,DataSet!$N$2:$N$600,DataSet!$Y$2:$Y$600,0)</f>
        <v>Phones</v>
      </c>
      <c r="M51" s="10" t="str">
        <f>_xlfn.XLOOKUP(B51,DataSet!$N$2:$N$600,DataSet!$Q$2:$Q$600,0)</f>
        <v>LF Elite 3D Dazzle Designer Hard Case Cover, Lf Stylus Pen and Wiper For Apple Iphone 5c Mini Lite</v>
      </c>
      <c r="N51" s="16">
        <f>_xlfn.XLOOKUP(B51,DataSet!$N$2:$N$600,DataSet!$AA$2:$AA$600,0)</f>
        <v>21.8</v>
      </c>
      <c r="O51" s="10">
        <f>_xlfn.XLOOKUP(B51,DataSet!$N$2:$N$600,DataSet!$S$2:$S$600,0)</f>
        <v>2</v>
      </c>
      <c r="P51" s="15">
        <f>_xlfn.XLOOKUP(B51,DataSet!$N$2:$N$600,DataSet!$T$2:$T$600,0)</f>
        <v>0</v>
      </c>
      <c r="Q51" s="14">
        <f>_xlfn.XLOOKUP(B51,DataSet!$N$2:$N$600,DataSet!$U$2:$U$600,0)</f>
        <v>6.1040000000000001</v>
      </c>
      <c r="R51" s="16">
        <f>_xlfn.XLOOKUP(B51,DataSet!$N$2:$N$600,DataSet!$AB$2:$AB$600,0)</f>
        <v>43.6</v>
      </c>
      <c r="S51" s="9">
        <f>_xlfn.XLOOKUP(B51,DataSet!$N$2:$N$600,DataSet!$AC$2:$AC$600,0)</f>
        <v>43.6</v>
      </c>
    </row>
    <row r="52" spans="1:19" s="12" customFormat="1" x14ac:dyDescent="0.3">
      <c r="A52" s="27">
        <v>50</v>
      </c>
      <c r="B52" s="10" t="s">
        <v>253</v>
      </c>
      <c r="C52" s="10" t="str">
        <f>_xlfn.XLOOKUP(B52,DataSet!$N$2:$N$600,DataSet!$AF$2:$AF$600,0)</f>
        <v>115742</v>
      </c>
      <c r="D52" s="10" t="str">
        <f>_xlfn.XLOOKUP(B52,DataSet!$N$2:$N$600,DataSet!$G$2:$G$600,0)</f>
        <v>Darren Powers</v>
      </c>
      <c r="E52" s="10" t="str">
        <f>_xlfn.XLOOKUP(B52,DataSet!$N$2:$N$600,DataSet!$F$2:$F$600,0)</f>
        <v>DP-13000</v>
      </c>
      <c r="F52" s="10" t="str">
        <f>_xlfn.XLOOKUP(B52,DataSet!$N$2:$N$600,DataSet!$W$2:$W$600,0)</f>
        <v>Consumer</v>
      </c>
      <c r="G52" s="13">
        <f>_xlfn.XLOOKUP(B52,DataSet!$N$2:$N$600,DataSet!$C$2:$C$600,0)</f>
        <v>42112</v>
      </c>
      <c r="H52" s="10" t="str">
        <f>_xlfn.XLOOKUP(B52,DataSet!$N$2:$N$600,DataSet!$I$2:$I$600,0)</f>
        <v>United States</v>
      </c>
      <c r="I52" s="10" t="str">
        <f>_xlfn.XLOOKUP(B52,DataSet!$N$2:$N$600,DataSet!$X$2:$X$600,0)</f>
        <v>New Albany - Indiana</v>
      </c>
      <c r="J52" s="10" t="str">
        <f>_xlfn.XLOOKUP(B52,DataSet!$N$2:$N$600,DataSet!$M$2:$M$600,0)</f>
        <v>Central</v>
      </c>
      <c r="K52" s="10" t="str">
        <f>_xlfn.XLOOKUP(B52,DataSet!$N$2:$N$600,DataSet!$O$2:$O$600,0)</f>
        <v>Office Supplies</v>
      </c>
      <c r="L52" s="10" t="str">
        <f>_xlfn.XLOOKUP(B52,DataSet!$N$2:$N$600,DataSet!$Y$2:$Y$600,0)</f>
        <v>Binders</v>
      </c>
      <c r="M52" s="10" t="str">
        <f>_xlfn.XLOOKUP(B52,DataSet!$N$2:$N$600,DataSet!$Q$2:$Q$600,0)</f>
        <v>C-Line Peel &amp; Stick Add-On Filing Pockets, 8-3/4 x 5-1/8, 10/Pack</v>
      </c>
      <c r="N52" s="16">
        <f>_xlfn.XLOOKUP(B52,DataSet!$N$2:$N$600,DataSet!$AA$2:$AA$600,0)</f>
        <v>38.22</v>
      </c>
      <c r="O52" s="10">
        <f>_xlfn.XLOOKUP(B52,DataSet!$N$2:$N$600,DataSet!$S$2:$S$600,0)</f>
        <v>6</v>
      </c>
      <c r="P52" s="15">
        <f>_xlfn.XLOOKUP(B52,DataSet!$N$2:$N$600,DataSet!$T$2:$T$600,0)</f>
        <v>0</v>
      </c>
      <c r="Q52" s="14">
        <f>_xlfn.XLOOKUP(B52,DataSet!$N$2:$N$600,DataSet!$U$2:$U$600,0)</f>
        <v>17.9634</v>
      </c>
      <c r="R52" s="16">
        <f>_xlfn.XLOOKUP(B52,DataSet!$N$2:$N$600,DataSet!$AB$2:$AB$600,0)</f>
        <v>229.32</v>
      </c>
      <c r="S52" s="9">
        <f>_xlfn.XLOOKUP(B52,DataSet!$N$2:$N$600,DataSet!$AC$2:$AC$600,0)</f>
        <v>229.32</v>
      </c>
    </row>
    <row r="53" spans="1:19" s="12" customFormat="1" x14ac:dyDescent="0.3">
      <c r="A53" s="27">
        <v>51</v>
      </c>
      <c r="B53" s="10" t="s">
        <v>255</v>
      </c>
      <c r="C53" s="10" t="str">
        <f>_xlfn.XLOOKUP(B53,DataSet!$N$2:$N$600,DataSet!$AF$2:$AF$600,0)</f>
        <v>115742</v>
      </c>
      <c r="D53" s="10" t="str">
        <f>_xlfn.XLOOKUP(B53,DataSet!$N$2:$N$600,DataSet!$G$2:$G$600,0)</f>
        <v>Darren Powers</v>
      </c>
      <c r="E53" s="10" t="str">
        <f>_xlfn.XLOOKUP(B53,DataSet!$N$2:$N$600,DataSet!$F$2:$F$600,0)</f>
        <v>DP-13000</v>
      </c>
      <c r="F53" s="10" t="str">
        <f>_xlfn.XLOOKUP(B53,DataSet!$N$2:$N$600,DataSet!$W$2:$W$600,0)</f>
        <v>Consumer</v>
      </c>
      <c r="G53" s="13">
        <f>_xlfn.XLOOKUP(B53,DataSet!$N$2:$N$600,DataSet!$C$2:$C$600,0)</f>
        <v>42112</v>
      </c>
      <c r="H53" s="10" t="str">
        <f>_xlfn.XLOOKUP(B53,DataSet!$N$2:$N$600,DataSet!$I$2:$I$600,0)</f>
        <v>United States</v>
      </c>
      <c r="I53" s="10" t="str">
        <f>_xlfn.XLOOKUP(B53,DataSet!$N$2:$N$600,DataSet!$X$2:$X$600,0)</f>
        <v>New Albany - Indiana</v>
      </c>
      <c r="J53" s="10" t="str">
        <f>_xlfn.XLOOKUP(B53,DataSet!$N$2:$N$600,DataSet!$M$2:$M$600,0)</f>
        <v>Central</v>
      </c>
      <c r="K53" s="10" t="str">
        <f>_xlfn.XLOOKUP(B53,DataSet!$N$2:$N$600,DataSet!$O$2:$O$600,0)</f>
        <v>Office Supplies</v>
      </c>
      <c r="L53" s="10" t="str">
        <f>_xlfn.XLOOKUP(B53,DataSet!$N$2:$N$600,DataSet!$Y$2:$Y$600,0)</f>
        <v>Labels</v>
      </c>
      <c r="M53" s="10" t="str">
        <f>_xlfn.XLOOKUP(B53,DataSet!$N$2:$N$600,DataSet!$Q$2:$Q$600,0)</f>
        <v>Avery 485</v>
      </c>
      <c r="N53" s="16">
        <f>_xlfn.XLOOKUP(B53,DataSet!$N$2:$N$600,DataSet!$AA$2:$AA$600,0)</f>
        <v>75.180000000000007</v>
      </c>
      <c r="O53" s="10">
        <f>_xlfn.XLOOKUP(B53,DataSet!$N$2:$N$600,DataSet!$S$2:$S$600,0)</f>
        <v>6</v>
      </c>
      <c r="P53" s="15">
        <f>_xlfn.XLOOKUP(B53,DataSet!$N$2:$N$600,DataSet!$T$2:$T$600,0)</f>
        <v>0</v>
      </c>
      <c r="Q53" s="14">
        <f>_xlfn.XLOOKUP(B53,DataSet!$N$2:$N$600,DataSet!$U$2:$U$600,0)</f>
        <v>35.334600000000002</v>
      </c>
      <c r="R53" s="16">
        <f>_xlfn.XLOOKUP(B53,DataSet!$N$2:$N$600,DataSet!$AB$2:$AB$600,0)</f>
        <v>451.08000000000004</v>
      </c>
      <c r="S53" s="9">
        <f>_xlfn.XLOOKUP(B53,DataSet!$N$2:$N$600,DataSet!$AC$2:$AC$600,0)</f>
        <v>451.08000000000004</v>
      </c>
    </row>
    <row r="54" spans="1:19" s="12" customFormat="1" x14ac:dyDescent="0.3">
      <c r="A54" s="27">
        <v>52</v>
      </c>
      <c r="B54" s="10" t="s">
        <v>257</v>
      </c>
      <c r="C54" s="10" t="str">
        <f>_xlfn.XLOOKUP(B54,DataSet!$N$2:$N$600,DataSet!$AF$2:$AF$600,0)</f>
        <v>115742</v>
      </c>
      <c r="D54" s="10" t="str">
        <f>_xlfn.XLOOKUP(B54,DataSet!$N$2:$N$600,DataSet!$G$2:$G$600,0)</f>
        <v>Darren Powers</v>
      </c>
      <c r="E54" s="10" t="str">
        <f>_xlfn.XLOOKUP(B54,DataSet!$N$2:$N$600,DataSet!$F$2:$F$600,0)</f>
        <v>DP-13000</v>
      </c>
      <c r="F54" s="10" t="str">
        <f>_xlfn.XLOOKUP(B54,DataSet!$N$2:$N$600,DataSet!$W$2:$W$600,0)</f>
        <v>Consumer</v>
      </c>
      <c r="G54" s="13">
        <f>_xlfn.XLOOKUP(B54,DataSet!$N$2:$N$600,DataSet!$C$2:$C$600,0)</f>
        <v>42112</v>
      </c>
      <c r="H54" s="10" t="str">
        <f>_xlfn.XLOOKUP(B54,DataSet!$N$2:$N$600,DataSet!$I$2:$I$600,0)</f>
        <v>United States</v>
      </c>
      <c r="I54" s="10" t="str">
        <f>_xlfn.XLOOKUP(B54,DataSet!$N$2:$N$600,DataSet!$X$2:$X$600,0)</f>
        <v>New Albany - Indiana</v>
      </c>
      <c r="J54" s="10" t="str">
        <f>_xlfn.XLOOKUP(B54,DataSet!$N$2:$N$600,DataSet!$M$2:$M$600,0)</f>
        <v>Central</v>
      </c>
      <c r="K54" s="10" t="str">
        <f>_xlfn.XLOOKUP(B54,DataSet!$N$2:$N$600,DataSet!$O$2:$O$600,0)</f>
        <v>Furniture</v>
      </c>
      <c r="L54" s="10" t="str">
        <f>_xlfn.XLOOKUP(B54,DataSet!$N$2:$N$600,DataSet!$Y$2:$Y$600,0)</f>
        <v>Furnishings</v>
      </c>
      <c r="M54" s="10" t="str">
        <f>_xlfn.XLOOKUP(B54,DataSet!$N$2:$N$600,DataSet!$Q$2:$Q$600,0)</f>
        <v>Longer-Life Soft White Bulbs</v>
      </c>
      <c r="N54" s="16">
        <f>_xlfn.XLOOKUP(B54,DataSet!$N$2:$N$600,DataSet!$AA$2:$AA$600,0)</f>
        <v>6.16</v>
      </c>
      <c r="O54" s="10">
        <f>_xlfn.XLOOKUP(B54,DataSet!$N$2:$N$600,DataSet!$S$2:$S$600,0)</f>
        <v>2</v>
      </c>
      <c r="P54" s="15">
        <f>_xlfn.XLOOKUP(B54,DataSet!$N$2:$N$600,DataSet!$T$2:$T$600,0)</f>
        <v>0</v>
      </c>
      <c r="Q54" s="14">
        <f>_xlfn.XLOOKUP(B54,DataSet!$N$2:$N$600,DataSet!$U$2:$U$600,0)</f>
        <v>2.9567999999999999</v>
      </c>
      <c r="R54" s="16">
        <f>_xlfn.XLOOKUP(B54,DataSet!$N$2:$N$600,DataSet!$AB$2:$AB$600,0)</f>
        <v>12.32</v>
      </c>
      <c r="S54" s="9">
        <f>_xlfn.XLOOKUP(B54,DataSet!$N$2:$N$600,DataSet!$AC$2:$AC$600,0)</f>
        <v>12.32</v>
      </c>
    </row>
    <row r="55" spans="1:19" s="12" customFormat="1" x14ac:dyDescent="0.3">
      <c r="A55" s="27">
        <v>53</v>
      </c>
      <c r="B55" s="10" t="s">
        <v>259</v>
      </c>
      <c r="C55" s="10" t="str">
        <f>_xlfn.XLOOKUP(B55,DataSet!$N$2:$N$600,DataSet!$AF$2:$AF$600,0)</f>
        <v>115742</v>
      </c>
      <c r="D55" s="10" t="str">
        <f>_xlfn.XLOOKUP(B55,DataSet!$N$2:$N$600,DataSet!$G$2:$G$600,0)</f>
        <v>Darren Powers</v>
      </c>
      <c r="E55" s="10" t="str">
        <f>_xlfn.XLOOKUP(B55,DataSet!$N$2:$N$600,DataSet!$F$2:$F$600,0)</f>
        <v>DP-13000</v>
      </c>
      <c r="F55" s="10" t="str">
        <f>_xlfn.XLOOKUP(B55,DataSet!$N$2:$N$600,DataSet!$W$2:$W$600,0)</f>
        <v>Consumer</v>
      </c>
      <c r="G55" s="13">
        <f>_xlfn.XLOOKUP(B55,DataSet!$N$2:$N$600,DataSet!$C$2:$C$600,0)</f>
        <v>42112</v>
      </c>
      <c r="H55" s="10" t="str">
        <f>_xlfn.XLOOKUP(B55,DataSet!$N$2:$N$600,DataSet!$I$2:$I$600,0)</f>
        <v>United States</v>
      </c>
      <c r="I55" s="10" t="str">
        <f>_xlfn.XLOOKUP(B55,DataSet!$N$2:$N$600,DataSet!$X$2:$X$600,0)</f>
        <v>New Albany - Indiana</v>
      </c>
      <c r="J55" s="10" t="str">
        <f>_xlfn.XLOOKUP(B55,DataSet!$N$2:$N$600,DataSet!$M$2:$M$600,0)</f>
        <v>Central</v>
      </c>
      <c r="K55" s="10" t="str">
        <f>_xlfn.XLOOKUP(B55,DataSet!$N$2:$N$600,DataSet!$O$2:$O$600,0)</f>
        <v>Furniture</v>
      </c>
      <c r="L55" s="10" t="str">
        <f>_xlfn.XLOOKUP(B55,DataSet!$N$2:$N$600,DataSet!$Y$2:$Y$600,0)</f>
        <v>Chairs</v>
      </c>
      <c r="M55" s="10" t="str">
        <f>_xlfn.XLOOKUP(B55,DataSet!$N$2:$N$600,DataSet!$Q$2:$Q$600,0)</f>
        <v>Global Leather Task Chair, Black</v>
      </c>
      <c r="N55" s="16">
        <f>_xlfn.XLOOKUP(B55,DataSet!$N$2:$N$600,DataSet!$AA$2:$AA$600,0)</f>
        <v>89.99</v>
      </c>
      <c r="O55" s="10">
        <f>_xlfn.XLOOKUP(B55,DataSet!$N$2:$N$600,DataSet!$S$2:$S$600,0)</f>
        <v>1</v>
      </c>
      <c r="P55" s="15">
        <f>_xlfn.XLOOKUP(B55,DataSet!$N$2:$N$600,DataSet!$T$2:$T$600,0)</f>
        <v>0</v>
      </c>
      <c r="Q55" s="14">
        <f>_xlfn.XLOOKUP(B55,DataSet!$N$2:$N$600,DataSet!$U$2:$U$600,0)</f>
        <v>17.098099999999999</v>
      </c>
      <c r="R55" s="16">
        <f>_xlfn.XLOOKUP(B55,DataSet!$N$2:$N$600,DataSet!$AB$2:$AB$600,0)</f>
        <v>89.99</v>
      </c>
      <c r="S55" s="9">
        <f>_xlfn.XLOOKUP(B55,DataSet!$N$2:$N$600,DataSet!$AC$2:$AC$600,0)</f>
        <v>89.99</v>
      </c>
    </row>
    <row r="56" spans="1:19" s="12" customFormat="1" x14ac:dyDescent="0.3">
      <c r="A56" s="27">
        <v>54</v>
      </c>
      <c r="B56" s="10" t="s">
        <v>266</v>
      </c>
      <c r="C56" s="10" t="str">
        <f>_xlfn.XLOOKUP(B56,DataSet!$N$2:$N$600,DataSet!$AF$2:$AF$600,0)</f>
        <v>105816</v>
      </c>
      <c r="D56" s="10" t="str">
        <f>_xlfn.XLOOKUP(B56,DataSet!$N$2:$N$600,DataSet!$G$2:$G$600,0)</f>
        <v>Janet Molinari</v>
      </c>
      <c r="E56" s="10" t="str">
        <f>_xlfn.XLOOKUP(B56,DataSet!$N$2:$N$600,DataSet!$F$2:$F$600,0)</f>
        <v>JM-15265</v>
      </c>
      <c r="F56" s="10" t="str">
        <f>_xlfn.XLOOKUP(B56,DataSet!$N$2:$N$600,DataSet!$W$2:$W$600,0)</f>
        <v>Corporate</v>
      </c>
      <c r="G56" s="13">
        <f>_xlfn.XLOOKUP(B56,DataSet!$N$2:$N$600,DataSet!$C$2:$C$600,0)</f>
        <v>42715</v>
      </c>
      <c r="H56" s="10" t="str">
        <f>_xlfn.XLOOKUP(B56,DataSet!$N$2:$N$600,DataSet!$I$2:$I$600,0)</f>
        <v>United States</v>
      </c>
      <c r="I56" s="10" t="str">
        <f>_xlfn.XLOOKUP(B56,DataSet!$N$2:$N$600,DataSet!$X$2:$X$600,0)</f>
        <v>New York City - New York</v>
      </c>
      <c r="J56" s="10" t="str">
        <f>_xlfn.XLOOKUP(B56,DataSet!$N$2:$N$600,DataSet!$M$2:$M$600,0)</f>
        <v>East</v>
      </c>
      <c r="K56" s="10" t="str">
        <f>_xlfn.XLOOKUP(B56,DataSet!$N$2:$N$600,DataSet!$O$2:$O$600,0)</f>
        <v>Office Supplies</v>
      </c>
      <c r="L56" s="10" t="str">
        <f>_xlfn.XLOOKUP(B56,DataSet!$N$2:$N$600,DataSet!$Y$2:$Y$600,0)</f>
        <v>Fasteners</v>
      </c>
      <c r="M56" s="10" t="str">
        <f>_xlfn.XLOOKUP(B56,DataSet!$N$2:$N$600,DataSet!$Q$2:$Q$600,0)</f>
        <v>Advantus Push Pins</v>
      </c>
      <c r="N56" s="16">
        <f>_xlfn.XLOOKUP(B56,DataSet!$N$2:$N$600,DataSet!$AA$2:$AA$600,0)</f>
        <v>15.26</v>
      </c>
      <c r="O56" s="10">
        <f>_xlfn.XLOOKUP(B56,DataSet!$N$2:$N$600,DataSet!$S$2:$S$600,0)</f>
        <v>7</v>
      </c>
      <c r="P56" s="15">
        <f>_xlfn.XLOOKUP(B56,DataSet!$N$2:$N$600,DataSet!$T$2:$T$600,0)</f>
        <v>0</v>
      </c>
      <c r="Q56" s="14">
        <f>_xlfn.XLOOKUP(B56,DataSet!$N$2:$N$600,DataSet!$U$2:$U$600,0)</f>
        <v>6.2565999999999997</v>
      </c>
      <c r="R56" s="16">
        <f>_xlfn.XLOOKUP(B56,DataSet!$N$2:$N$600,DataSet!$AB$2:$AB$600,0)</f>
        <v>106.82</v>
      </c>
      <c r="S56" s="9">
        <f>_xlfn.XLOOKUP(B56,DataSet!$N$2:$N$600,DataSet!$AC$2:$AC$600,0)</f>
        <v>106.82</v>
      </c>
    </row>
    <row r="57" spans="1:19" s="12" customFormat="1" x14ac:dyDescent="0.3">
      <c r="A57" s="27">
        <v>55</v>
      </c>
      <c r="B57" s="10" t="s">
        <v>269</v>
      </c>
      <c r="C57" s="10" t="str">
        <f>_xlfn.XLOOKUP(B57,DataSet!$N$2:$N$600,DataSet!$AF$2:$AF$600,0)</f>
        <v>105816</v>
      </c>
      <c r="D57" s="10" t="str">
        <f>_xlfn.XLOOKUP(B57,DataSet!$N$2:$N$600,DataSet!$G$2:$G$600,0)</f>
        <v>Janet Molinari</v>
      </c>
      <c r="E57" s="10" t="str">
        <f>_xlfn.XLOOKUP(B57,DataSet!$N$2:$N$600,DataSet!$F$2:$F$600,0)</f>
        <v>JM-15265</v>
      </c>
      <c r="F57" s="10" t="str">
        <f>_xlfn.XLOOKUP(B57,DataSet!$N$2:$N$600,DataSet!$W$2:$W$600,0)</f>
        <v>Corporate</v>
      </c>
      <c r="G57" s="13">
        <f>_xlfn.XLOOKUP(B57,DataSet!$N$2:$N$600,DataSet!$C$2:$C$600,0)</f>
        <v>42715</v>
      </c>
      <c r="H57" s="10" t="str">
        <f>_xlfn.XLOOKUP(B57,DataSet!$N$2:$N$600,DataSet!$I$2:$I$600,0)</f>
        <v>United States</v>
      </c>
      <c r="I57" s="10" t="str">
        <f>_xlfn.XLOOKUP(B57,DataSet!$N$2:$N$600,DataSet!$X$2:$X$600,0)</f>
        <v>New York City - New York</v>
      </c>
      <c r="J57" s="10" t="str">
        <f>_xlfn.XLOOKUP(B57,DataSet!$N$2:$N$600,DataSet!$M$2:$M$600,0)</f>
        <v>East</v>
      </c>
      <c r="K57" s="10" t="str">
        <f>_xlfn.XLOOKUP(B57,DataSet!$N$2:$N$600,DataSet!$O$2:$O$600,0)</f>
        <v>Technology</v>
      </c>
      <c r="L57" s="10" t="str">
        <f>_xlfn.XLOOKUP(B57,DataSet!$N$2:$N$600,DataSet!$Y$2:$Y$600,0)</f>
        <v>Phones</v>
      </c>
      <c r="M57" s="10" t="str">
        <f>_xlfn.XLOOKUP(B57,DataSet!$N$2:$N$600,DataSet!$Q$2:$Q$600,0)</f>
        <v>AT&amp;T CL83451 4-Handset Telephone</v>
      </c>
      <c r="N57" s="16">
        <f>_xlfn.XLOOKUP(B57,DataSet!$N$2:$N$600,DataSet!$AA$2:$AA$600,0)</f>
        <v>1029.95</v>
      </c>
      <c r="O57" s="10">
        <f>_xlfn.XLOOKUP(B57,DataSet!$N$2:$N$600,DataSet!$S$2:$S$600,0)</f>
        <v>5</v>
      </c>
      <c r="P57" s="15">
        <f>_xlfn.XLOOKUP(B57,DataSet!$N$2:$N$600,DataSet!$T$2:$T$600,0)</f>
        <v>0</v>
      </c>
      <c r="Q57" s="14">
        <f>_xlfn.XLOOKUP(B57,DataSet!$N$2:$N$600,DataSet!$U$2:$U$600,0)</f>
        <v>298.68549999999999</v>
      </c>
      <c r="R57" s="16">
        <f>_xlfn.XLOOKUP(B57,DataSet!$N$2:$N$600,DataSet!$AB$2:$AB$600,0)</f>
        <v>5149.75</v>
      </c>
      <c r="S57" s="9">
        <f>_xlfn.XLOOKUP(B57,DataSet!$N$2:$N$600,DataSet!$AC$2:$AC$600,0)</f>
        <v>5149.75</v>
      </c>
    </row>
    <row r="58" spans="1:19" s="12" customFormat="1" x14ac:dyDescent="0.3">
      <c r="A58" s="27">
        <v>56</v>
      </c>
      <c r="B58" s="10" t="s">
        <v>275</v>
      </c>
      <c r="C58" s="10" t="str">
        <f>_xlfn.XLOOKUP(B58,DataSet!$N$2:$N$600,DataSet!$AF$2:$AF$600,0)</f>
        <v>111682</v>
      </c>
      <c r="D58" s="10" t="str">
        <f>_xlfn.XLOOKUP(B58,DataSet!$N$2:$N$600,DataSet!$G$2:$G$600,0)</f>
        <v>Ted Butterfield</v>
      </c>
      <c r="E58" s="10" t="str">
        <f>_xlfn.XLOOKUP(B58,DataSet!$N$2:$N$600,DataSet!$F$2:$F$600,0)</f>
        <v>TB-21055</v>
      </c>
      <c r="F58" s="10" t="str">
        <f>_xlfn.XLOOKUP(B58,DataSet!$N$2:$N$600,DataSet!$W$2:$W$600,0)</f>
        <v>Consumer</v>
      </c>
      <c r="G58" s="13">
        <f>_xlfn.XLOOKUP(B58,DataSet!$N$2:$N$600,DataSet!$C$2:$C$600,0)</f>
        <v>42538</v>
      </c>
      <c r="H58" s="10" t="str">
        <f>_xlfn.XLOOKUP(B58,DataSet!$N$2:$N$600,DataSet!$I$2:$I$600,0)</f>
        <v>United States</v>
      </c>
      <c r="I58" s="10" t="str">
        <f>_xlfn.XLOOKUP(B58,DataSet!$N$2:$N$600,DataSet!$X$2:$X$600,0)</f>
        <v>Troy - New York</v>
      </c>
      <c r="J58" s="10" t="str">
        <f>_xlfn.XLOOKUP(B58,DataSet!$N$2:$N$600,DataSet!$M$2:$M$600,0)</f>
        <v>East</v>
      </c>
      <c r="K58" s="10" t="str">
        <f>_xlfn.XLOOKUP(B58,DataSet!$N$2:$N$600,DataSet!$O$2:$O$600,0)</f>
        <v>Office Supplies</v>
      </c>
      <c r="L58" s="10" t="str">
        <f>_xlfn.XLOOKUP(B58,DataSet!$N$2:$N$600,DataSet!$Y$2:$Y$600,0)</f>
        <v>Storage</v>
      </c>
      <c r="M58" s="10" t="str">
        <f>_xlfn.XLOOKUP(B58,DataSet!$N$2:$N$600,DataSet!$Q$2:$Q$600,0)</f>
        <v>Home/Office Personal File Carts</v>
      </c>
      <c r="N58" s="16">
        <f>_xlfn.XLOOKUP(B58,DataSet!$N$2:$N$600,DataSet!$AA$2:$AA$600,0)</f>
        <v>208.56</v>
      </c>
      <c r="O58" s="10">
        <f>_xlfn.XLOOKUP(B58,DataSet!$N$2:$N$600,DataSet!$S$2:$S$600,0)</f>
        <v>6</v>
      </c>
      <c r="P58" s="15">
        <f>_xlfn.XLOOKUP(B58,DataSet!$N$2:$N$600,DataSet!$T$2:$T$600,0)</f>
        <v>0</v>
      </c>
      <c r="Q58" s="14">
        <f>_xlfn.XLOOKUP(B58,DataSet!$N$2:$N$600,DataSet!$U$2:$U$600,0)</f>
        <v>52.14</v>
      </c>
      <c r="R58" s="16">
        <f>_xlfn.XLOOKUP(B58,DataSet!$N$2:$N$600,DataSet!$AB$2:$AB$600,0)</f>
        <v>1251.3600000000001</v>
      </c>
      <c r="S58" s="9">
        <f>_xlfn.XLOOKUP(B58,DataSet!$N$2:$N$600,DataSet!$AC$2:$AC$600,0)</f>
        <v>1251.3600000000001</v>
      </c>
    </row>
    <row r="59" spans="1:19" s="12" customFormat="1" x14ac:dyDescent="0.3">
      <c r="A59" s="27">
        <v>57</v>
      </c>
      <c r="B59" s="10" t="s">
        <v>277</v>
      </c>
      <c r="C59" s="10" t="str">
        <f>_xlfn.XLOOKUP(B59,DataSet!$N$2:$N$600,DataSet!$AF$2:$AF$600,0)</f>
        <v>111682</v>
      </c>
      <c r="D59" s="10" t="str">
        <f>_xlfn.XLOOKUP(B59,DataSet!$N$2:$N$600,DataSet!$G$2:$G$600,0)</f>
        <v>Ted Butterfield</v>
      </c>
      <c r="E59" s="10" t="str">
        <f>_xlfn.XLOOKUP(B59,DataSet!$N$2:$N$600,DataSet!$F$2:$F$600,0)</f>
        <v>TB-21055</v>
      </c>
      <c r="F59" s="10" t="str">
        <f>_xlfn.XLOOKUP(B59,DataSet!$N$2:$N$600,DataSet!$W$2:$W$600,0)</f>
        <v>Consumer</v>
      </c>
      <c r="G59" s="13">
        <f>_xlfn.XLOOKUP(B59,DataSet!$N$2:$N$600,DataSet!$C$2:$C$600,0)</f>
        <v>42538</v>
      </c>
      <c r="H59" s="10" t="str">
        <f>_xlfn.XLOOKUP(B59,DataSet!$N$2:$N$600,DataSet!$I$2:$I$600,0)</f>
        <v>United States</v>
      </c>
      <c r="I59" s="10" t="str">
        <f>_xlfn.XLOOKUP(B59,DataSet!$N$2:$N$600,DataSet!$X$2:$X$600,0)</f>
        <v>Troy - New York</v>
      </c>
      <c r="J59" s="10" t="str">
        <f>_xlfn.XLOOKUP(B59,DataSet!$N$2:$N$600,DataSet!$M$2:$M$600,0)</f>
        <v>East</v>
      </c>
      <c r="K59" s="10" t="str">
        <f>_xlfn.XLOOKUP(B59,DataSet!$N$2:$N$600,DataSet!$O$2:$O$600,0)</f>
        <v>Office Supplies</v>
      </c>
      <c r="L59" s="10" t="str">
        <f>_xlfn.XLOOKUP(B59,DataSet!$N$2:$N$600,DataSet!$Y$2:$Y$600,0)</f>
        <v>Paper</v>
      </c>
      <c r="M59" s="10" t="str">
        <f>_xlfn.XLOOKUP(B59,DataSet!$N$2:$N$600,DataSet!$Q$2:$Q$600,0)</f>
        <v>Xerox 232</v>
      </c>
      <c r="N59" s="16">
        <f>_xlfn.XLOOKUP(B59,DataSet!$N$2:$N$600,DataSet!$AA$2:$AA$600,0)</f>
        <v>32.4</v>
      </c>
      <c r="O59" s="10">
        <f>_xlfn.XLOOKUP(B59,DataSet!$N$2:$N$600,DataSet!$S$2:$S$600,0)</f>
        <v>5</v>
      </c>
      <c r="P59" s="15">
        <f>_xlfn.XLOOKUP(B59,DataSet!$N$2:$N$600,DataSet!$T$2:$T$600,0)</f>
        <v>0</v>
      </c>
      <c r="Q59" s="14">
        <f>_xlfn.XLOOKUP(B59,DataSet!$N$2:$N$600,DataSet!$U$2:$U$600,0)</f>
        <v>15.552</v>
      </c>
      <c r="R59" s="16">
        <f>_xlfn.XLOOKUP(B59,DataSet!$N$2:$N$600,DataSet!$AB$2:$AB$600,0)</f>
        <v>162</v>
      </c>
      <c r="S59" s="9">
        <f>_xlfn.XLOOKUP(B59,DataSet!$N$2:$N$600,DataSet!$AC$2:$AC$600,0)</f>
        <v>162</v>
      </c>
    </row>
    <row r="60" spans="1:19" s="12" customFormat="1" x14ac:dyDescent="0.3">
      <c r="A60" s="27">
        <v>58</v>
      </c>
      <c r="B60" s="10" t="s">
        <v>279</v>
      </c>
      <c r="C60" s="10" t="str">
        <f>_xlfn.XLOOKUP(B60,DataSet!$N$2:$N$600,DataSet!$AF$2:$AF$600,0)</f>
        <v>111682</v>
      </c>
      <c r="D60" s="10" t="str">
        <f>_xlfn.XLOOKUP(B60,DataSet!$N$2:$N$600,DataSet!$G$2:$G$600,0)</f>
        <v>Ted Butterfield</v>
      </c>
      <c r="E60" s="10" t="str">
        <f>_xlfn.XLOOKUP(B60,DataSet!$N$2:$N$600,DataSet!$F$2:$F$600,0)</f>
        <v>TB-21055</v>
      </c>
      <c r="F60" s="10" t="str">
        <f>_xlfn.XLOOKUP(B60,DataSet!$N$2:$N$600,DataSet!$W$2:$W$600,0)</f>
        <v>Consumer</v>
      </c>
      <c r="G60" s="13">
        <f>_xlfn.XLOOKUP(B60,DataSet!$N$2:$N$600,DataSet!$C$2:$C$600,0)</f>
        <v>42538</v>
      </c>
      <c r="H60" s="10" t="str">
        <f>_xlfn.XLOOKUP(B60,DataSet!$N$2:$N$600,DataSet!$I$2:$I$600,0)</f>
        <v>United States</v>
      </c>
      <c r="I60" s="10" t="str">
        <f>_xlfn.XLOOKUP(B60,DataSet!$N$2:$N$600,DataSet!$X$2:$X$600,0)</f>
        <v>Troy - New York</v>
      </c>
      <c r="J60" s="10" t="str">
        <f>_xlfn.XLOOKUP(B60,DataSet!$N$2:$N$600,DataSet!$M$2:$M$600,0)</f>
        <v>East</v>
      </c>
      <c r="K60" s="10" t="str">
        <f>_xlfn.XLOOKUP(B60,DataSet!$N$2:$N$600,DataSet!$O$2:$O$600,0)</f>
        <v>Furniture</v>
      </c>
      <c r="L60" s="10" t="str">
        <f>_xlfn.XLOOKUP(B60,DataSet!$N$2:$N$600,DataSet!$Y$2:$Y$600,0)</f>
        <v>Chairs</v>
      </c>
      <c r="M60" s="10" t="str">
        <f>_xlfn.XLOOKUP(B60,DataSet!$N$2:$N$600,DataSet!$Q$2:$Q$600,0)</f>
        <v>Novimex Turbo Task Chair</v>
      </c>
      <c r="N60" s="16">
        <f>_xlfn.XLOOKUP(B60,DataSet!$N$2:$N$600,DataSet!$AA$2:$AA$600,0)</f>
        <v>319.41000000000003</v>
      </c>
      <c r="O60" s="10">
        <f>_xlfn.XLOOKUP(B60,DataSet!$N$2:$N$600,DataSet!$S$2:$S$600,0)</f>
        <v>5</v>
      </c>
      <c r="P60" s="15">
        <f>_xlfn.XLOOKUP(B60,DataSet!$N$2:$N$600,DataSet!$T$2:$T$600,0)</f>
        <v>0.1</v>
      </c>
      <c r="Q60" s="14">
        <f>_xlfn.XLOOKUP(B60,DataSet!$N$2:$N$600,DataSet!$U$2:$U$600,0)</f>
        <v>7.0979999999999999</v>
      </c>
      <c r="R60" s="16">
        <f>_xlfn.XLOOKUP(B60,DataSet!$N$2:$N$600,DataSet!$AB$2:$AB$600,0)</f>
        <v>1597.0500000000002</v>
      </c>
      <c r="S60" s="9">
        <f>_xlfn.XLOOKUP(B60,DataSet!$N$2:$N$600,DataSet!$AC$2:$AC$600,0)</f>
        <v>1437.3450000000003</v>
      </c>
    </row>
    <row r="61" spans="1:19" s="12" customFormat="1" x14ac:dyDescent="0.3">
      <c r="A61" s="27">
        <v>59</v>
      </c>
      <c r="B61" s="10" t="s">
        <v>281</v>
      </c>
      <c r="C61" s="10" t="str">
        <f>_xlfn.XLOOKUP(B61,DataSet!$N$2:$N$600,DataSet!$AF$2:$AF$600,0)</f>
        <v>111682</v>
      </c>
      <c r="D61" s="10" t="str">
        <f>_xlfn.XLOOKUP(B61,DataSet!$N$2:$N$600,DataSet!$G$2:$G$600,0)</f>
        <v>Ted Butterfield</v>
      </c>
      <c r="E61" s="10" t="str">
        <f>_xlfn.XLOOKUP(B61,DataSet!$N$2:$N$600,DataSet!$F$2:$F$600,0)</f>
        <v>TB-21055</v>
      </c>
      <c r="F61" s="10" t="str">
        <f>_xlfn.XLOOKUP(B61,DataSet!$N$2:$N$600,DataSet!$W$2:$W$600,0)</f>
        <v>Consumer</v>
      </c>
      <c r="G61" s="13">
        <f>_xlfn.XLOOKUP(B61,DataSet!$N$2:$N$600,DataSet!$C$2:$C$600,0)</f>
        <v>42538</v>
      </c>
      <c r="H61" s="10" t="str">
        <f>_xlfn.XLOOKUP(B61,DataSet!$N$2:$N$600,DataSet!$I$2:$I$600,0)</f>
        <v>United States</v>
      </c>
      <c r="I61" s="10" t="str">
        <f>_xlfn.XLOOKUP(B61,DataSet!$N$2:$N$600,DataSet!$X$2:$X$600,0)</f>
        <v>Troy - New York</v>
      </c>
      <c r="J61" s="10" t="str">
        <f>_xlfn.XLOOKUP(B61,DataSet!$N$2:$N$600,DataSet!$M$2:$M$600,0)</f>
        <v>East</v>
      </c>
      <c r="K61" s="10" t="str">
        <f>_xlfn.XLOOKUP(B61,DataSet!$N$2:$N$600,DataSet!$O$2:$O$600,0)</f>
        <v>Office Supplies</v>
      </c>
      <c r="L61" s="10" t="str">
        <f>_xlfn.XLOOKUP(B61,DataSet!$N$2:$N$600,DataSet!$Y$2:$Y$600,0)</f>
        <v>Paper</v>
      </c>
      <c r="M61" s="10" t="str">
        <f>_xlfn.XLOOKUP(B61,DataSet!$N$2:$N$600,DataSet!$Q$2:$Q$600,0)</f>
        <v>Array Parchment Paper, Assorted Colors</v>
      </c>
      <c r="N61" s="16">
        <f>_xlfn.XLOOKUP(B61,DataSet!$N$2:$N$600,DataSet!$AA$2:$AA$600,0)</f>
        <v>14.56</v>
      </c>
      <c r="O61" s="10">
        <f>_xlfn.XLOOKUP(B61,DataSet!$N$2:$N$600,DataSet!$S$2:$S$600,0)</f>
        <v>2</v>
      </c>
      <c r="P61" s="15">
        <f>_xlfn.XLOOKUP(B61,DataSet!$N$2:$N$600,DataSet!$T$2:$T$600,0)</f>
        <v>0</v>
      </c>
      <c r="Q61" s="14">
        <f>_xlfn.XLOOKUP(B61,DataSet!$N$2:$N$600,DataSet!$U$2:$U$600,0)</f>
        <v>6.9888000000000003</v>
      </c>
      <c r="R61" s="16">
        <f>_xlfn.XLOOKUP(B61,DataSet!$N$2:$N$600,DataSet!$AB$2:$AB$600,0)</f>
        <v>29.12</v>
      </c>
      <c r="S61" s="9">
        <f>_xlfn.XLOOKUP(B61,DataSet!$N$2:$N$600,DataSet!$AC$2:$AC$600,0)</f>
        <v>29.12</v>
      </c>
    </row>
    <row r="62" spans="1:19" s="12" customFormat="1" x14ac:dyDescent="0.3">
      <c r="A62" s="27">
        <v>60</v>
      </c>
      <c r="B62" s="10" t="s">
        <v>244</v>
      </c>
      <c r="C62" s="10" t="str">
        <f>_xlfn.XLOOKUP(B62,DataSet!$N$2:$N$600,DataSet!$AF$2:$AF$600,0)</f>
        <v>169194</v>
      </c>
      <c r="D62" s="10" t="str">
        <f>_xlfn.XLOOKUP(B62,DataSet!$N$2:$N$600,DataSet!$G$2:$G$600,0)</f>
        <v>Lena Hernandez</v>
      </c>
      <c r="E62" s="10" t="str">
        <f>_xlfn.XLOOKUP(B62,DataSet!$N$2:$N$600,DataSet!$F$2:$F$600,0)</f>
        <v>LH-16900</v>
      </c>
      <c r="F62" s="10" t="str">
        <f>_xlfn.XLOOKUP(B62,DataSet!$N$2:$N$600,DataSet!$W$2:$W$600,0)</f>
        <v>Consumer</v>
      </c>
      <c r="G62" s="13">
        <f>_xlfn.XLOOKUP(B62,DataSet!$N$2:$N$600,DataSet!$C$2:$C$600,0)</f>
        <v>42541</v>
      </c>
      <c r="H62" s="10" t="str">
        <f>_xlfn.XLOOKUP(B62,DataSet!$N$2:$N$600,DataSet!$I$2:$I$600,0)</f>
        <v>United States</v>
      </c>
      <c r="I62" s="10" t="str">
        <f>_xlfn.XLOOKUP(B62,DataSet!$N$2:$N$600,DataSet!$X$2:$X$600,0)</f>
        <v>Dover - Delaware</v>
      </c>
      <c r="J62" s="10" t="str">
        <f>_xlfn.XLOOKUP(B62,DataSet!$N$2:$N$600,DataSet!$M$2:$M$600,0)</f>
        <v>East</v>
      </c>
      <c r="K62" s="10" t="str">
        <f>_xlfn.XLOOKUP(B62,DataSet!$N$2:$N$600,DataSet!$O$2:$O$600,0)</f>
        <v>Technology</v>
      </c>
      <c r="L62" s="10" t="str">
        <f>_xlfn.XLOOKUP(B62,DataSet!$N$2:$N$600,DataSet!$Y$2:$Y$600,0)</f>
        <v>Accessories</v>
      </c>
      <c r="M62" s="10" t="str">
        <f>_xlfn.XLOOKUP(B62,DataSet!$N$2:$N$600,DataSet!$Q$2:$Q$600,0)</f>
        <v>Imation 8gb Micro Traveldrive Usb 2.0 Flash Drive</v>
      </c>
      <c r="N62" s="16">
        <f>_xlfn.XLOOKUP(B62,DataSet!$N$2:$N$600,DataSet!$AA$2:$AA$600,0)</f>
        <v>45</v>
      </c>
      <c r="O62" s="10">
        <f>_xlfn.XLOOKUP(B62,DataSet!$N$2:$N$600,DataSet!$S$2:$S$600,0)</f>
        <v>3</v>
      </c>
      <c r="P62" s="15">
        <f>_xlfn.XLOOKUP(B62,DataSet!$N$2:$N$600,DataSet!$T$2:$T$600,0)</f>
        <v>0</v>
      </c>
      <c r="Q62" s="14">
        <f>_xlfn.XLOOKUP(B62,DataSet!$N$2:$N$600,DataSet!$U$2:$U$600,0)</f>
        <v>4.95</v>
      </c>
      <c r="R62" s="16">
        <f>_xlfn.XLOOKUP(B62,DataSet!$N$2:$N$600,DataSet!$AB$2:$AB$600,0)</f>
        <v>135</v>
      </c>
      <c r="S62" s="9">
        <f>_xlfn.XLOOKUP(B62,DataSet!$N$2:$N$600,DataSet!$AC$2:$AC$600,0)</f>
        <v>135</v>
      </c>
    </row>
    <row r="63" spans="1:19" s="12" customFormat="1" x14ac:dyDescent="0.3">
      <c r="A63" s="27">
        <v>61</v>
      </c>
      <c r="B63" s="10" t="s">
        <v>283</v>
      </c>
      <c r="C63" s="10" t="str">
        <f>_xlfn.XLOOKUP(B63,DataSet!$N$2:$N$600,DataSet!$AF$2:$AF$600,0)</f>
        <v>111682</v>
      </c>
      <c r="D63" s="10" t="str">
        <f>_xlfn.XLOOKUP(B63,DataSet!$N$2:$N$600,DataSet!$G$2:$G$600,0)</f>
        <v>Ted Butterfield</v>
      </c>
      <c r="E63" s="10" t="str">
        <f>_xlfn.XLOOKUP(B63,DataSet!$N$2:$N$600,DataSet!$F$2:$F$600,0)</f>
        <v>TB-21055</v>
      </c>
      <c r="F63" s="10" t="str">
        <f>_xlfn.XLOOKUP(B63,DataSet!$N$2:$N$600,DataSet!$W$2:$W$600,0)</f>
        <v>Consumer</v>
      </c>
      <c r="G63" s="13">
        <f>_xlfn.XLOOKUP(B63,DataSet!$N$2:$N$600,DataSet!$C$2:$C$600,0)</f>
        <v>42538</v>
      </c>
      <c r="H63" s="10" t="str">
        <f>_xlfn.XLOOKUP(B63,DataSet!$N$2:$N$600,DataSet!$I$2:$I$600,0)</f>
        <v>United States</v>
      </c>
      <c r="I63" s="10" t="str">
        <f>_xlfn.XLOOKUP(B63,DataSet!$N$2:$N$600,DataSet!$X$2:$X$600,0)</f>
        <v>Troy - New York</v>
      </c>
      <c r="J63" s="10" t="str">
        <f>_xlfn.XLOOKUP(B63,DataSet!$N$2:$N$600,DataSet!$M$2:$M$600,0)</f>
        <v>East</v>
      </c>
      <c r="K63" s="10" t="str">
        <f>_xlfn.XLOOKUP(B63,DataSet!$N$2:$N$600,DataSet!$O$2:$O$600,0)</f>
        <v>Office Supplies</v>
      </c>
      <c r="L63" s="10" t="str">
        <f>_xlfn.XLOOKUP(B63,DataSet!$N$2:$N$600,DataSet!$Y$2:$Y$600,0)</f>
        <v>Binders</v>
      </c>
      <c r="M63" s="10" t="str">
        <f>_xlfn.XLOOKUP(B63,DataSet!$N$2:$N$600,DataSet!$Q$2:$Q$600,0)</f>
        <v>Plastic Binding Combs</v>
      </c>
      <c r="N63" s="16">
        <f>_xlfn.XLOOKUP(B63,DataSet!$N$2:$N$600,DataSet!$AA$2:$AA$600,0)</f>
        <v>48.48</v>
      </c>
      <c r="O63" s="10">
        <f>_xlfn.XLOOKUP(B63,DataSet!$N$2:$N$600,DataSet!$S$2:$S$600,0)</f>
        <v>4</v>
      </c>
      <c r="P63" s="15">
        <f>_xlfn.XLOOKUP(B63,DataSet!$N$2:$N$600,DataSet!$T$2:$T$600,0)</f>
        <v>0.2</v>
      </c>
      <c r="Q63" s="14">
        <f>_xlfn.XLOOKUP(B63,DataSet!$N$2:$N$600,DataSet!$U$2:$U$600,0)</f>
        <v>16.361999999999998</v>
      </c>
      <c r="R63" s="16">
        <f>_xlfn.XLOOKUP(B63,DataSet!$N$2:$N$600,DataSet!$AB$2:$AB$600,0)</f>
        <v>193.92</v>
      </c>
      <c r="S63" s="9">
        <f>_xlfn.XLOOKUP(B63,DataSet!$N$2:$N$600,DataSet!$AC$2:$AC$600,0)</f>
        <v>155.136</v>
      </c>
    </row>
    <row r="64" spans="1:19" s="12" customFormat="1" x14ac:dyDescent="0.3">
      <c r="A64" s="27">
        <v>62</v>
      </c>
      <c r="B64" s="10" t="s">
        <v>285</v>
      </c>
      <c r="C64" s="10" t="str">
        <f>_xlfn.XLOOKUP(B64,DataSet!$N$2:$N$600,DataSet!$AF$2:$AF$600,0)</f>
        <v>111682</v>
      </c>
      <c r="D64" s="10" t="str">
        <f>_xlfn.XLOOKUP(B64,DataSet!$N$2:$N$600,DataSet!$G$2:$G$600,0)</f>
        <v>Ted Butterfield</v>
      </c>
      <c r="E64" s="10" t="str">
        <f>_xlfn.XLOOKUP(B64,DataSet!$N$2:$N$600,DataSet!$F$2:$F$600,0)</f>
        <v>TB-21055</v>
      </c>
      <c r="F64" s="10" t="str">
        <f>_xlfn.XLOOKUP(B64,DataSet!$N$2:$N$600,DataSet!$W$2:$W$600,0)</f>
        <v>Consumer</v>
      </c>
      <c r="G64" s="13">
        <f>_xlfn.XLOOKUP(B64,DataSet!$N$2:$N$600,DataSet!$C$2:$C$600,0)</f>
        <v>42538</v>
      </c>
      <c r="H64" s="10" t="str">
        <f>_xlfn.XLOOKUP(B64,DataSet!$N$2:$N$600,DataSet!$I$2:$I$600,0)</f>
        <v>United States</v>
      </c>
      <c r="I64" s="10" t="str">
        <f>_xlfn.XLOOKUP(B64,DataSet!$N$2:$N$600,DataSet!$X$2:$X$600,0)</f>
        <v>Troy - New York</v>
      </c>
      <c r="J64" s="10" t="str">
        <f>_xlfn.XLOOKUP(B64,DataSet!$N$2:$N$600,DataSet!$M$2:$M$600,0)</f>
        <v>East</v>
      </c>
      <c r="K64" s="10" t="str">
        <f>_xlfn.XLOOKUP(B64,DataSet!$N$2:$N$600,DataSet!$O$2:$O$600,0)</f>
        <v>Office Supplies</v>
      </c>
      <c r="L64" s="10" t="str">
        <f>_xlfn.XLOOKUP(B64,DataSet!$N$2:$N$600,DataSet!$Y$2:$Y$600,0)</f>
        <v>Art</v>
      </c>
      <c r="M64" s="10" t="str">
        <f>_xlfn.XLOOKUP(B64,DataSet!$N$2:$N$600,DataSet!$Q$2:$Q$600,0)</f>
        <v>Prang Dustless Chalk Sticks</v>
      </c>
      <c r="N64" s="16">
        <f>_xlfn.XLOOKUP(B64,DataSet!$N$2:$N$600,DataSet!$AA$2:$AA$600,0)</f>
        <v>1.68</v>
      </c>
      <c r="O64" s="10">
        <f>_xlfn.XLOOKUP(B64,DataSet!$N$2:$N$600,DataSet!$S$2:$S$600,0)</f>
        <v>1</v>
      </c>
      <c r="P64" s="15">
        <f>_xlfn.XLOOKUP(B64,DataSet!$N$2:$N$600,DataSet!$T$2:$T$600,0)</f>
        <v>0</v>
      </c>
      <c r="Q64" s="14">
        <f>_xlfn.XLOOKUP(B64,DataSet!$N$2:$N$600,DataSet!$U$2:$U$600,0)</f>
        <v>0.84</v>
      </c>
      <c r="R64" s="16">
        <f>_xlfn.XLOOKUP(B64,DataSet!$N$2:$N$600,DataSet!$AB$2:$AB$600,0)</f>
        <v>1.68</v>
      </c>
      <c r="S64" s="9">
        <f>_xlfn.XLOOKUP(B64,DataSet!$N$2:$N$600,DataSet!$AC$2:$AC$600,0)</f>
        <v>1.68</v>
      </c>
    </row>
    <row r="65" spans="1:19" s="12" customFormat="1" x14ac:dyDescent="0.3">
      <c r="A65" s="27">
        <v>63</v>
      </c>
      <c r="B65" s="10" t="s">
        <v>290</v>
      </c>
      <c r="C65" s="10" t="str">
        <f>_xlfn.XLOOKUP(B65,DataSet!$N$2:$N$600,DataSet!$AF$2:$AF$600,0)</f>
        <v>135545</v>
      </c>
      <c r="D65" s="10" t="str">
        <f>_xlfn.XLOOKUP(B65,DataSet!$N$2:$N$600,DataSet!$G$2:$G$600,0)</f>
        <v>Kunst Miller</v>
      </c>
      <c r="E65" s="10" t="str">
        <f>_xlfn.XLOOKUP(B65,DataSet!$N$2:$N$600,DataSet!$F$2:$F$600,0)</f>
        <v>KM-16720</v>
      </c>
      <c r="F65" s="10" t="str">
        <f>_xlfn.XLOOKUP(B65,DataSet!$N$2:$N$600,DataSet!$W$2:$W$600,0)</f>
        <v>Consumer</v>
      </c>
      <c r="G65" s="13">
        <f>_xlfn.XLOOKUP(B65,DataSet!$N$2:$N$600,DataSet!$C$2:$C$600,0)</f>
        <v>42332</v>
      </c>
      <c r="H65" s="10" t="str">
        <f>_xlfn.XLOOKUP(B65,DataSet!$N$2:$N$600,DataSet!$I$2:$I$600,0)</f>
        <v>United States</v>
      </c>
      <c r="I65" s="10" t="str">
        <f>_xlfn.XLOOKUP(B65,DataSet!$N$2:$N$600,DataSet!$X$2:$X$600,0)</f>
        <v>Los Angeles - California</v>
      </c>
      <c r="J65" s="10" t="str">
        <f>_xlfn.XLOOKUP(B65,DataSet!$N$2:$N$600,DataSet!$M$2:$M$600,0)</f>
        <v>West</v>
      </c>
      <c r="K65" s="10" t="str">
        <f>_xlfn.XLOOKUP(B65,DataSet!$N$2:$N$600,DataSet!$O$2:$O$600,0)</f>
        <v>Technology</v>
      </c>
      <c r="L65" s="10" t="str">
        <f>_xlfn.XLOOKUP(B65,DataSet!$N$2:$N$600,DataSet!$Y$2:$Y$600,0)</f>
        <v>Accessories</v>
      </c>
      <c r="M65" s="10" t="str">
        <f>_xlfn.XLOOKUP(B65,DataSet!$N$2:$N$600,DataSet!$Q$2:$Q$600,0)</f>
        <v>Verbatim 25 GB 6x Blu-ray Single Layer Recordable Disc, 3/Pack</v>
      </c>
      <c r="N65" s="16">
        <f>_xlfn.XLOOKUP(B65,DataSet!$N$2:$N$600,DataSet!$AA$2:$AA$600,0)</f>
        <v>13.98</v>
      </c>
      <c r="O65" s="10">
        <f>_xlfn.XLOOKUP(B65,DataSet!$N$2:$N$600,DataSet!$S$2:$S$600,0)</f>
        <v>2</v>
      </c>
      <c r="P65" s="15">
        <f>_xlfn.XLOOKUP(B65,DataSet!$N$2:$N$600,DataSet!$T$2:$T$600,0)</f>
        <v>0</v>
      </c>
      <c r="Q65" s="14">
        <f>_xlfn.XLOOKUP(B65,DataSet!$N$2:$N$600,DataSet!$U$2:$U$600,0)</f>
        <v>6.1512000000000002</v>
      </c>
      <c r="R65" s="16">
        <f>_xlfn.XLOOKUP(B65,DataSet!$N$2:$N$600,DataSet!$AB$2:$AB$600,0)</f>
        <v>27.96</v>
      </c>
      <c r="S65" s="9">
        <f>_xlfn.XLOOKUP(B65,DataSet!$N$2:$N$600,DataSet!$AC$2:$AC$600,0)</f>
        <v>27.96</v>
      </c>
    </row>
    <row r="66" spans="1:19" s="12" customFormat="1" x14ac:dyDescent="0.3">
      <c r="A66" s="27">
        <v>64</v>
      </c>
      <c r="B66" s="10" t="s">
        <v>292</v>
      </c>
      <c r="C66" s="10" t="str">
        <f>_xlfn.XLOOKUP(B66,DataSet!$N$2:$N$600,DataSet!$AF$2:$AF$600,0)</f>
        <v>135545</v>
      </c>
      <c r="D66" s="10" t="str">
        <f>_xlfn.XLOOKUP(B66,DataSet!$N$2:$N$600,DataSet!$G$2:$G$600,0)</f>
        <v>Kunst Miller</v>
      </c>
      <c r="E66" s="10" t="str">
        <f>_xlfn.XLOOKUP(B66,DataSet!$N$2:$N$600,DataSet!$F$2:$F$600,0)</f>
        <v>KM-16720</v>
      </c>
      <c r="F66" s="10" t="str">
        <f>_xlfn.XLOOKUP(B66,DataSet!$N$2:$N$600,DataSet!$W$2:$W$600,0)</f>
        <v>Consumer</v>
      </c>
      <c r="G66" s="13">
        <f>_xlfn.XLOOKUP(B66,DataSet!$N$2:$N$600,DataSet!$C$2:$C$600,0)</f>
        <v>42332</v>
      </c>
      <c r="H66" s="10" t="str">
        <f>_xlfn.XLOOKUP(B66,DataSet!$N$2:$N$600,DataSet!$I$2:$I$600,0)</f>
        <v>United States</v>
      </c>
      <c r="I66" s="10" t="str">
        <f>_xlfn.XLOOKUP(B66,DataSet!$N$2:$N$600,DataSet!$X$2:$X$600,0)</f>
        <v>Los Angeles - California</v>
      </c>
      <c r="J66" s="10" t="str">
        <f>_xlfn.XLOOKUP(B66,DataSet!$N$2:$N$600,DataSet!$M$2:$M$600,0)</f>
        <v>West</v>
      </c>
      <c r="K66" s="10" t="str">
        <f>_xlfn.XLOOKUP(B66,DataSet!$N$2:$N$600,DataSet!$O$2:$O$600,0)</f>
        <v>Office Supplies</v>
      </c>
      <c r="L66" s="10" t="str">
        <f>_xlfn.XLOOKUP(B66,DataSet!$N$2:$N$600,DataSet!$Y$2:$Y$600,0)</f>
        <v>Binders</v>
      </c>
      <c r="M66" s="10" t="str">
        <f>_xlfn.XLOOKUP(B66,DataSet!$N$2:$N$600,DataSet!$Q$2:$Q$600,0)</f>
        <v>Acco PRESSTEX Data Binder with Storage Hooks, Dark Blue, 14 7/8" X 11"</v>
      </c>
      <c r="N66" s="16">
        <f>_xlfn.XLOOKUP(B66,DataSet!$N$2:$N$600,DataSet!$AA$2:$AA$600,0)</f>
        <v>25.824000000000002</v>
      </c>
      <c r="O66" s="10">
        <f>_xlfn.XLOOKUP(B66,DataSet!$N$2:$N$600,DataSet!$S$2:$S$600,0)</f>
        <v>6</v>
      </c>
      <c r="P66" s="15">
        <f>_xlfn.XLOOKUP(B66,DataSet!$N$2:$N$600,DataSet!$T$2:$T$600,0)</f>
        <v>0.2</v>
      </c>
      <c r="Q66" s="14">
        <f>_xlfn.XLOOKUP(B66,DataSet!$N$2:$N$600,DataSet!$U$2:$U$600,0)</f>
        <v>9.3612000000000002</v>
      </c>
      <c r="R66" s="16">
        <f>_xlfn.XLOOKUP(B66,DataSet!$N$2:$N$600,DataSet!$AB$2:$AB$600,0)</f>
        <v>154.94400000000002</v>
      </c>
      <c r="S66" s="9">
        <f>_xlfn.XLOOKUP(B66,DataSet!$N$2:$N$600,DataSet!$AC$2:$AC$600,0)</f>
        <v>123.95520000000002</v>
      </c>
    </row>
    <row r="67" spans="1:19" s="12" customFormat="1" x14ac:dyDescent="0.3">
      <c r="A67" s="27">
        <v>65</v>
      </c>
      <c r="B67" s="10" t="s">
        <v>294</v>
      </c>
      <c r="C67" s="10" t="str">
        <f>_xlfn.XLOOKUP(B67,DataSet!$N$2:$N$600,DataSet!$AF$2:$AF$600,0)</f>
        <v>135545</v>
      </c>
      <c r="D67" s="10" t="str">
        <f>_xlfn.XLOOKUP(B67,DataSet!$N$2:$N$600,DataSet!$G$2:$G$600,0)</f>
        <v>Kunst Miller</v>
      </c>
      <c r="E67" s="10" t="str">
        <f>_xlfn.XLOOKUP(B67,DataSet!$N$2:$N$600,DataSet!$F$2:$F$600,0)</f>
        <v>KM-16720</v>
      </c>
      <c r="F67" s="10" t="str">
        <f>_xlfn.XLOOKUP(B67,DataSet!$N$2:$N$600,DataSet!$W$2:$W$600,0)</f>
        <v>Consumer</v>
      </c>
      <c r="G67" s="13">
        <f>_xlfn.XLOOKUP(B67,DataSet!$N$2:$N$600,DataSet!$C$2:$C$600,0)</f>
        <v>42332</v>
      </c>
      <c r="H67" s="10" t="str">
        <f>_xlfn.XLOOKUP(B67,DataSet!$N$2:$N$600,DataSet!$I$2:$I$600,0)</f>
        <v>United States</v>
      </c>
      <c r="I67" s="10" t="str">
        <f>_xlfn.XLOOKUP(B67,DataSet!$N$2:$N$600,DataSet!$X$2:$X$600,0)</f>
        <v>Los Angeles - California</v>
      </c>
      <c r="J67" s="10" t="str">
        <f>_xlfn.XLOOKUP(B67,DataSet!$N$2:$N$600,DataSet!$M$2:$M$600,0)</f>
        <v>West</v>
      </c>
      <c r="K67" s="10" t="str">
        <f>_xlfn.XLOOKUP(B67,DataSet!$N$2:$N$600,DataSet!$O$2:$O$600,0)</f>
        <v>Office Supplies</v>
      </c>
      <c r="L67" s="10" t="str">
        <f>_xlfn.XLOOKUP(B67,DataSet!$N$2:$N$600,DataSet!$Y$2:$Y$600,0)</f>
        <v>Paper</v>
      </c>
      <c r="M67" s="10" t="str">
        <f>_xlfn.XLOOKUP(B67,DataSet!$N$2:$N$600,DataSet!$Q$2:$Q$600,0)</f>
        <v>Xerox 1943</v>
      </c>
      <c r="N67" s="16">
        <f>_xlfn.XLOOKUP(B67,DataSet!$N$2:$N$600,DataSet!$AA$2:$AA$600,0)</f>
        <v>146.72999999999999</v>
      </c>
      <c r="O67" s="10">
        <f>_xlfn.XLOOKUP(B67,DataSet!$N$2:$N$600,DataSet!$S$2:$S$600,0)</f>
        <v>3</v>
      </c>
      <c r="P67" s="15">
        <f>_xlfn.XLOOKUP(B67,DataSet!$N$2:$N$600,DataSet!$T$2:$T$600,0)</f>
        <v>0</v>
      </c>
      <c r="Q67" s="14">
        <f>_xlfn.XLOOKUP(B67,DataSet!$N$2:$N$600,DataSet!$U$2:$U$600,0)</f>
        <v>68.963099999999997</v>
      </c>
      <c r="R67" s="16">
        <f>_xlfn.XLOOKUP(B67,DataSet!$N$2:$N$600,DataSet!$AB$2:$AB$600,0)</f>
        <v>440.18999999999994</v>
      </c>
      <c r="S67" s="9">
        <f>_xlfn.XLOOKUP(B67,DataSet!$N$2:$N$600,DataSet!$AC$2:$AC$600,0)</f>
        <v>440.18999999999994</v>
      </c>
    </row>
    <row r="68" spans="1:19" s="12" customFormat="1" x14ac:dyDescent="0.3">
      <c r="A68" s="27">
        <v>66</v>
      </c>
      <c r="B68" s="10" t="s">
        <v>296</v>
      </c>
      <c r="C68" s="10" t="str">
        <f>_xlfn.XLOOKUP(B68,DataSet!$N$2:$N$600,DataSet!$AF$2:$AF$600,0)</f>
        <v>135545</v>
      </c>
      <c r="D68" s="10" t="str">
        <f>_xlfn.XLOOKUP(B68,DataSet!$N$2:$N$600,DataSet!$G$2:$G$600,0)</f>
        <v>Kunst Miller</v>
      </c>
      <c r="E68" s="10" t="str">
        <f>_xlfn.XLOOKUP(B68,DataSet!$N$2:$N$600,DataSet!$F$2:$F$600,0)</f>
        <v>KM-16720</v>
      </c>
      <c r="F68" s="10" t="str">
        <f>_xlfn.XLOOKUP(B68,DataSet!$N$2:$N$600,DataSet!$W$2:$W$600,0)</f>
        <v>Consumer</v>
      </c>
      <c r="G68" s="13">
        <f>_xlfn.XLOOKUP(B68,DataSet!$N$2:$N$600,DataSet!$C$2:$C$600,0)</f>
        <v>42332</v>
      </c>
      <c r="H68" s="10" t="str">
        <f>_xlfn.XLOOKUP(B68,DataSet!$N$2:$N$600,DataSet!$I$2:$I$600,0)</f>
        <v>United States</v>
      </c>
      <c r="I68" s="10" t="str">
        <f>_xlfn.XLOOKUP(B68,DataSet!$N$2:$N$600,DataSet!$X$2:$X$600,0)</f>
        <v>Los Angeles - California</v>
      </c>
      <c r="J68" s="10" t="str">
        <f>_xlfn.XLOOKUP(B68,DataSet!$N$2:$N$600,DataSet!$M$2:$M$600,0)</f>
        <v>West</v>
      </c>
      <c r="K68" s="10" t="str">
        <f>_xlfn.XLOOKUP(B68,DataSet!$N$2:$N$600,DataSet!$O$2:$O$600,0)</f>
        <v>Furniture</v>
      </c>
      <c r="L68" s="10" t="str">
        <f>_xlfn.XLOOKUP(B68,DataSet!$N$2:$N$600,DataSet!$Y$2:$Y$600,0)</f>
        <v>Furnishings</v>
      </c>
      <c r="M68" s="10" t="str">
        <f>_xlfn.XLOOKUP(B68,DataSet!$N$2:$N$600,DataSet!$Q$2:$Q$600,0)</f>
        <v>Luxo Economy Swing Arm Lamp</v>
      </c>
      <c r="N68" s="16">
        <f>_xlfn.XLOOKUP(B68,DataSet!$N$2:$N$600,DataSet!$AA$2:$AA$600,0)</f>
        <v>79.760000000000005</v>
      </c>
      <c r="O68" s="10">
        <f>_xlfn.XLOOKUP(B68,DataSet!$N$2:$N$600,DataSet!$S$2:$S$600,0)</f>
        <v>4</v>
      </c>
      <c r="P68" s="15">
        <f>_xlfn.XLOOKUP(B68,DataSet!$N$2:$N$600,DataSet!$T$2:$T$600,0)</f>
        <v>0</v>
      </c>
      <c r="Q68" s="14">
        <f>_xlfn.XLOOKUP(B68,DataSet!$N$2:$N$600,DataSet!$U$2:$U$600,0)</f>
        <v>22.332799999999999</v>
      </c>
      <c r="R68" s="16">
        <f>_xlfn.XLOOKUP(B68,DataSet!$N$2:$N$600,DataSet!$AB$2:$AB$600,0)</f>
        <v>319.04000000000002</v>
      </c>
      <c r="S68" s="9">
        <f>_xlfn.XLOOKUP(B68,DataSet!$N$2:$N$600,DataSet!$AC$2:$AC$600,0)</f>
        <v>319.04000000000002</v>
      </c>
    </row>
    <row r="69" spans="1:19" s="12" customFormat="1" x14ac:dyDescent="0.3">
      <c r="A69" s="27">
        <v>67</v>
      </c>
      <c r="B69" s="10" t="s">
        <v>302</v>
      </c>
      <c r="C69" s="10" t="str">
        <f>_xlfn.XLOOKUP(B69,DataSet!$N$2:$N$600,DataSet!$AF$2:$AF$600,0)</f>
        <v>164175</v>
      </c>
      <c r="D69" s="10" t="str">
        <f>_xlfn.XLOOKUP(B69,DataSet!$N$2:$N$600,DataSet!$G$2:$G$600,0)</f>
        <v>Paul Stevenson</v>
      </c>
      <c r="E69" s="10" t="str">
        <f>_xlfn.XLOOKUP(B69,DataSet!$N$2:$N$600,DataSet!$F$2:$F$600,0)</f>
        <v>PS-18970</v>
      </c>
      <c r="F69" s="10" t="str">
        <f>_xlfn.XLOOKUP(B69,DataSet!$N$2:$N$600,DataSet!$W$2:$W$600,0)</f>
        <v>Home Office</v>
      </c>
      <c r="G69" s="13">
        <f>_xlfn.XLOOKUP(B69,DataSet!$N$2:$N$600,DataSet!$C$2:$C$600,0)</f>
        <v>42124</v>
      </c>
      <c r="H69" s="10" t="str">
        <f>_xlfn.XLOOKUP(B69,DataSet!$N$2:$N$600,DataSet!$I$2:$I$600,0)</f>
        <v>United States</v>
      </c>
      <c r="I69" s="10" t="str">
        <f>_xlfn.XLOOKUP(B69,DataSet!$N$2:$N$600,DataSet!$X$2:$X$600,0)</f>
        <v>Chicago - Illinois</v>
      </c>
      <c r="J69" s="10" t="str">
        <f>_xlfn.XLOOKUP(B69,DataSet!$N$2:$N$600,DataSet!$M$2:$M$600,0)</f>
        <v>Central</v>
      </c>
      <c r="K69" s="10" t="str">
        <f>_xlfn.XLOOKUP(B69,DataSet!$N$2:$N$600,DataSet!$O$2:$O$600,0)</f>
        <v>Furniture</v>
      </c>
      <c r="L69" s="10" t="str">
        <f>_xlfn.XLOOKUP(B69,DataSet!$N$2:$N$600,DataSet!$Y$2:$Y$600,0)</f>
        <v>Chairs</v>
      </c>
      <c r="M69" s="10" t="str">
        <f>_xlfn.XLOOKUP(B69,DataSet!$N$2:$N$600,DataSet!$Q$2:$Q$600,0)</f>
        <v>Global Value Mid-Back Manager's Chair, Gray</v>
      </c>
      <c r="N69" s="16">
        <f>_xlfn.XLOOKUP(B69,DataSet!$N$2:$N$600,DataSet!$AA$2:$AA$600,0)</f>
        <v>213.11500000000001</v>
      </c>
      <c r="O69" s="10">
        <f>_xlfn.XLOOKUP(B69,DataSet!$N$2:$N$600,DataSet!$S$2:$S$600,0)</f>
        <v>5</v>
      </c>
      <c r="P69" s="15">
        <f>_xlfn.XLOOKUP(B69,DataSet!$N$2:$N$600,DataSet!$T$2:$T$600,0)</f>
        <v>0.3</v>
      </c>
      <c r="Q69" s="14">
        <f>_xlfn.XLOOKUP(B69,DataSet!$N$2:$N$600,DataSet!$U$2:$U$600,0)</f>
        <v>-15.2225</v>
      </c>
      <c r="R69" s="16">
        <f>_xlfn.XLOOKUP(B69,DataSet!$N$2:$N$600,DataSet!$AB$2:$AB$600,0)</f>
        <v>1065.575</v>
      </c>
      <c r="S69" s="9">
        <f>_xlfn.XLOOKUP(B69,DataSet!$N$2:$N$600,DataSet!$AC$2:$AC$600,0)</f>
        <v>745.90250000000003</v>
      </c>
    </row>
    <row r="70" spans="1:19" s="12" customFormat="1" x14ac:dyDescent="0.3">
      <c r="A70" s="27">
        <v>68</v>
      </c>
      <c r="B70" s="10" t="s">
        <v>309</v>
      </c>
      <c r="C70" s="10" t="str">
        <f>_xlfn.XLOOKUP(B70,DataSet!$N$2:$N$600,DataSet!$AF$2:$AF$600,0)</f>
        <v>106376</v>
      </c>
      <c r="D70" s="10" t="str">
        <f>_xlfn.XLOOKUP(B70,DataSet!$N$2:$N$600,DataSet!$G$2:$G$600,0)</f>
        <v>Brendan Sweed</v>
      </c>
      <c r="E70" s="10" t="str">
        <f>_xlfn.XLOOKUP(B70,DataSet!$N$2:$N$600,DataSet!$F$2:$F$600,0)</f>
        <v>BS-11590</v>
      </c>
      <c r="F70" s="10" t="str">
        <f>_xlfn.XLOOKUP(B70,DataSet!$N$2:$N$600,DataSet!$W$2:$W$600,0)</f>
        <v>Corporate</v>
      </c>
      <c r="G70" s="13">
        <f>_xlfn.XLOOKUP(B70,DataSet!$N$2:$N$600,DataSet!$C$2:$C$600,0)</f>
        <v>41978</v>
      </c>
      <c r="H70" s="10" t="str">
        <f>_xlfn.XLOOKUP(B70,DataSet!$N$2:$N$600,DataSet!$I$2:$I$600,0)</f>
        <v>United States</v>
      </c>
      <c r="I70" s="10" t="str">
        <f>_xlfn.XLOOKUP(B70,DataSet!$N$2:$N$600,DataSet!$X$2:$X$600,0)</f>
        <v>Gilbert - Arizona</v>
      </c>
      <c r="J70" s="10" t="str">
        <f>_xlfn.XLOOKUP(B70,DataSet!$N$2:$N$600,DataSet!$M$2:$M$600,0)</f>
        <v>West</v>
      </c>
      <c r="K70" s="10" t="str">
        <f>_xlfn.XLOOKUP(B70,DataSet!$N$2:$N$600,DataSet!$O$2:$O$600,0)</f>
        <v>Office Supplies</v>
      </c>
      <c r="L70" s="10" t="str">
        <f>_xlfn.XLOOKUP(B70,DataSet!$N$2:$N$600,DataSet!$Y$2:$Y$600,0)</f>
        <v>Art</v>
      </c>
      <c r="M70" s="10" t="str">
        <f>_xlfn.XLOOKUP(B70,DataSet!$N$2:$N$600,DataSet!$Q$2:$Q$600,0)</f>
        <v>Hunt BOSTON Model 1606 High-Volume Electric Pencil Sharpener, Beige</v>
      </c>
      <c r="N70" s="16">
        <f>_xlfn.XLOOKUP(B70,DataSet!$N$2:$N$600,DataSet!$AA$2:$AA$600,0)</f>
        <v>1113.0239999999999</v>
      </c>
      <c r="O70" s="10">
        <f>_xlfn.XLOOKUP(B70,DataSet!$N$2:$N$600,DataSet!$S$2:$S$600,0)</f>
        <v>8</v>
      </c>
      <c r="P70" s="15">
        <f>_xlfn.XLOOKUP(B70,DataSet!$N$2:$N$600,DataSet!$T$2:$T$600,0)</f>
        <v>0.2</v>
      </c>
      <c r="Q70" s="14">
        <f>_xlfn.XLOOKUP(B70,DataSet!$N$2:$N$600,DataSet!$U$2:$U$600,0)</f>
        <v>111.30240000000001</v>
      </c>
      <c r="R70" s="16">
        <f>_xlfn.XLOOKUP(B70,DataSet!$N$2:$N$600,DataSet!$AB$2:$AB$600,0)</f>
        <v>8904.1919999999991</v>
      </c>
      <c r="S70" s="9">
        <f>_xlfn.XLOOKUP(B70,DataSet!$N$2:$N$600,DataSet!$AC$2:$AC$600,0)</f>
        <v>7123.3535999999995</v>
      </c>
    </row>
    <row r="71" spans="1:19" s="12" customFormat="1" x14ac:dyDescent="0.3">
      <c r="A71" s="27">
        <v>69</v>
      </c>
      <c r="B71" s="10" t="s">
        <v>311</v>
      </c>
      <c r="C71" s="10" t="str">
        <f>_xlfn.XLOOKUP(B71,DataSet!$N$2:$N$600,DataSet!$AF$2:$AF$600,0)</f>
        <v>106376</v>
      </c>
      <c r="D71" s="10" t="str">
        <f>_xlfn.XLOOKUP(B71,DataSet!$N$2:$N$600,DataSet!$G$2:$G$600,0)</f>
        <v>Brendan Sweed</v>
      </c>
      <c r="E71" s="10" t="str">
        <f>_xlfn.XLOOKUP(B71,DataSet!$N$2:$N$600,DataSet!$F$2:$F$600,0)</f>
        <v>BS-11590</v>
      </c>
      <c r="F71" s="10" t="str">
        <f>_xlfn.XLOOKUP(B71,DataSet!$N$2:$N$600,DataSet!$W$2:$W$600,0)</f>
        <v>Corporate</v>
      </c>
      <c r="G71" s="13">
        <f>_xlfn.XLOOKUP(B71,DataSet!$N$2:$N$600,DataSet!$C$2:$C$600,0)</f>
        <v>41978</v>
      </c>
      <c r="H71" s="10" t="str">
        <f>_xlfn.XLOOKUP(B71,DataSet!$N$2:$N$600,DataSet!$I$2:$I$600,0)</f>
        <v>United States</v>
      </c>
      <c r="I71" s="10" t="str">
        <f>_xlfn.XLOOKUP(B71,DataSet!$N$2:$N$600,DataSet!$X$2:$X$600,0)</f>
        <v>Gilbert - Arizona</v>
      </c>
      <c r="J71" s="10" t="str">
        <f>_xlfn.XLOOKUP(B71,DataSet!$N$2:$N$600,DataSet!$M$2:$M$600,0)</f>
        <v>West</v>
      </c>
      <c r="K71" s="10" t="str">
        <f>_xlfn.XLOOKUP(B71,DataSet!$N$2:$N$600,DataSet!$O$2:$O$600,0)</f>
        <v>Technology</v>
      </c>
      <c r="L71" s="10" t="str">
        <f>_xlfn.XLOOKUP(B71,DataSet!$N$2:$N$600,DataSet!$Y$2:$Y$600,0)</f>
        <v>Phones</v>
      </c>
      <c r="M71" s="10" t="str">
        <f>_xlfn.XLOOKUP(B71,DataSet!$N$2:$N$600,DataSet!$Q$2:$Q$600,0)</f>
        <v>netTALK DUO VoIP Telephone Service</v>
      </c>
      <c r="N71" s="16">
        <f>_xlfn.XLOOKUP(B71,DataSet!$N$2:$N$600,DataSet!$AA$2:$AA$600,0)</f>
        <v>167.96799999999999</v>
      </c>
      <c r="O71" s="10">
        <f>_xlfn.XLOOKUP(B71,DataSet!$N$2:$N$600,DataSet!$S$2:$S$600,0)</f>
        <v>4</v>
      </c>
      <c r="P71" s="15">
        <f>_xlfn.XLOOKUP(B71,DataSet!$N$2:$N$600,DataSet!$T$2:$T$600,0)</f>
        <v>0.2</v>
      </c>
      <c r="Q71" s="14">
        <f>_xlfn.XLOOKUP(B71,DataSet!$N$2:$N$600,DataSet!$U$2:$U$600,0)</f>
        <v>62.988</v>
      </c>
      <c r="R71" s="16">
        <f>_xlfn.XLOOKUP(B71,DataSet!$N$2:$N$600,DataSet!$AB$2:$AB$600,0)</f>
        <v>671.87199999999996</v>
      </c>
      <c r="S71" s="9">
        <f>_xlfn.XLOOKUP(B71,DataSet!$N$2:$N$600,DataSet!$AC$2:$AC$600,0)</f>
        <v>537.49760000000003</v>
      </c>
    </row>
    <row r="72" spans="1:19" s="12" customFormat="1" x14ac:dyDescent="0.3">
      <c r="A72" s="27">
        <v>70</v>
      </c>
      <c r="B72" s="10" t="s">
        <v>318</v>
      </c>
      <c r="C72" s="10" t="str">
        <f>_xlfn.XLOOKUP(B72,DataSet!$N$2:$N$600,DataSet!$AF$2:$AF$600,0)</f>
        <v>119823</v>
      </c>
      <c r="D72" s="10" t="str">
        <f>_xlfn.XLOOKUP(B72,DataSet!$N$2:$N$600,DataSet!$G$2:$G$600,0)</f>
        <v>Karen Daniels</v>
      </c>
      <c r="E72" s="10" t="str">
        <f>_xlfn.XLOOKUP(B72,DataSet!$N$2:$N$600,DataSet!$F$2:$F$600,0)</f>
        <v>KD-16270</v>
      </c>
      <c r="F72" s="10" t="str">
        <f>_xlfn.XLOOKUP(B72,DataSet!$N$2:$N$600,DataSet!$W$2:$W$600,0)</f>
        <v>Consumer</v>
      </c>
      <c r="G72" s="13">
        <f>_xlfn.XLOOKUP(B72,DataSet!$N$2:$N$600,DataSet!$C$2:$C$600,0)</f>
        <v>42525</v>
      </c>
      <c r="H72" s="10" t="str">
        <f>_xlfn.XLOOKUP(B72,DataSet!$N$2:$N$600,DataSet!$I$2:$I$600,0)</f>
        <v>United States</v>
      </c>
      <c r="I72" s="10" t="str">
        <f>_xlfn.XLOOKUP(B72,DataSet!$N$2:$N$600,DataSet!$X$2:$X$600,0)</f>
        <v>Springfield - Virginia</v>
      </c>
      <c r="J72" s="10" t="str">
        <f>_xlfn.XLOOKUP(B72,DataSet!$N$2:$N$600,DataSet!$M$2:$M$600,0)</f>
        <v>South</v>
      </c>
      <c r="K72" s="10" t="str">
        <f>_xlfn.XLOOKUP(B72,DataSet!$N$2:$N$600,DataSet!$O$2:$O$600,0)</f>
        <v>Office Supplies</v>
      </c>
      <c r="L72" s="10" t="str">
        <f>_xlfn.XLOOKUP(B72,DataSet!$N$2:$N$600,DataSet!$Y$2:$Y$600,0)</f>
        <v>Paper</v>
      </c>
      <c r="M72" s="10" t="str">
        <f>_xlfn.XLOOKUP(B72,DataSet!$N$2:$N$600,DataSet!$Q$2:$Q$600,0)</f>
        <v>Snap-A-Way Black Print Carbonless Ruled Speed Letter, Triplicate</v>
      </c>
      <c r="N72" s="16">
        <f>_xlfn.XLOOKUP(B72,DataSet!$N$2:$N$600,DataSet!$AA$2:$AA$600,0)</f>
        <v>75.88</v>
      </c>
      <c r="O72" s="10">
        <f>_xlfn.XLOOKUP(B72,DataSet!$N$2:$N$600,DataSet!$S$2:$S$600,0)</f>
        <v>2</v>
      </c>
      <c r="P72" s="15">
        <f>_xlfn.XLOOKUP(B72,DataSet!$N$2:$N$600,DataSet!$T$2:$T$600,0)</f>
        <v>0</v>
      </c>
      <c r="Q72" s="14">
        <f>_xlfn.XLOOKUP(B72,DataSet!$N$2:$N$600,DataSet!$U$2:$U$600,0)</f>
        <v>35.663600000000002</v>
      </c>
      <c r="R72" s="16">
        <f>_xlfn.XLOOKUP(B72,DataSet!$N$2:$N$600,DataSet!$AB$2:$AB$600,0)</f>
        <v>151.76</v>
      </c>
      <c r="S72" s="9">
        <f>_xlfn.XLOOKUP(B72,DataSet!$N$2:$N$600,DataSet!$AC$2:$AC$600,0)</f>
        <v>151.76</v>
      </c>
    </row>
    <row r="73" spans="1:19" s="12" customFormat="1" x14ac:dyDescent="0.3">
      <c r="A73" s="27">
        <v>71</v>
      </c>
      <c r="B73" s="10" t="s">
        <v>323</v>
      </c>
      <c r="C73" s="10" t="str">
        <f>_xlfn.XLOOKUP(B73,DataSet!$N$2:$N$600,DataSet!$AF$2:$AF$600,0)</f>
        <v>106075</v>
      </c>
      <c r="D73" s="10" t="str">
        <f>_xlfn.XLOOKUP(B73,DataSet!$N$2:$N$600,DataSet!$G$2:$G$600,0)</f>
        <v>Henry MacAllister</v>
      </c>
      <c r="E73" s="10" t="str">
        <f>_xlfn.XLOOKUP(B73,DataSet!$N$2:$N$600,DataSet!$F$2:$F$600,0)</f>
        <v>HM-14980</v>
      </c>
      <c r="F73" s="10" t="str">
        <f>_xlfn.XLOOKUP(B73,DataSet!$N$2:$N$600,DataSet!$W$2:$W$600,0)</f>
        <v>Consumer</v>
      </c>
      <c r="G73" s="13">
        <f>_xlfn.XLOOKUP(B73,DataSet!$N$2:$N$600,DataSet!$C$2:$C$600,0)</f>
        <v>42631</v>
      </c>
      <c r="H73" s="10" t="str">
        <f>_xlfn.XLOOKUP(B73,DataSet!$N$2:$N$600,DataSet!$I$2:$I$600,0)</f>
        <v>United States</v>
      </c>
      <c r="I73" s="10" t="str">
        <f>_xlfn.XLOOKUP(B73,DataSet!$N$2:$N$600,DataSet!$X$2:$X$600,0)</f>
        <v>New York City - New York</v>
      </c>
      <c r="J73" s="10" t="str">
        <f>_xlfn.XLOOKUP(B73,DataSet!$N$2:$N$600,DataSet!$M$2:$M$600,0)</f>
        <v>East</v>
      </c>
      <c r="K73" s="10" t="str">
        <f>_xlfn.XLOOKUP(B73,DataSet!$N$2:$N$600,DataSet!$O$2:$O$600,0)</f>
        <v>Office Supplies</v>
      </c>
      <c r="L73" s="10" t="str">
        <f>_xlfn.XLOOKUP(B73,DataSet!$N$2:$N$600,DataSet!$Y$2:$Y$600,0)</f>
        <v>Binders</v>
      </c>
      <c r="M73" s="10" t="str">
        <f>_xlfn.XLOOKUP(B73,DataSet!$N$2:$N$600,DataSet!$Q$2:$Q$600,0)</f>
        <v>Avery Binding System Hidden Tab Executive Style Index Sets</v>
      </c>
      <c r="N73" s="16">
        <f>_xlfn.XLOOKUP(B73,DataSet!$N$2:$N$600,DataSet!$AA$2:$AA$600,0)</f>
        <v>4.6159999999999997</v>
      </c>
      <c r="O73" s="10">
        <f>_xlfn.XLOOKUP(B73,DataSet!$N$2:$N$600,DataSet!$S$2:$S$600,0)</f>
        <v>1</v>
      </c>
      <c r="P73" s="15">
        <f>_xlfn.XLOOKUP(B73,DataSet!$N$2:$N$600,DataSet!$T$2:$T$600,0)</f>
        <v>0.2</v>
      </c>
      <c r="Q73" s="14">
        <f>_xlfn.XLOOKUP(B73,DataSet!$N$2:$N$600,DataSet!$U$2:$U$600,0)</f>
        <v>1.7310000000000001</v>
      </c>
      <c r="R73" s="16">
        <f>_xlfn.XLOOKUP(B73,DataSet!$N$2:$N$600,DataSet!$AB$2:$AB$600,0)</f>
        <v>4.6159999999999997</v>
      </c>
      <c r="S73" s="9">
        <f>_xlfn.XLOOKUP(B73,DataSet!$N$2:$N$600,DataSet!$AC$2:$AC$600,0)</f>
        <v>3.6928000000000001</v>
      </c>
    </row>
    <row r="74" spans="1:19" s="12" customFormat="1" x14ac:dyDescent="0.3">
      <c r="A74" s="27">
        <v>72</v>
      </c>
      <c r="B74" s="10" t="s">
        <v>327</v>
      </c>
      <c r="C74" s="10" t="str">
        <f>_xlfn.XLOOKUP(B74,DataSet!$N$2:$N$600,DataSet!$AF$2:$AF$600,0)</f>
        <v>114440</v>
      </c>
      <c r="D74" s="10" t="str">
        <f>_xlfn.XLOOKUP(B74,DataSet!$N$2:$N$600,DataSet!$G$2:$G$600,0)</f>
        <v>Tracy Blumstein</v>
      </c>
      <c r="E74" s="10" t="str">
        <f>_xlfn.XLOOKUP(B74,DataSet!$N$2:$N$600,DataSet!$F$2:$F$600,0)</f>
        <v>TB-21520</v>
      </c>
      <c r="F74" s="10" t="str">
        <f>_xlfn.XLOOKUP(B74,DataSet!$N$2:$N$600,DataSet!$W$2:$W$600,0)</f>
        <v>Consumer</v>
      </c>
      <c r="G74" s="13">
        <f>_xlfn.XLOOKUP(B74,DataSet!$N$2:$N$600,DataSet!$C$2:$C$600,0)</f>
        <v>42992</v>
      </c>
      <c r="H74" s="10" t="str">
        <f>_xlfn.XLOOKUP(B74,DataSet!$N$2:$N$600,DataSet!$I$2:$I$600,0)</f>
        <v>United States</v>
      </c>
      <c r="I74" s="10" t="str">
        <f>_xlfn.XLOOKUP(B74,DataSet!$N$2:$N$600,DataSet!$X$2:$X$600,0)</f>
        <v>Jackson - Michigan</v>
      </c>
      <c r="J74" s="10" t="str">
        <f>_xlfn.XLOOKUP(B74,DataSet!$N$2:$N$600,DataSet!$M$2:$M$600,0)</f>
        <v>Central</v>
      </c>
      <c r="K74" s="10" t="str">
        <f>_xlfn.XLOOKUP(B74,DataSet!$N$2:$N$600,DataSet!$O$2:$O$600,0)</f>
        <v>Office Supplies</v>
      </c>
      <c r="L74" s="10" t="str">
        <f>_xlfn.XLOOKUP(B74,DataSet!$N$2:$N$600,DataSet!$Y$2:$Y$600,0)</f>
        <v>Paper</v>
      </c>
      <c r="M74" s="10" t="str">
        <f>_xlfn.XLOOKUP(B74,DataSet!$N$2:$N$600,DataSet!$Q$2:$Q$600,0)</f>
        <v>Telephone Message Books with Fax/Mobile Section, 5 1/2" x 3 3/16"</v>
      </c>
      <c r="N74" s="16">
        <f>_xlfn.XLOOKUP(B74,DataSet!$N$2:$N$600,DataSet!$AA$2:$AA$600,0)</f>
        <v>19.05</v>
      </c>
      <c r="O74" s="10">
        <f>_xlfn.XLOOKUP(B74,DataSet!$N$2:$N$600,DataSet!$S$2:$S$600,0)</f>
        <v>3</v>
      </c>
      <c r="P74" s="15">
        <f>_xlfn.XLOOKUP(B74,DataSet!$N$2:$N$600,DataSet!$T$2:$T$600,0)</f>
        <v>0</v>
      </c>
      <c r="Q74" s="14">
        <f>_xlfn.XLOOKUP(B74,DataSet!$N$2:$N$600,DataSet!$U$2:$U$600,0)</f>
        <v>8.7629999999999999</v>
      </c>
      <c r="R74" s="16">
        <f>_xlfn.XLOOKUP(B74,DataSet!$N$2:$N$600,DataSet!$AB$2:$AB$600,0)</f>
        <v>57.150000000000006</v>
      </c>
      <c r="S74" s="9">
        <f>_xlfn.XLOOKUP(B74,DataSet!$N$2:$N$600,DataSet!$AC$2:$AC$600,0)</f>
        <v>57.150000000000006</v>
      </c>
    </row>
    <row r="75" spans="1:19" s="12" customFormat="1" x14ac:dyDescent="0.3">
      <c r="A75" s="27">
        <v>73</v>
      </c>
      <c r="B75" s="10" t="s">
        <v>334</v>
      </c>
      <c r="C75" s="10" t="str">
        <f>_xlfn.XLOOKUP(B75,DataSet!$N$2:$N$600,DataSet!$AF$2:$AF$600,0)</f>
        <v>134026</v>
      </c>
      <c r="D75" s="10" t="str">
        <f>_xlfn.XLOOKUP(B75,DataSet!$N$2:$N$600,DataSet!$G$2:$G$600,0)</f>
        <v>Joel Eaton</v>
      </c>
      <c r="E75" s="10" t="str">
        <f>_xlfn.XLOOKUP(B75,DataSet!$N$2:$N$600,DataSet!$F$2:$F$600,0)</f>
        <v>JE-15745</v>
      </c>
      <c r="F75" s="10" t="str">
        <f>_xlfn.XLOOKUP(B75,DataSet!$N$2:$N$600,DataSet!$W$2:$W$600,0)</f>
        <v>Consumer</v>
      </c>
      <c r="G75" s="13">
        <f>_xlfn.XLOOKUP(B75,DataSet!$N$2:$N$600,DataSet!$C$2:$C$600,0)</f>
        <v>42120</v>
      </c>
      <c r="H75" s="10" t="str">
        <f>_xlfn.XLOOKUP(B75,DataSet!$N$2:$N$600,DataSet!$I$2:$I$600,0)</f>
        <v>United States</v>
      </c>
      <c r="I75" s="10" t="str">
        <f>_xlfn.XLOOKUP(B75,DataSet!$N$2:$N$600,DataSet!$X$2:$X$600,0)</f>
        <v>Memphis - Tennessee</v>
      </c>
      <c r="J75" s="10" t="str">
        <f>_xlfn.XLOOKUP(B75,DataSet!$N$2:$N$600,DataSet!$M$2:$M$600,0)</f>
        <v>South</v>
      </c>
      <c r="K75" s="10" t="str">
        <f>_xlfn.XLOOKUP(B75,DataSet!$N$2:$N$600,DataSet!$O$2:$O$600,0)</f>
        <v>Furniture</v>
      </c>
      <c r="L75" s="10" t="str">
        <f>_xlfn.XLOOKUP(B75,DataSet!$N$2:$N$600,DataSet!$Y$2:$Y$600,0)</f>
        <v>Chairs</v>
      </c>
      <c r="M75" s="10" t="str">
        <f>_xlfn.XLOOKUP(B75,DataSet!$N$2:$N$600,DataSet!$Q$2:$Q$600,0)</f>
        <v>High-Back Leather Manager's Chair</v>
      </c>
      <c r="N75" s="16">
        <f>_xlfn.XLOOKUP(B75,DataSet!$N$2:$N$600,DataSet!$AA$2:$AA$600,0)</f>
        <v>831.93600000000004</v>
      </c>
      <c r="O75" s="10">
        <f>_xlfn.XLOOKUP(B75,DataSet!$N$2:$N$600,DataSet!$S$2:$S$600,0)</f>
        <v>8</v>
      </c>
      <c r="P75" s="15">
        <f>_xlfn.XLOOKUP(B75,DataSet!$N$2:$N$600,DataSet!$T$2:$T$600,0)</f>
        <v>0.2</v>
      </c>
      <c r="Q75" s="14">
        <f>_xlfn.XLOOKUP(B75,DataSet!$N$2:$N$600,DataSet!$U$2:$U$600,0)</f>
        <v>-114.3912</v>
      </c>
      <c r="R75" s="16">
        <f>_xlfn.XLOOKUP(B75,DataSet!$N$2:$N$600,DataSet!$AB$2:$AB$600,0)</f>
        <v>6655.4880000000003</v>
      </c>
      <c r="S75" s="9">
        <f>_xlfn.XLOOKUP(B75,DataSet!$N$2:$N$600,DataSet!$AC$2:$AC$600,0)</f>
        <v>5324.3904000000002</v>
      </c>
    </row>
    <row r="76" spans="1:19" s="12" customFormat="1" x14ac:dyDescent="0.3">
      <c r="A76" s="27">
        <v>74</v>
      </c>
      <c r="B76" s="10" t="s">
        <v>336</v>
      </c>
      <c r="C76" s="10" t="str">
        <f>_xlfn.XLOOKUP(B76,DataSet!$N$2:$N$600,DataSet!$AF$2:$AF$600,0)</f>
        <v>134026</v>
      </c>
      <c r="D76" s="10" t="str">
        <f>_xlfn.XLOOKUP(B76,DataSet!$N$2:$N$600,DataSet!$G$2:$G$600,0)</f>
        <v>Joel Eaton</v>
      </c>
      <c r="E76" s="10" t="str">
        <f>_xlfn.XLOOKUP(B76,DataSet!$N$2:$N$600,DataSet!$F$2:$F$600,0)</f>
        <v>JE-15745</v>
      </c>
      <c r="F76" s="10" t="str">
        <f>_xlfn.XLOOKUP(B76,DataSet!$N$2:$N$600,DataSet!$W$2:$W$600,0)</f>
        <v>Consumer</v>
      </c>
      <c r="G76" s="13">
        <f>_xlfn.XLOOKUP(B76,DataSet!$N$2:$N$600,DataSet!$C$2:$C$600,0)</f>
        <v>42120</v>
      </c>
      <c r="H76" s="10" t="str">
        <f>_xlfn.XLOOKUP(B76,DataSet!$N$2:$N$600,DataSet!$I$2:$I$600,0)</f>
        <v>United States</v>
      </c>
      <c r="I76" s="10" t="str">
        <f>_xlfn.XLOOKUP(B76,DataSet!$N$2:$N$600,DataSet!$X$2:$X$600,0)</f>
        <v>Memphis - Tennessee</v>
      </c>
      <c r="J76" s="10" t="str">
        <f>_xlfn.XLOOKUP(B76,DataSet!$N$2:$N$600,DataSet!$M$2:$M$600,0)</f>
        <v>South</v>
      </c>
      <c r="K76" s="10" t="str">
        <f>_xlfn.XLOOKUP(B76,DataSet!$N$2:$N$600,DataSet!$O$2:$O$600,0)</f>
        <v>Furniture</v>
      </c>
      <c r="L76" s="10" t="str">
        <f>_xlfn.XLOOKUP(B76,DataSet!$N$2:$N$600,DataSet!$Y$2:$Y$600,0)</f>
        <v>Furnishings</v>
      </c>
      <c r="M76" s="10" t="str">
        <f>_xlfn.XLOOKUP(B76,DataSet!$N$2:$N$600,DataSet!$Q$2:$Q$600,0)</f>
        <v>Tenex Traditional Chairmats for Medium Pile Carpet, Standard Lip, 36" x 48"</v>
      </c>
      <c r="N76" s="16">
        <f>_xlfn.XLOOKUP(B76,DataSet!$N$2:$N$600,DataSet!$AA$2:$AA$600,0)</f>
        <v>97.04</v>
      </c>
      <c r="O76" s="10">
        <f>_xlfn.XLOOKUP(B76,DataSet!$N$2:$N$600,DataSet!$S$2:$S$600,0)</f>
        <v>2</v>
      </c>
      <c r="P76" s="15">
        <f>_xlfn.XLOOKUP(B76,DataSet!$N$2:$N$600,DataSet!$T$2:$T$600,0)</f>
        <v>0.2</v>
      </c>
      <c r="Q76" s="14">
        <f>_xlfn.XLOOKUP(B76,DataSet!$N$2:$N$600,DataSet!$U$2:$U$600,0)</f>
        <v>1.2130000000000001</v>
      </c>
      <c r="R76" s="16">
        <f>_xlfn.XLOOKUP(B76,DataSet!$N$2:$N$600,DataSet!$AB$2:$AB$600,0)</f>
        <v>194.08</v>
      </c>
      <c r="S76" s="9">
        <f>_xlfn.XLOOKUP(B76,DataSet!$N$2:$N$600,DataSet!$AC$2:$AC$600,0)</f>
        <v>155.26400000000001</v>
      </c>
    </row>
    <row r="77" spans="1:19" s="12" customFormat="1" x14ac:dyDescent="0.3">
      <c r="A77" s="27">
        <v>75</v>
      </c>
      <c r="B77" s="10" t="s">
        <v>338</v>
      </c>
      <c r="C77" s="10" t="str">
        <f>_xlfn.XLOOKUP(B77,DataSet!$N$2:$N$600,DataSet!$AF$2:$AF$600,0)</f>
        <v>134026</v>
      </c>
      <c r="D77" s="10" t="str">
        <f>_xlfn.XLOOKUP(B77,DataSet!$N$2:$N$600,DataSet!$G$2:$G$600,0)</f>
        <v>Joel Eaton</v>
      </c>
      <c r="E77" s="10" t="str">
        <f>_xlfn.XLOOKUP(B77,DataSet!$N$2:$N$600,DataSet!$F$2:$F$600,0)</f>
        <v>JE-15745</v>
      </c>
      <c r="F77" s="10" t="str">
        <f>_xlfn.XLOOKUP(B77,DataSet!$N$2:$N$600,DataSet!$W$2:$W$600,0)</f>
        <v>Consumer</v>
      </c>
      <c r="G77" s="13">
        <f>_xlfn.XLOOKUP(B77,DataSet!$N$2:$N$600,DataSet!$C$2:$C$600,0)</f>
        <v>42120</v>
      </c>
      <c r="H77" s="10" t="str">
        <f>_xlfn.XLOOKUP(B77,DataSet!$N$2:$N$600,DataSet!$I$2:$I$600,0)</f>
        <v>United States</v>
      </c>
      <c r="I77" s="10" t="str">
        <f>_xlfn.XLOOKUP(B77,DataSet!$N$2:$N$600,DataSet!$X$2:$X$600,0)</f>
        <v>Memphis - Tennessee</v>
      </c>
      <c r="J77" s="10" t="str">
        <f>_xlfn.XLOOKUP(B77,DataSet!$N$2:$N$600,DataSet!$M$2:$M$600,0)</f>
        <v>South</v>
      </c>
      <c r="K77" s="10" t="str">
        <f>_xlfn.XLOOKUP(B77,DataSet!$N$2:$N$600,DataSet!$O$2:$O$600,0)</f>
        <v>Office Supplies</v>
      </c>
      <c r="L77" s="10" t="str">
        <f>_xlfn.XLOOKUP(B77,DataSet!$N$2:$N$600,DataSet!$Y$2:$Y$600,0)</f>
        <v>Storage</v>
      </c>
      <c r="M77" s="10" t="str">
        <f>_xlfn.XLOOKUP(B77,DataSet!$N$2:$N$600,DataSet!$Q$2:$Q$600,0)</f>
        <v>Safco Industrial Wire Shelving System</v>
      </c>
      <c r="N77" s="16">
        <f>_xlfn.XLOOKUP(B77,DataSet!$N$2:$N$600,DataSet!$AA$2:$AA$600,0)</f>
        <v>72.784000000000006</v>
      </c>
      <c r="O77" s="10">
        <f>_xlfn.XLOOKUP(B77,DataSet!$N$2:$N$600,DataSet!$S$2:$S$600,0)</f>
        <v>1</v>
      </c>
      <c r="P77" s="15">
        <f>_xlfn.XLOOKUP(B77,DataSet!$N$2:$N$600,DataSet!$T$2:$T$600,0)</f>
        <v>0.2</v>
      </c>
      <c r="Q77" s="14">
        <f>_xlfn.XLOOKUP(B77,DataSet!$N$2:$N$600,DataSet!$U$2:$U$600,0)</f>
        <v>-18.196000000000002</v>
      </c>
      <c r="R77" s="16">
        <f>_xlfn.XLOOKUP(B77,DataSet!$N$2:$N$600,DataSet!$AB$2:$AB$600,0)</f>
        <v>72.784000000000006</v>
      </c>
      <c r="S77" s="9">
        <f>_xlfn.XLOOKUP(B77,DataSet!$N$2:$N$600,DataSet!$AC$2:$AC$600,0)</f>
        <v>58.227200000000011</v>
      </c>
    </row>
    <row r="78" spans="1:19" s="12" customFormat="1" x14ac:dyDescent="0.3">
      <c r="A78" s="27">
        <v>76</v>
      </c>
      <c r="B78" s="10" t="s">
        <v>343</v>
      </c>
      <c r="C78" s="10" t="str">
        <f>_xlfn.XLOOKUP(B78,DataSet!$N$2:$N$600,DataSet!$AF$2:$AF$600,0)</f>
        <v>118038</v>
      </c>
      <c r="D78" s="10" t="str">
        <f>_xlfn.XLOOKUP(B78,DataSet!$N$2:$N$600,DataSet!$G$2:$G$600,0)</f>
        <v>Ken Brennan</v>
      </c>
      <c r="E78" s="10" t="str">
        <f>_xlfn.XLOOKUP(B78,DataSet!$N$2:$N$600,DataSet!$F$2:$F$600,0)</f>
        <v>KB-16600</v>
      </c>
      <c r="F78" s="10" t="str">
        <f>_xlfn.XLOOKUP(B78,DataSet!$N$2:$N$600,DataSet!$W$2:$W$600,0)</f>
        <v>Corporate</v>
      </c>
      <c r="G78" s="13">
        <f>_xlfn.XLOOKUP(B78,DataSet!$N$2:$N$600,DataSet!$C$2:$C$600,0)</f>
        <v>43078</v>
      </c>
      <c r="H78" s="10" t="str">
        <f>_xlfn.XLOOKUP(B78,DataSet!$N$2:$N$600,DataSet!$I$2:$I$600,0)</f>
        <v>United States</v>
      </c>
      <c r="I78" s="10" t="str">
        <f>_xlfn.XLOOKUP(B78,DataSet!$N$2:$N$600,DataSet!$X$2:$X$600,0)</f>
        <v>Houston - Texas</v>
      </c>
      <c r="J78" s="10" t="str">
        <f>_xlfn.XLOOKUP(B78,DataSet!$N$2:$N$600,DataSet!$M$2:$M$600,0)</f>
        <v>Central</v>
      </c>
      <c r="K78" s="10" t="str">
        <f>_xlfn.XLOOKUP(B78,DataSet!$N$2:$N$600,DataSet!$O$2:$O$600,0)</f>
        <v>Office Supplies</v>
      </c>
      <c r="L78" s="10" t="str">
        <f>_xlfn.XLOOKUP(B78,DataSet!$N$2:$N$600,DataSet!$Y$2:$Y$600,0)</f>
        <v>Binders</v>
      </c>
      <c r="M78" s="10" t="str">
        <f>_xlfn.XLOOKUP(B78,DataSet!$N$2:$N$600,DataSet!$Q$2:$Q$600,0)</f>
        <v>Economy Binders</v>
      </c>
      <c r="N78" s="16">
        <f>_xlfn.XLOOKUP(B78,DataSet!$N$2:$N$600,DataSet!$AA$2:$AA$600,0)</f>
        <v>1.248</v>
      </c>
      <c r="O78" s="10">
        <f>_xlfn.XLOOKUP(B78,DataSet!$N$2:$N$600,DataSet!$S$2:$S$600,0)</f>
        <v>3</v>
      </c>
      <c r="P78" s="15">
        <f>_xlfn.XLOOKUP(B78,DataSet!$N$2:$N$600,DataSet!$T$2:$T$600,0)</f>
        <v>0.8</v>
      </c>
      <c r="Q78" s="14">
        <f>_xlfn.XLOOKUP(B78,DataSet!$N$2:$N$600,DataSet!$U$2:$U$600,0)</f>
        <v>-1.9343999999999999</v>
      </c>
      <c r="R78" s="16">
        <f>_xlfn.XLOOKUP(B78,DataSet!$N$2:$N$600,DataSet!$AB$2:$AB$600,0)</f>
        <v>3.7439999999999998</v>
      </c>
      <c r="S78" s="9">
        <f>_xlfn.XLOOKUP(B78,DataSet!$N$2:$N$600,DataSet!$AC$2:$AC$600,0)</f>
        <v>0.7487999999999998</v>
      </c>
    </row>
    <row r="79" spans="1:19" s="12" customFormat="1" x14ac:dyDescent="0.3">
      <c r="A79" s="27">
        <v>77</v>
      </c>
      <c r="B79" s="10" t="s">
        <v>345</v>
      </c>
      <c r="C79" s="10" t="str">
        <f>_xlfn.XLOOKUP(B79,DataSet!$N$2:$N$600,DataSet!$AF$2:$AF$600,0)</f>
        <v>118038</v>
      </c>
      <c r="D79" s="10" t="str">
        <f>_xlfn.XLOOKUP(B79,DataSet!$N$2:$N$600,DataSet!$G$2:$G$600,0)</f>
        <v>Ken Brennan</v>
      </c>
      <c r="E79" s="10" t="str">
        <f>_xlfn.XLOOKUP(B79,DataSet!$N$2:$N$600,DataSet!$F$2:$F$600,0)</f>
        <v>KB-16600</v>
      </c>
      <c r="F79" s="10" t="str">
        <f>_xlfn.XLOOKUP(B79,DataSet!$N$2:$N$600,DataSet!$W$2:$W$600,0)</f>
        <v>Corporate</v>
      </c>
      <c r="G79" s="13">
        <f>_xlfn.XLOOKUP(B79,DataSet!$N$2:$N$600,DataSet!$C$2:$C$600,0)</f>
        <v>43078</v>
      </c>
      <c r="H79" s="10" t="str">
        <f>_xlfn.XLOOKUP(B79,DataSet!$N$2:$N$600,DataSet!$I$2:$I$600,0)</f>
        <v>United States</v>
      </c>
      <c r="I79" s="10" t="str">
        <f>_xlfn.XLOOKUP(B79,DataSet!$N$2:$N$600,DataSet!$X$2:$X$600,0)</f>
        <v>Houston - Texas</v>
      </c>
      <c r="J79" s="10" t="str">
        <f>_xlfn.XLOOKUP(B79,DataSet!$N$2:$N$600,DataSet!$M$2:$M$600,0)</f>
        <v>Central</v>
      </c>
      <c r="K79" s="10" t="str">
        <f>_xlfn.XLOOKUP(B79,DataSet!$N$2:$N$600,DataSet!$O$2:$O$600,0)</f>
        <v>Furniture</v>
      </c>
      <c r="L79" s="10" t="str">
        <f>_xlfn.XLOOKUP(B79,DataSet!$N$2:$N$600,DataSet!$Y$2:$Y$600,0)</f>
        <v>Furnishings</v>
      </c>
      <c r="M79" s="10" t="str">
        <f>_xlfn.XLOOKUP(B79,DataSet!$N$2:$N$600,DataSet!$Q$2:$Q$600,0)</f>
        <v>6" Cubicle Wall Clock, Black</v>
      </c>
      <c r="N79" s="16">
        <f>_xlfn.XLOOKUP(B79,DataSet!$N$2:$N$600,DataSet!$AA$2:$AA$600,0)</f>
        <v>9.7080000000000002</v>
      </c>
      <c r="O79" s="10">
        <f>_xlfn.XLOOKUP(B79,DataSet!$N$2:$N$600,DataSet!$S$2:$S$600,0)</f>
        <v>3</v>
      </c>
      <c r="P79" s="15">
        <f>_xlfn.XLOOKUP(B79,DataSet!$N$2:$N$600,DataSet!$T$2:$T$600,0)</f>
        <v>0.6</v>
      </c>
      <c r="Q79" s="14">
        <f>_xlfn.XLOOKUP(B79,DataSet!$N$2:$N$600,DataSet!$U$2:$U$600,0)</f>
        <v>-5.8247999999999998</v>
      </c>
      <c r="R79" s="16">
        <f>_xlfn.XLOOKUP(B79,DataSet!$N$2:$N$600,DataSet!$AB$2:$AB$600,0)</f>
        <v>29.124000000000002</v>
      </c>
      <c r="S79" s="9">
        <f>_xlfn.XLOOKUP(B79,DataSet!$N$2:$N$600,DataSet!$AC$2:$AC$600,0)</f>
        <v>11.649600000000001</v>
      </c>
    </row>
    <row r="80" spans="1:19" s="12" customFormat="1" x14ac:dyDescent="0.3">
      <c r="A80" s="27">
        <v>78</v>
      </c>
      <c r="B80" s="10" t="s">
        <v>347</v>
      </c>
      <c r="C80" s="10" t="str">
        <f>_xlfn.XLOOKUP(B80,DataSet!$N$2:$N$600,DataSet!$AF$2:$AF$600,0)</f>
        <v>118038</v>
      </c>
      <c r="D80" s="10" t="str">
        <f>_xlfn.XLOOKUP(B80,DataSet!$N$2:$N$600,DataSet!$G$2:$G$600,0)</f>
        <v>Ken Brennan</v>
      </c>
      <c r="E80" s="10" t="str">
        <f>_xlfn.XLOOKUP(B80,DataSet!$N$2:$N$600,DataSet!$F$2:$F$600,0)</f>
        <v>KB-16600</v>
      </c>
      <c r="F80" s="10" t="str">
        <f>_xlfn.XLOOKUP(B80,DataSet!$N$2:$N$600,DataSet!$W$2:$W$600,0)</f>
        <v>Corporate</v>
      </c>
      <c r="G80" s="13">
        <f>_xlfn.XLOOKUP(B80,DataSet!$N$2:$N$600,DataSet!$C$2:$C$600,0)</f>
        <v>43078</v>
      </c>
      <c r="H80" s="10" t="str">
        <f>_xlfn.XLOOKUP(B80,DataSet!$N$2:$N$600,DataSet!$I$2:$I$600,0)</f>
        <v>United States</v>
      </c>
      <c r="I80" s="10" t="str">
        <f>_xlfn.XLOOKUP(B80,DataSet!$N$2:$N$600,DataSet!$X$2:$X$600,0)</f>
        <v>Houston - Texas</v>
      </c>
      <c r="J80" s="10" t="str">
        <f>_xlfn.XLOOKUP(B80,DataSet!$N$2:$N$600,DataSet!$M$2:$M$600,0)</f>
        <v>Central</v>
      </c>
      <c r="K80" s="10" t="str">
        <f>_xlfn.XLOOKUP(B80,DataSet!$N$2:$N$600,DataSet!$O$2:$O$600,0)</f>
        <v>Office Supplies</v>
      </c>
      <c r="L80" s="10" t="str">
        <f>_xlfn.XLOOKUP(B80,DataSet!$N$2:$N$600,DataSet!$Y$2:$Y$600,0)</f>
        <v>Storage</v>
      </c>
      <c r="M80" s="10" t="str">
        <f>_xlfn.XLOOKUP(B80,DataSet!$N$2:$N$600,DataSet!$Q$2:$Q$600,0)</f>
        <v>SimpliFile Personal File, Black Granite, 15w x 6-15/16d x 11-1/4h</v>
      </c>
      <c r="N80" s="16">
        <f>_xlfn.XLOOKUP(B80,DataSet!$N$2:$N$600,DataSet!$AA$2:$AA$600,0)</f>
        <v>27.24</v>
      </c>
      <c r="O80" s="10">
        <f>_xlfn.XLOOKUP(B80,DataSet!$N$2:$N$600,DataSet!$S$2:$S$600,0)</f>
        <v>3</v>
      </c>
      <c r="P80" s="15">
        <f>_xlfn.XLOOKUP(B80,DataSet!$N$2:$N$600,DataSet!$T$2:$T$600,0)</f>
        <v>0.2</v>
      </c>
      <c r="Q80" s="14">
        <f>_xlfn.XLOOKUP(B80,DataSet!$N$2:$N$600,DataSet!$U$2:$U$600,0)</f>
        <v>2.7240000000000002</v>
      </c>
      <c r="R80" s="16">
        <f>_xlfn.XLOOKUP(B80,DataSet!$N$2:$N$600,DataSet!$AB$2:$AB$600,0)</f>
        <v>81.72</v>
      </c>
      <c r="S80" s="9">
        <f>_xlfn.XLOOKUP(B80,DataSet!$N$2:$N$600,DataSet!$AC$2:$AC$600,0)</f>
        <v>65.376000000000005</v>
      </c>
    </row>
    <row r="81" spans="1:19" s="12" customFormat="1" x14ac:dyDescent="0.3">
      <c r="A81" s="27">
        <v>79</v>
      </c>
      <c r="B81" s="10" t="s">
        <v>350</v>
      </c>
      <c r="C81" s="10" t="str">
        <f>_xlfn.XLOOKUP(B81,DataSet!$N$2:$N$600,DataSet!$AF$2:$AF$600,0)</f>
        <v>147606</v>
      </c>
      <c r="D81" s="10" t="str">
        <f>_xlfn.XLOOKUP(B81,DataSet!$N$2:$N$600,DataSet!$G$2:$G$600,0)</f>
        <v>Joel Eaton</v>
      </c>
      <c r="E81" s="10" t="str">
        <f>_xlfn.XLOOKUP(B81,DataSet!$N$2:$N$600,DataSet!$F$2:$F$600,0)</f>
        <v>JE-15745</v>
      </c>
      <c r="F81" s="10" t="str">
        <f>_xlfn.XLOOKUP(B81,DataSet!$N$2:$N$600,DataSet!$W$2:$W$600,0)</f>
        <v>Consumer</v>
      </c>
      <c r="G81" s="13">
        <f>_xlfn.XLOOKUP(B81,DataSet!$N$2:$N$600,DataSet!$C$2:$C$600,0)</f>
        <v>41969</v>
      </c>
      <c r="H81" s="10" t="str">
        <f>_xlfn.XLOOKUP(B81,DataSet!$N$2:$N$600,DataSet!$I$2:$I$600,0)</f>
        <v>United States</v>
      </c>
      <c r="I81" s="10" t="str">
        <f>_xlfn.XLOOKUP(B81,DataSet!$N$2:$N$600,DataSet!$X$2:$X$600,0)</f>
        <v>Houston - Texas</v>
      </c>
      <c r="J81" s="10" t="str">
        <f>_xlfn.XLOOKUP(B81,DataSet!$N$2:$N$600,DataSet!$M$2:$M$600,0)</f>
        <v>Central</v>
      </c>
      <c r="K81" s="10" t="str">
        <f>_xlfn.XLOOKUP(B81,DataSet!$N$2:$N$600,DataSet!$O$2:$O$600,0)</f>
        <v>Furniture</v>
      </c>
      <c r="L81" s="10" t="str">
        <f>_xlfn.XLOOKUP(B81,DataSet!$N$2:$N$600,DataSet!$Y$2:$Y$600,0)</f>
        <v>Furnishings</v>
      </c>
      <c r="M81" s="10" t="str">
        <f>_xlfn.XLOOKUP(B81,DataSet!$N$2:$N$600,DataSet!$Q$2:$Q$600,0)</f>
        <v>Eldon Expressions Desk Accessory, Wood Pencil Holder, Oak</v>
      </c>
      <c r="N81" s="16">
        <f>_xlfn.XLOOKUP(B81,DataSet!$N$2:$N$600,DataSet!$AA$2:$AA$600,0)</f>
        <v>19.3</v>
      </c>
      <c r="O81" s="10">
        <f>_xlfn.XLOOKUP(B81,DataSet!$N$2:$N$600,DataSet!$S$2:$S$600,0)</f>
        <v>5</v>
      </c>
      <c r="P81" s="15">
        <f>_xlfn.XLOOKUP(B81,DataSet!$N$2:$N$600,DataSet!$T$2:$T$600,0)</f>
        <v>0.6</v>
      </c>
      <c r="Q81" s="14">
        <f>_xlfn.XLOOKUP(B81,DataSet!$N$2:$N$600,DataSet!$U$2:$U$600,0)</f>
        <v>-14.475</v>
      </c>
      <c r="R81" s="16">
        <f>_xlfn.XLOOKUP(B81,DataSet!$N$2:$N$600,DataSet!$AB$2:$AB$600,0)</f>
        <v>96.5</v>
      </c>
      <c r="S81" s="9">
        <f>_xlfn.XLOOKUP(B81,DataSet!$N$2:$N$600,DataSet!$AC$2:$AC$600,0)</f>
        <v>38.6</v>
      </c>
    </row>
    <row r="82" spans="1:19" s="12" customFormat="1" x14ac:dyDescent="0.3">
      <c r="A82" s="27">
        <v>80</v>
      </c>
      <c r="B82" s="10" t="s">
        <v>357</v>
      </c>
      <c r="C82" s="10" t="str">
        <f>_xlfn.XLOOKUP(B82,DataSet!$N$2:$N$600,DataSet!$AF$2:$AF$600,0)</f>
        <v>127208</v>
      </c>
      <c r="D82" s="10" t="str">
        <f>_xlfn.XLOOKUP(B82,DataSet!$N$2:$N$600,DataSet!$G$2:$G$600,0)</f>
        <v>Stewart Carmichael</v>
      </c>
      <c r="E82" s="10" t="str">
        <f>_xlfn.XLOOKUP(B82,DataSet!$N$2:$N$600,DataSet!$F$2:$F$600,0)</f>
        <v>SC-20770</v>
      </c>
      <c r="F82" s="10" t="str">
        <f>_xlfn.XLOOKUP(B82,DataSet!$N$2:$N$600,DataSet!$W$2:$W$600,0)</f>
        <v>Corporate</v>
      </c>
      <c r="G82" s="13">
        <f>_xlfn.XLOOKUP(B82,DataSet!$N$2:$N$600,DataSet!$C$2:$C$600,0)</f>
        <v>42533</v>
      </c>
      <c r="H82" s="10" t="str">
        <f>_xlfn.XLOOKUP(B82,DataSet!$N$2:$N$600,DataSet!$I$2:$I$600,0)</f>
        <v>United States</v>
      </c>
      <c r="I82" s="10" t="str">
        <f>_xlfn.XLOOKUP(B82,DataSet!$N$2:$N$600,DataSet!$X$2:$X$600,0)</f>
        <v>Decatur - Alabama</v>
      </c>
      <c r="J82" s="10" t="str">
        <f>_xlfn.XLOOKUP(B82,DataSet!$N$2:$N$600,DataSet!$M$2:$M$600,0)</f>
        <v>South</v>
      </c>
      <c r="K82" s="10" t="str">
        <f>_xlfn.XLOOKUP(B82,DataSet!$N$2:$N$600,DataSet!$O$2:$O$600,0)</f>
        <v>Office Supplies</v>
      </c>
      <c r="L82" s="10" t="str">
        <f>_xlfn.XLOOKUP(B82,DataSet!$N$2:$N$600,DataSet!$Y$2:$Y$600,0)</f>
        <v>Appliances</v>
      </c>
      <c r="M82" s="10" t="str">
        <f>_xlfn.XLOOKUP(B82,DataSet!$N$2:$N$600,DataSet!$Q$2:$Q$600,0)</f>
        <v>1.7 Cubic Foot Compact "Cube" Office Refrigerators</v>
      </c>
      <c r="N82" s="16">
        <f>_xlfn.XLOOKUP(B82,DataSet!$N$2:$N$600,DataSet!$AA$2:$AA$600,0)</f>
        <v>208.16</v>
      </c>
      <c r="O82" s="10">
        <f>_xlfn.XLOOKUP(B82,DataSet!$N$2:$N$600,DataSet!$S$2:$S$600,0)</f>
        <v>1</v>
      </c>
      <c r="P82" s="15">
        <f>_xlfn.XLOOKUP(B82,DataSet!$N$2:$N$600,DataSet!$T$2:$T$600,0)</f>
        <v>0</v>
      </c>
      <c r="Q82" s="14">
        <f>_xlfn.XLOOKUP(B82,DataSet!$N$2:$N$600,DataSet!$U$2:$U$600,0)</f>
        <v>56.203200000000002</v>
      </c>
      <c r="R82" s="16">
        <f>_xlfn.XLOOKUP(B82,DataSet!$N$2:$N$600,DataSet!$AB$2:$AB$600,0)</f>
        <v>208.16</v>
      </c>
      <c r="S82" s="9">
        <f>_xlfn.XLOOKUP(B82,DataSet!$N$2:$N$600,DataSet!$AC$2:$AC$600,0)</f>
        <v>208.16</v>
      </c>
    </row>
    <row r="83" spans="1:19" s="12" customFormat="1" x14ac:dyDescent="0.3">
      <c r="A83" s="27">
        <v>81</v>
      </c>
      <c r="B83" s="10" t="s">
        <v>359</v>
      </c>
      <c r="C83" s="10" t="str">
        <f>_xlfn.XLOOKUP(B83,DataSet!$N$2:$N$600,DataSet!$AF$2:$AF$600,0)</f>
        <v>127208</v>
      </c>
      <c r="D83" s="10" t="str">
        <f>_xlfn.XLOOKUP(B83,DataSet!$N$2:$N$600,DataSet!$G$2:$G$600,0)</f>
        <v>Stewart Carmichael</v>
      </c>
      <c r="E83" s="10" t="str">
        <f>_xlfn.XLOOKUP(B83,DataSet!$N$2:$N$600,DataSet!$F$2:$F$600,0)</f>
        <v>SC-20770</v>
      </c>
      <c r="F83" s="10" t="str">
        <f>_xlfn.XLOOKUP(B83,DataSet!$N$2:$N$600,DataSet!$W$2:$W$600,0)</f>
        <v>Corporate</v>
      </c>
      <c r="G83" s="13">
        <f>_xlfn.XLOOKUP(B83,DataSet!$N$2:$N$600,DataSet!$C$2:$C$600,0)</f>
        <v>42533</v>
      </c>
      <c r="H83" s="10" t="str">
        <f>_xlfn.XLOOKUP(B83,DataSet!$N$2:$N$600,DataSet!$I$2:$I$600,0)</f>
        <v>United States</v>
      </c>
      <c r="I83" s="10" t="str">
        <f>_xlfn.XLOOKUP(B83,DataSet!$N$2:$N$600,DataSet!$X$2:$X$600,0)</f>
        <v>Decatur - Alabama</v>
      </c>
      <c r="J83" s="10" t="str">
        <f>_xlfn.XLOOKUP(B83,DataSet!$N$2:$N$600,DataSet!$M$2:$M$600,0)</f>
        <v>South</v>
      </c>
      <c r="K83" s="10" t="str">
        <f>_xlfn.XLOOKUP(B83,DataSet!$N$2:$N$600,DataSet!$O$2:$O$600,0)</f>
        <v>Office Supplies</v>
      </c>
      <c r="L83" s="10" t="str">
        <f>_xlfn.XLOOKUP(B83,DataSet!$N$2:$N$600,DataSet!$Y$2:$Y$600,0)</f>
        <v>Binders</v>
      </c>
      <c r="M83" s="10" t="str">
        <f>_xlfn.XLOOKUP(B83,DataSet!$N$2:$N$600,DataSet!$Q$2:$Q$600,0)</f>
        <v>Avery Heavy-Duty EZD  Binder With Locking Rings</v>
      </c>
      <c r="N83" s="16">
        <f>_xlfn.XLOOKUP(B83,DataSet!$N$2:$N$600,DataSet!$AA$2:$AA$600,0)</f>
        <v>16.739999999999998</v>
      </c>
      <c r="O83" s="10">
        <f>_xlfn.XLOOKUP(B83,DataSet!$N$2:$N$600,DataSet!$S$2:$S$600,0)</f>
        <v>3</v>
      </c>
      <c r="P83" s="15">
        <f>_xlfn.XLOOKUP(B83,DataSet!$N$2:$N$600,DataSet!$T$2:$T$600,0)</f>
        <v>0</v>
      </c>
      <c r="Q83" s="14">
        <f>_xlfn.XLOOKUP(B83,DataSet!$N$2:$N$600,DataSet!$U$2:$U$600,0)</f>
        <v>8.0351999999999997</v>
      </c>
      <c r="R83" s="16">
        <f>_xlfn.XLOOKUP(B83,DataSet!$N$2:$N$600,DataSet!$AB$2:$AB$600,0)</f>
        <v>50.22</v>
      </c>
      <c r="S83" s="9">
        <f>_xlfn.XLOOKUP(B83,DataSet!$N$2:$N$600,DataSet!$AC$2:$AC$600,0)</f>
        <v>50.22</v>
      </c>
    </row>
    <row r="84" spans="1:19" s="12" customFormat="1" x14ac:dyDescent="0.3">
      <c r="A84" s="27">
        <v>82</v>
      </c>
      <c r="B84" s="10" t="s">
        <v>364</v>
      </c>
      <c r="C84" s="10" t="str">
        <f>_xlfn.XLOOKUP(B84,DataSet!$N$2:$N$600,DataSet!$AF$2:$AF$600,0)</f>
        <v>139451</v>
      </c>
      <c r="D84" s="10" t="str">
        <f>_xlfn.XLOOKUP(B84,DataSet!$N$2:$N$600,DataSet!$G$2:$G$600,0)</f>
        <v>Duane Noonan</v>
      </c>
      <c r="E84" s="10" t="str">
        <f>_xlfn.XLOOKUP(B84,DataSet!$N$2:$N$600,DataSet!$F$2:$F$600,0)</f>
        <v>DN-13690</v>
      </c>
      <c r="F84" s="10" t="str">
        <f>_xlfn.XLOOKUP(B84,DataSet!$N$2:$N$600,DataSet!$W$2:$W$600,0)</f>
        <v>Consumer</v>
      </c>
      <c r="G84" s="13">
        <f>_xlfn.XLOOKUP(B84,DataSet!$N$2:$N$600,DataSet!$C$2:$C$600,0)</f>
        <v>41924</v>
      </c>
      <c r="H84" s="10" t="str">
        <f>_xlfn.XLOOKUP(B84,DataSet!$N$2:$N$600,DataSet!$I$2:$I$600,0)</f>
        <v>United States</v>
      </c>
      <c r="I84" s="10" t="str">
        <f>_xlfn.XLOOKUP(B84,DataSet!$N$2:$N$600,DataSet!$X$2:$X$600,0)</f>
        <v>San Francisco - California</v>
      </c>
      <c r="J84" s="10" t="str">
        <f>_xlfn.XLOOKUP(B84,DataSet!$N$2:$N$600,DataSet!$M$2:$M$600,0)</f>
        <v>West</v>
      </c>
      <c r="K84" s="10" t="str">
        <f>_xlfn.XLOOKUP(B84,DataSet!$N$2:$N$600,DataSet!$O$2:$O$600,0)</f>
        <v>Office Supplies</v>
      </c>
      <c r="L84" s="10" t="str">
        <f>_xlfn.XLOOKUP(B84,DataSet!$N$2:$N$600,DataSet!$Y$2:$Y$600,0)</f>
        <v>Art</v>
      </c>
      <c r="M84" s="10" t="str">
        <f>_xlfn.XLOOKUP(B84,DataSet!$N$2:$N$600,DataSet!$Q$2:$Q$600,0)</f>
        <v>Premium Writing Pencils, Soft, #2 by Central Association for the Blind</v>
      </c>
      <c r="N84" s="16">
        <f>_xlfn.XLOOKUP(B84,DataSet!$N$2:$N$600,DataSet!$AA$2:$AA$600,0)</f>
        <v>14.9</v>
      </c>
      <c r="O84" s="10">
        <f>_xlfn.XLOOKUP(B84,DataSet!$N$2:$N$600,DataSet!$S$2:$S$600,0)</f>
        <v>5</v>
      </c>
      <c r="P84" s="15">
        <f>_xlfn.XLOOKUP(B84,DataSet!$N$2:$N$600,DataSet!$T$2:$T$600,0)</f>
        <v>0</v>
      </c>
      <c r="Q84" s="14">
        <f>_xlfn.XLOOKUP(B84,DataSet!$N$2:$N$600,DataSet!$U$2:$U$600,0)</f>
        <v>4.1719999999999997</v>
      </c>
      <c r="R84" s="16">
        <f>_xlfn.XLOOKUP(B84,DataSet!$N$2:$N$600,DataSet!$AB$2:$AB$600,0)</f>
        <v>74.5</v>
      </c>
      <c r="S84" s="9">
        <f>_xlfn.XLOOKUP(B84,DataSet!$N$2:$N$600,DataSet!$AC$2:$AC$600,0)</f>
        <v>74.5</v>
      </c>
    </row>
    <row r="85" spans="1:19" s="12" customFormat="1" x14ac:dyDescent="0.3">
      <c r="A85" s="27">
        <v>83</v>
      </c>
      <c r="B85" s="10" t="s">
        <v>366</v>
      </c>
      <c r="C85" s="10" t="str">
        <f>_xlfn.XLOOKUP(B85,DataSet!$N$2:$N$600,DataSet!$AF$2:$AF$600,0)</f>
        <v>139451</v>
      </c>
      <c r="D85" s="10" t="str">
        <f>_xlfn.XLOOKUP(B85,DataSet!$N$2:$N$600,DataSet!$G$2:$G$600,0)</f>
        <v>Duane Noonan</v>
      </c>
      <c r="E85" s="10" t="str">
        <f>_xlfn.XLOOKUP(B85,DataSet!$N$2:$N$600,DataSet!$F$2:$F$600,0)</f>
        <v>DN-13690</v>
      </c>
      <c r="F85" s="10" t="str">
        <f>_xlfn.XLOOKUP(B85,DataSet!$N$2:$N$600,DataSet!$W$2:$W$600,0)</f>
        <v>Consumer</v>
      </c>
      <c r="G85" s="13">
        <f>_xlfn.XLOOKUP(B85,DataSet!$N$2:$N$600,DataSet!$C$2:$C$600,0)</f>
        <v>41924</v>
      </c>
      <c r="H85" s="10" t="str">
        <f>_xlfn.XLOOKUP(B85,DataSet!$N$2:$N$600,DataSet!$I$2:$I$600,0)</f>
        <v>United States</v>
      </c>
      <c r="I85" s="10" t="str">
        <f>_xlfn.XLOOKUP(B85,DataSet!$N$2:$N$600,DataSet!$X$2:$X$600,0)</f>
        <v>San Francisco - California</v>
      </c>
      <c r="J85" s="10" t="str">
        <f>_xlfn.XLOOKUP(B85,DataSet!$N$2:$N$600,DataSet!$M$2:$M$600,0)</f>
        <v>West</v>
      </c>
      <c r="K85" s="10" t="str">
        <f>_xlfn.XLOOKUP(B85,DataSet!$N$2:$N$600,DataSet!$O$2:$O$600,0)</f>
        <v>Office Supplies</v>
      </c>
      <c r="L85" s="10" t="str">
        <f>_xlfn.XLOOKUP(B85,DataSet!$N$2:$N$600,DataSet!$Y$2:$Y$600,0)</f>
        <v>Storage</v>
      </c>
      <c r="M85" s="10" t="str">
        <f>_xlfn.XLOOKUP(B85,DataSet!$N$2:$N$600,DataSet!$Q$2:$Q$600,0)</f>
        <v>Sortfiler Multipurpose Personal File Organizer, Black</v>
      </c>
      <c r="N85" s="16">
        <f>_xlfn.XLOOKUP(B85,DataSet!$N$2:$N$600,DataSet!$AA$2:$AA$600,0)</f>
        <v>21.39</v>
      </c>
      <c r="O85" s="10">
        <f>_xlfn.XLOOKUP(B85,DataSet!$N$2:$N$600,DataSet!$S$2:$S$600,0)</f>
        <v>1</v>
      </c>
      <c r="P85" s="15">
        <f>_xlfn.XLOOKUP(B85,DataSet!$N$2:$N$600,DataSet!$T$2:$T$600,0)</f>
        <v>0</v>
      </c>
      <c r="Q85" s="14">
        <f>_xlfn.XLOOKUP(B85,DataSet!$N$2:$N$600,DataSet!$U$2:$U$600,0)</f>
        <v>6.2031000000000001</v>
      </c>
      <c r="R85" s="16">
        <f>_xlfn.XLOOKUP(B85,DataSet!$N$2:$N$600,DataSet!$AB$2:$AB$600,0)</f>
        <v>21.39</v>
      </c>
      <c r="S85" s="9">
        <f>_xlfn.XLOOKUP(B85,DataSet!$N$2:$N$600,DataSet!$AC$2:$AC$600,0)</f>
        <v>21.39</v>
      </c>
    </row>
    <row r="86" spans="1:19" s="12" customFormat="1" x14ac:dyDescent="0.3">
      <c r="A86" s="27">
        <v>84</v>
      </c>
      <c r="B86" s="10" t="s">
        <v>372</v>
      </c>
      <c r="C86" s="10" t="str">
        <f>_xlfn.XLOOKUP(B86,DataSet!$N$2:$N$600,DataSet!$AF$2:$AF$600,0)</f>
        <v>149734</v>
      </c>
      <c r="D86" s="10" t="str">
        <f>_xlfn.XLOOKUP(B86,DataSet!$N$2:$N$600,DataSet!$G$2:$G$600,0)</f>
        <v>Julie Creighton</v>
      </c>
      <c r="E86" s="10" t="str">
        <f>_xlfn.XLOOKUP(B86,DataSet!$N$2:$N$600,DataSet!$F$2:$F$600,0)</f>
        <v>JC-16105</v>
      </c>
      <c r="F86" s="10" t="str">
        <f>_xlfn.XLOOKUP(B86,DataSet!$N$2:$N$600,DataSet!$W$2:$W$600,0)</f>
        <v>Corporate</v>
      </c>
      <c r="G86" s="13">
        <f>_xlfn.XLOOKUP(B86,DataSet!$N$2:$N$600,DataSet!$C$2:$C$600,0)</f>
        <v>42250</v>
      </c>
      <c r="H86" s="10" t="str">
        <f>_xlfn.XLOOKUP(B86,DataSet!$N$2:$N$600,DataSet!$I$2:$I$600,0)</f>
        <v>United States</v>
      </c>
      <c r="I86" s="10" t="str">
        <f>_xlfn.XLOOKUP(B86,DataSet!$N$2:$N$600,DataSet!$X$2:$X$600,0)</f>
        <v>Durham - North Carolina</v>
      </c>
      <c r="J86" s="10" t="str">
        <f>_xlfn.XLOOKUP(B86,DataSet!$N$2:$N$600,DataSet!$M$2:$M$600,0)</f>
        <v>South</v>
      </c>
      <c r="K86" s="10" t="str">
        <f>_xlfn.XLOOKUP(B86,DataSet!$N$2:$N$600,DataSet!$O$2:$O$600,0)</f>
        <v>Office Supplies</v>
      </c>
      <c r="L86" s="10" t="str">
        <f>_xlfn.XLOOKUP(B86,DataSet!$N$2:$N$600,DataSet!$Y$2:$Y$600,0)</f>
        <v>Envelopes</v>
      </c>
      <c r="M86" s="10" t="str">
        <f>_xlfn.XLOOKUP(B86,DataSet!$N$2:$N$600,DataSet!$Q$2:$Q$600,0)</f>
        <v>Jet-Pak Recycled Peel 'N' Seal Padded Mailers</v>
      </c>
      <c r="N86" s="16">
        <f>_xlfn.XLOOKUP(B86,DataSet!$N$2:$N$600,DataSet!$AA$2:$AA$600,0)</f>
        <v>200.98400000000001</v>
      </c>
      <c r="O86" s="10">
        <f>_xlfn.XLOOKUP(B86,DataSet!$N$2:$N$600,DataSet!$S$2:$S$600,0)</f>
        <v>7</v>
      </c>
      <c r="P86" s="15">
        <f>_xlfn.XLOOKUP(B86,DataSet!$N$2:$N$600,DataSet!$T$2:$T$600,0)</f>
        <v>0.2</v>
      </c>
      <c r="Q86" s="14">
        <f>_xlfn.XLOOKUP(B86,DataSet!$N$2:$N$600,DataSet!$U$2:$U$600,0)</f>
        <v>62.807499999999997</v>
      </c>
      <c r="R86" s="16">
        <f>_xlfn.XLOOKUP(B86,DataSet!$N$2:$N$600,DataSet!$AB$2:$AB$600,0)</f>
        <v>1406.8880000000001</v>
      </c>
      <c r="S86" s="9">
        <f>_xlfn.XLOOKUP(B86,DataSet!$N$2:$N$600,DataSet!$AC$2:$AC$600,0)</f>
        <v>1125.5104000000001</v>
      </c>
    </row>
    <row r="87" spans="1:19" s="12" customFormat="1" x14ac:dyDescent="0.3">
      <c r="A87" s="27">
        <v>85</v>
      </c>
      <c r="B87" s="10" t="s">
        <v>377</v>
      </c>
      <c r="C87" s="10" t="str">
        <f>_xlfn.XLOOKUP(B87,DataSet!$N$2:$N$600,DataSet!$AF$2:$AF$600,0)</f>
        <v>119662</v>
      </c>
      <c r="D87" s="10" t="str">
        <f>_xlfn.XLOOKUP(B87,DataSet!$N$2:$N$600,DataSet!$G$2:$G$600,0)</f>
        <v>Christopher Schild</v>
      </c>
      <c r="E87" s="10" t="str">
        <f>_xlfn.XLOOKUP(B87,DataSet!$N$2:$N$600,DataSet!$F$2:$F$600,0)</f>
        <v>CS-12400</v>
      </c>
      <c r="F87" s="10" t="str">
        <f>_xlfn.XLOOKUP(B87,DataSet!$N$2:$N$600,DataSet!$W$2:$W$600,0)</f>
        <v>Home Office</v>
      </c>
      <c r="G87" s="13">
        <f>_xlfn.XLOOKUP(B87,DataSet!$N$2:$N$600,DataSet!$C$2:$C$600,0)</f>
        <v>43052</v>
      </c>
      <c r="H87" s="10" t="str">
        <f>_xlfn.XLOOKUP(B87,DataSet!$N$2:$N$600,DataSet!$I$2:$I$600,0)</f>
        <v>United States</v>
      </c>
      <c r="I87" s="10" t="str">
        <f>_xlfn.XLOOKUP(B87,DataSet!$N$2:$N$600,DataSet!$X$2:$X$600,0)</f>
        <v>Chicago - Illinois</v>
      </c>
      <c r="J87" s="10" t="str">
        <f>_xlfn.XLOOKUP(B87,DataSet!$N$2:$N$600,DataSet!$M$2:$M$600,0)</f>
        <v>Central</v>
      </c>
      <c r="K87" s="10" t="str">
        <f>_xlfn.XLOOKUP(B87,DataSet!$N$2:$N$600,DataSet!$O$2:$O$600,0)</f>
        <v>Office Supplies</v>
      </c>
      <c r="L87" s="10" t="str">
        <f>_xlfn.XLOOKUP(B87,DataSet!$N$2:$N$600,DataSet!$Y$2:$Y$600,0)</f>
        <v>Storage</v>
      </c>
      <c r="M87" s="10" t="str">
        <f>_xlfn.XLOOKUP(B87,DataSet!$N$2:$N$600,DataSet!$Q$2:$Q$600,0)</f>
        <v>Safco Industrial Wire Shelving</v>
      </c>
      <c r="N87" s="16">
        <f>_xlfn.XLOOKUP(B87,DataSet!$N$2:$N$600,DataSet!$AA$2:$AA$600,0)</f>
        <v>230.376</v>
      </c>
      <c r="O87" s="10">
        <f>_xlfn.XLOOKUP(B87,DataSet!$N$2:$N$600,DataSet!$S$2:$S$600,0)</f>
        <v>3</v>
      </c>
      <c r="P87" s="15">
        <f>_xlfn.XLOOKUP(B87,DataSet!$N$2:$N$600,DataSet!$T$2:$T$600,0)</f>
        <v>0.2</v>
      </c>
      <c r="Q87" s="14">
        <f>_xlfn.XLOOKUP(B87,DataSet!$N$2:$N$600,DataSet!$U$2:$U$600,0)</f>
        <v>-48.954900000000002</v>
      </c>
      <c r="R87" s="16">
        <f>_xlfn.XLOOKUP(B87,DataSet!$N$2:$N$600,DataSet!$AB$2:$AB$600,0)</f>
        <v>691.12800000000004</v>
      </c>
      <c r="S87" s="9">
        <f>_xlfn.XLOOKUP(B87,DataSet!$N$2:$N$600,DataSet!$AC$2:$AC$600,0)</f>
        <v>552.90240000000006</v>
      </c>
    </row>
    <row r="88" spans="1:19" s="12" customFormat="1" x14ac:dyDescent="0.3">
      <c r="A88" s="27">
        <v>86</v>
      </c>
      <c r="B88" s="10" t="s">
        <v>382</v>
      </c>
      <c r="C88" s="10" t="str">
        <f>_xlfn.XLOOKUP(B88,DataSet!$N$2:$N$600,DataSet!$AF$2:$AF$600,0)</f>
        <v>140088</v>
      </c>
      <c r="D88" s="10" t="str">
        <f>_xlfn.XLOOKUP(B88,DataSet!$N$2:$N$600,DataSet!$G$2:$G$600,0)</f>
        <v>Patrick O'Donnell</v>
      </c>
      <c r="E88" s="10" t="str">
        <f>_xlfn.XLOOKUP(B88,DataSet!$N$2:$N$600,DataSet!$F$2:$F$600,0)</f>
        <v>PO-18865</v>
      </c>
      <c r="F88" s="10" t="str">
        <f>_xlfn.XLOOKUP(B88,DataSet!$N$2:$N$600,DataSet!$W$2:$W$600,0)</f>
        <v>Consumer</v>
      </c>
      <c r="G88" s="13">
        <f>_xlfn.XLOOKUP(B88,DataSet!$N$2:$N$600,DataSet!$C$2:$C$600,0)</f>
        <v>42883</v>
      </c>
      <c r="H88" s="10" t="str">
        <f>_xlfn.XLOOKUP(B88,DataSet!$N$2:$N$600,DataSet!$I$2:$I$600,0)</f>
        <v>United States</v>
      </c>
      <c r="I88" s="10" t="str">
        <f>_xlfn.XLOOKUP(B88,DataSet!$N$2:$N$600,DataSet!$X$2:$X$600,0)</f>
        <v>Columbia - South Carolina</v>
      </c>
      <c r="J88" s="10" t="str">
        <f>_xlfn.XLOOKUP(B88,DataSet!$N$2:$N$600,DataSet!$M$2:$M$600,0)</f>
        <v>South</v>
      </c>
      <c r="K88" s="10" t="str">
        <f>_xlfn.XLOOKUP(B88,DataSet!$N$2:$N$600,DataSet!$O$2:$O$600,0)</f>
        <v>Furniture</v>
      </c>
      <c r="L88" s="10" t="str">
        <f>_xlfn.XLOOKUP(B88,DataSet!$N$2:$N$600,DataSet!$Y$2:$Y$600,0)</f>
        <v>Chairs</v>
      </c>
      <c r="M88" s="10" t="str">
        <f>_xlfn.XLOOKUP(B88,DataSet!$N$2:$N$600,DataSet!$Q$2:$Q$600,0)</f>
        <v>Novimex Swivel Fabric Task Chair</v>
      </c>
      <c r="N88" s="16">
        <f>_xlfn.XLOOKUP(B88,DataSet!$N$2:$N$600,DataSet!$AA$2:$AA$600,0)</f>
        <v>301.95999999999998</v>
      </c>
      <c r="O88" s="10">
        <f>_xlfn.XLOOKUP(B88,DataSet!$N$2:$N$600,DataSet!$S$2:$S$600,0)</f>
        <v>2</v>
      </c>
      <c r="P88" s="15">
        <f>_xlfn.XLOOKUP(B88,DataSet!$N$2:$N$600,DataSet!$T$2:$T$600,0)</f>
        <v>0</v>
      </c>
      <c r="Q88" s="14">
        <f>_xlfn.XLOOKUP(B88,DataSet!$N$2:$N$600,DataSet!$U$2:$U$600,0)</f>
        <v>33.215600000000002</v>
      </c>
      <c r="R88" s="16">
        <f>_xlfn.XLOOKUP(B88,DataSet!$N$2:$N$600,DataSet!$AB$2:$AB$600,0)</f>
        <v>603.91999999999996</v>
      </c>
      <c r="S88" s="9">
        <f>_xlfn.XLOOKUP(B88,DataSet!$N$2:$N$600,DataSet!$AC$2:$AC$600,0)</f>
        <v>603.91999999999996</v>
      </c>
    </row>
    <row r="89" spans="1:19" s="12" customFormat="1" x14ac:dyDescent="0.3">
      <c r="A89" s="27">
        <v>87</v>
      </c>
      <c r="B89" s="10" t="s">
        <v>388</v>
      </c>
      <c r="C89" s="10" t="str">
        <f>_xlfn.XLOOKUP(B89,DataSet!$N$2:$N$600,DataSet!$AF$2:$AF$600,0)</f>
        <v>155558</v>
      </c>
      <c r="D89" s="10" t="str">
        <f>_xlfn.XLOOKUP(B89,DataSet!$N$2:$N$600,DataSet!$G$2:$G$600,0)</f>
        <v>Paul Gonzalez</v>
      </c>
      <c r="E89" s="10" t="str">
        <f>_xlfn.XLOOKUP(B89,DataSet!$N$2:$N$600,DataSet!$F$2:$F$600,0)</f>
        <v>PG-18895</v>
      </c>
      <c r="F89" s="10" t="str">
        <f>_xlfn.XLOOKUP(B89,DataSet!$N$2:$N$600,DataSet!$W$2:$W$600,0)</f>
        <v>Consumer</v>
      </c>
      <c r="G89" s="13">
        <f>_xlfn.XLOOKUP(B89,DataSet!$N$2:$N$600,DataSet!$C$2:$C$600,0)</f>
        <v>43034</v>
      </c>
      <c r="H89" s="10" t="str">
        <f>_xlfn.XLOOKUP(B89,DataSet!$N$2:$N$600,DataSet!$I$2:$I$600,0)</f>
        <v>United States</v>
      </c>
      <c r="I89" s="10" t="str">
        <f>_xlfn.XLOOKUP(B89,DataSet!$N$2:$N$600,DataSet!$X$2:$X$600,0)</f>
        <v>Rochester - Minnesota</v>
      </c>
      <c r="J89" s="10" t="str">
        <f>_xlfn.XLOOKUP(B89,DataSet!$N$2:$N$600,DataSet!$M$2:$M$600,0)</f>
        <v>Central</v>
      </c>
      <c r="K89" s="10" t="str">
        <f>_xlfn.XLOOKUP(B89,DataSet!$N$2:$N$600,DataSet!$O$2:$O$600,0)</f>
        <v>Technology</v>
      </c>
      <c r="L89" s="10" t="str">
        <f>_xlfn.XLOOKUP(B89,DataSet!$N$2:$N$600,DataSet!$Y$2:$Y$600,0)</f>
        <v>Accessories</v>
      </c>
      <c r="M89" s="10" t="str">
        <f>_xlfn.XLOOKUP(B89,DataSet!$N$2:$N$600,DataSet!$Q$2:$Q$600,0)</f>
        <v>Logitech LS21 Speaker System - PC Multimedia - 2.1-CH - Wired</v>
      </c>
      <c r="N89" s="16">
        <f>_xlfn.XLOOKUP(B89,DataSet!$N$2:$N$600,DataSet!$AA$2:$AA$600,0)</f>
        <v>19.989999999999998</v>
      </c>
      <c r="O89" s="10">
        <f>_xlfn.XLOOKUP(B89,DataSet!$N$2:$N$600,DataSet!$S$2:$S$600,0)</f>
        <v>1</v>
      </c>
      <c r="P89" s="15">
        <f>_xlfn.XLOOKUP(B89,DataSet!$N$2:$N$600,DataSet!$T$2:$T$600,0)</f>
        <v>0</v>
      </c>
      <c r="Q89" s="14">
        <f>_xlfn.XLOOKUP(B89,DataSet!$N$2:$N$600,DataSet!$U$2:$U$600,0)</f>
        <v>6.7965999999999998</v>
      </c>
      <c r="R89" s="16">
        <f>_xlfn.XLOOKUP(B89,DataSet!$N$2:$N$600,DataSet!$AB$2:$AB$600,0)</f>
        <v>19.989999999999998</v>
      </c>
      <c r="S89" s="9">
        <f>_xlfn.XLOOKUP(B89,DataSet!$N$2:$N$600,DataSet!$AC$2:$AC$600,0)</f>
        <v>19.989999999999998</v>
      </c>
    </row>
    <row r="90" spans="1:19" s="12" customFormat="1" x14ac:dyDescent="0.3">
      <c r="A90" s="27">
        <v>88</v>
      </c>
      <c r="B90" s="10" t="s">
        <v>390</v>
      </c>
      <c r="C90" s="10" t="str">
        <f>_xlfn.XLOOKUP(B90,DataSet!$N$2:$N$600,DataSet!$AF$2:$AF$600,0)</f>
        <v>155558</v>
      </c>
      <c r="D90" s="10" t="str">
        <f>_xlfn.XLOOKUP(B90,DataSet!$N$2:$N$600,DataSet!$G$2:$G$600,0)</f>
        <v>Paul Gonzalez</v>
      </c>
      <c r="E90" s="10" t="str">
        <f>_xlfn.XLOOKUP(B90,DataSet!$N$2:$N$600,DataSet!$F$2:$F$600,0)</f>
        <v>PG-18895</v>
      </c>
      <c r="F90" s="10" t="str">
        <f>_xlfn.XLOOKUP(B90,DataSet!$N$2:$N$600,DataSet!$W$2:$W$600,0)</f>
        <v>Consumer</v>
      </c>
      <c r="G90" s="13">
        <f>_xlfn.XLOOKUP(B90,DataSet!$N$2:$N$600,DataSet!$C$2:$C$600,0)</f>
        <v>43034</v>
      </c>
      <c r="H90" s="10" t="str">
        <f>_xlfn.XLOOKUP(B90,DataSet!$N$2:$N$600,DataSet!$I$2:$I$600,0)</f>
        <v>United States</v>
      </c>
      <c r="I90" s="10" t="str">
        <f>_xlfn.XLOOKUP(B90,DataSet!$N$2:$N$600,DataSet!$X$2:$X$600,0)</f>
        <v>Rochester - Minnesota</v>
      </c>
      <c r="J90" s="10" t="str">
        <f>_xlfn.XLOOKUP(B90,DataSet!$N$2:$N$600,DataSet!$M$2:$M$600,0)</f>
        <v>Central</v>
      </c>
      <c r="K90" s="10" t="str">
        <f>_xlfn.XLOOKUP(B90,DataSet!$N$2:$N$600,DataSet!$O$2:$O$600,0)</f>
        <v>Office Supplies</v>
      </c>
      <c r="L90" s="10" t="str">
        <f>_xlfn.XLOOKUP(B90,DataSet!$N$2:$N$600,DataSet!$Y$2:$Y$600,0)</f>
        <v>Labels</v>
      </c>
      <c r="M90" s="10" t="str">
        <f>_xlfn.XLOOKUP(B90,DataSet!$N$2:$N$600,DataSet!$Q$2:$Q$600,0)</f>
        <v>Avery 511</v>
      </c>
      <c r="N90" s="16">
        <f>_xlfn.XLOOKUP(B90,DataSet!$N$2:$N$600,DataSet!$AA$2:$AA$600,0)</f>
        <v>6.16</v>
      </c>
      <c r="O90" s="10">
        <f>_xlfn.XLOOKUP(B90,DataSet!$N$2:$N$600,DataSet!$S$2:$S$600,0)</f>
        <v>2</v>
      </c>
      <c r="P90" s="15">
        <f>_xlfn.XLOOKUP(B90,DataSet!$N$2:$N$600,DataSet!$T$2:$T$600,0)</f>
        <v>0</v>
      </c>
      <c r="Q90" s="14">
        <f>_xlfn.XLOOKUP(B90,DataSet!$N$2:$N$600,DataSet!$U$2:$U$600,0)</f>
        <v>2.9567999999999999</v>
      </c>
      <c r="R90" s="16">
        <f>_xlfn.XLOOKUP(B90,DataSet!$N$2:$N$600,DataSet!$AB$2:$AB$600,0)</f>
        <v>12.32</v>
      </c>
      <c r="S90" s="9">
        <f>_xlfn.XLOOKUP(B90,DataSet!$N$2:$N$600,DataSet!$AC$2:$AC$600,0)</f>
        <v>12.32</v>
      </c>
    </row>
    <row r="91" spans="1:19" s="12" customFormat="1" x14ac:dyDescent="0.3">
      <c r="A91" s="27">
        <v>89</v>
      </c>
      <c r="B91" s="10" t="s">
        <v>395</v>
      </c>
      <c r="C91" s="10" t="str">
        <f>_xlfn.XLOOKUP(B91,DataSet!$N$2:$N$600,DataSet!$AF$2:$AF$600,0)</f>
        <v>159695</v>
      </c>
      <c r="D91" s="10" t="str">
        <f>_xlfn.XLOOKUP(B91,DataSet!$N$2:$N$600,DataSet!$G$2:$G$600,0)</f>
        <v>Gary Mitchum</v>
      </c>
      <c r="E91" s="10" t="str">
        <f>_xlfn.XLOOKUP(B91,DataSet!$N$2:$N$600,DataSet!$F$2:$F$600,0)</f>
        <v>GM-14455</v>
      </c>
      <c r="F91" s="10" t="str">
        <f>_xlfn.XLOOKUP(B91,DataSet!$N$2:$N$600,DataSet!$W$2:$W$600,0)</f>
        <v>Home Office</v>
      </c>
      <c r="G91" s="13">
        <f>_xlfn.XLOOKUP(B91,DataSet!$N$2:$N$600,DataSet!$C$2:$C$600,0)</f>
        <v>42465</v>
      </c>
      <c r="H91" s="10" t="str">
        <f>_xlfn.XLOOKUP(B91,DataSet!$N$2:$N$600,DataSet!$I$2:$I$600,0)</f>
        <v>United States</v>
      </c>
      <c r="I91" s="10" t="str">
        <f>_xlfn.XLOOKUP(B91,DataSet!$N$2:$N$600,DataSet!$X$2:$X$600,0)</f>
        <v>Houston - Texas</v>
      </c>
      <c r="J91" s="10" t="str">
        <f>_xlfn.XLOOKUP(B91,DataSet!$N$2:$N$600,DataSet!$M$2:$M$600,0)</f>
        <v>Central</v>
      </c>
      <c r="K91" s="10" t="str">
        <f>_xlfn.XLOOKUP(B91,DataSet!$N$2:$N$600,DataSet!$O$2:$O$600,0)</f>
        <v>Office Supplies</v>
      </c>
      <c r="L91" s="10" t="str">
        <f>_xlfn.XLOOKUP(B91,DataSet!$N$2:$N$600,DataSet!$Y$2:$Y$600,0)</f>
        <v>Storage</v>
      </c>
      <c r="M91" s="10" t="str">
        <f>_xlfn.XLOOKUP(B91,DataSet!$N$2:$N$600,DataSet!$Q$2:$Q$600,0)</f>
        <v>Eldon Portable Mobile Manager</v>
      </c>
      <c r="N91" s="16">
        <f>_xlfn.XLOOKUP(B91,DataSet!$N$2:$N$600,DataSet!$AA$2:$AA$600,0)</f>
        <v>158.36799999999999</v>
      </c>
      <c r="O91" s="10">
        <f>_xlfn.XLOOKUP(B91,DataSet!$N$2:$N$600,DataSet!$S$2:$S$600,0)</f>
        <v>7</v>
      </c>
      <c r="P91" s="15">
        <f>_xlfn.XLOOKUP(B91,DataSet!$N$2:$N$600,DataSet!$T$2:$T$600,0)</f>
        <v>0.2</v>
      </c>
      <c r="Q91" s="14">
        <f>_xlfn.XLOOKUP(B91,DataSet!$N$2:$N$600,DataSet!$U$2:$U$600,0)</f>
        <v>13.857200000000001</v>
      </c>
      <c r="R91" s="16">
        <f>_xlfn.XLOOKUP(B91,DataSet!$N$2:$N$600,DataSet!$AB$2:$AB$600,0)</f>
        <v>1108.576</v>
      </c>
      <c r="S91" s="9">
        <f>_xlfn.XLOOKUP(B91,DataSet!$N$2:$N$600,DataSet!$AC$2:$AC$600,0)</f>
        <v>886.86080000000004</v>
      </c>
    </row>
    <row r="92" spans="1:19" s="12" customFormat="1" x14ac:dyDescent="0.3">
      <c r="A92" s="27">
        <v>90</v>
      </c>
      <c r="B92" s="10" t="s">
        <v>400</v>
      </c>
      <c r="C92" s="10" t="str">
        <f>_xlfn.XLOOKUP(B92,DataSet!$N$2:$N$600,DataSet!$AF$2:$AF$600,0)</f>
        <v>109806</v>
      </c>
      <c r="D92" s="10" t="str">
        <f>_xlfn.XLOOKUP(B92,DataSet!$N$2:$N$600,DataSet!$G$2:$G$600,0)</f>
        <v>Jim Sink</v>
      </c>
      <c r="E92" s="10" t="str">
        <f>_xlfn.XLOOKUP(B92,DataSet!$N$2:$N$600,DataSet!$F$2:$F$600,0)</f>
        <v>JS-15685</v>
      </c>
      <c r="F92" s="10" t="str">
        <f>_xlfn.XLOOKUP(B92,DataSet!$N$2:$N$600,DataSet!$W$2:$W$600,0)</f>
        <v>Corporate</v>
      </c>
      <c r="G92" s="13">
        <f>_xlfn.XLOOKUP(B92,DataSet!$N$2:$N$600,DataSet!$C$2:$C$600,0)</f>
        <v>42630</v>
      </c>
      <c r="H92" s="10" t="str">
        <f>_xlfn.XLOOKUP(B92,DataSet!$N$2:$N$600,DataSet!$I$2:$I$600,0)</f>
        <v>United States</v>
      </c>
      <c r="I92" s="10" t="str">
        <f>_xlfn.XLOOKUP(B92,DataSet!$N$2:$N$600,DataSet!$X$2:$X$600,0)</f>
        <v>Los Angeles - California</v>
      </c>
      <c r="J92" s="10" t="str">
        <f>_xlfn.XLOOKUP(B92,DataSet!$N$2:$N$600,DataSet!$M$2:$M$600,0)</f>
        <v>West</v>
      </c>
      <c r="K92" s="10" t="str">
        <f>_xlfn.XLOOKUP(B92,DataSet!$N$2:$N$600,DataSet!$O$2:$O$600,0)</f>
        <v>Office Supplies</v>
      </c>
      <c r="L92" s="10" t="str">
        <f>_xlfn.XLOOKUP(B92,DataSet!$N$2:$N$600,DataSet!$Y$2:$Y$600,0)</f>
        <v>Art</v>
      </c>
      <c r="M92" s="10" t="str">
        <f>_xlfn.XLOOKUP(B92,DataSet!$N$2:$N$600,DataSet!$Q$2:$Q$600,0)</f>
        <v>Turquoise Lead Holder with Pocket Clip</v>
      </c>
      <c r="N92" s="16">
        <f>_xlfn.XLOOKUP(B92,DataSet!$N$2:$N$600,DataSet!$AA$2:$AA$600,0)</f>
        <v>20.100000000000001</v>
      </c>
      <c r="O92" s="10">
        <f>_xlfn.XLOOKUP(B92,DataSet!$N$2:$N$600,DataSet!$S$2:$S$600,0)</f>
        <v>3</v>
      </c>
      <c r="P92" s="15">
        <f>_xlfn.XLOOKUP(B92,DataSet!$N$2:$N$600,DataSet!$T$2:$T$600,0)</f>
        <v>0</v>
      </c>
      <c r="Q92" s="14">
        <f>_xlfn.XLOOKUP(B92,DataSet!$N$2:$N$600,DataSet!$U$2:$U$600,0)</f>
        <v>6.633</v>
      </c>
      <c r="R92" s="16">
        <f>_xlfn.XLOOKUP(B92,DataSet!$N$2:$N$600,DataSet!$AB$2:$AB$600,0)</f>
        <v>60.300000000000004</v>
      </c>
      <c r="S92" s="9">
        <f>_xlfn.XLOOKUP(B92,DataSet!$N$2:$N$600,DataSet!$AC$2:$AC$600,0)</f>
        <v>60.300000000000004</v>
      </c>
    </row>
    <row r="93" spans="1:19" s="12" customFormat="1" x14ac:dyDescent="0.3">
      <c r="A93" s="27">
        <v>91</v>
      </c>
      <c r="B93" s="10" t="s">
        <v>210</v>
      </c>
      <c r="C93" s="10" t="str">
        <f>_xlfn.XLOOKUP(B93,DataSet!$N$2:$N$600,DataSet!$AF$2:$AF$600,0)</f>
        <v>120999</v>
      </c>
      <c r="D93" s="10" t="str">
        <f>_xlfn.XLOOKUP(B93,DataSet!$N$2:$N$600,DataSet!$G$2:$G$600,0)</f>
        <v>Linda Cazamias</v>
      </c>
      <c r="E93" s="10" t="str">
        <f>_xlfn.XLOOKUP(B93,DataSet!$N$2:$N$600,DataSet!$F$2:$F$600,0)</f>
        <v>LC-16930</v>
      </c>
      <c r="F93" s="10" t="str">
        <f>_xlfn.XLOOKUP(B93,DataSet!$N$2:$N$600,DataSet!$W$2:$W$600,0)</f>
        <v>Corporate</v>
      </c>
      <c r="G93" s="13">
        <f>_xlfn.XLOOKUP(B93,DataSet!$N$2:$N$600,DataSet!$C$2:$C$600,0)</f>
        <v>42988</v>
      </c>
      <c r="H93" s="10" t="str">
        <f>_xlfn.XLOOKUP(B93,DataSet!$N$2:$N$600,DataSet!$I$2:$I$600,0)</f>
        <v>United States</v>
      </c>
      <c r="I93" s="10" t="str">
        <f>_xlfn.XLOOKUP(B93,DataSet!$N$2:$N$600,DataSet!$X$2:$X$600,0)</f>
        <v>Naperville - Illinois</v>
      </c>
      <c r="J93" s="10" t="str">
        <f>_xlfn.XLOOKUP(B93,DataSet!$N$2:$N$600,DataSet!$M$2:$M$600,0)</f>
        <v>Central</v>
      </c>
      <c r="K93" s="10" t="str">
        <f>_xlfn.XLOOKUP(B93,DataSet!$N$2:$N$600,DataSet!$O$2:$O$600,0)</f>
        <v>Technology</v>
      </c>
      <c r="L93" s="10" t="str">
        <f>_xlfn.XLOOKUP(B93,DataSet!$N$2:$N$600,DataSet!$Y$2:$Y$600,0)</f>
        <v>Phones</v>
      </c>
      <c r="M93" s="10" t="str">
        <f>_xlfn.XLOOKUP(B93,DataSet!$N$2:$N$600,DataSet!$Q$2:$Q$600,0)</f>
        <v>Panasonic Kx-TS550</v>
      </c>
      <c r="N93" s="16">
        <f>_xlfn.XLOOKUP(B93,DataSet!$N$2:$N$600,DataSet!$AA$2:$AA$600,0)</f>
        <v>147.16800000000001</v>
      </c>
      <c r="O93" s="10">
        <f>_xlfn.XLOOKUP(B93,DataSet!$N$2:$N$600,DataSet!$S$2:$S$600,0)</f>
        <v>4</v>
      </c>
      <c r="P93" s="15">
        <f>_xlfn.XLOOKUP(B93,DataSet!$N$2:$N$600,DataSet!$T$2:$T$600,0)</f>
        <v>0.2</v>
      </c>
      <c r="Q93" s="14">
        <f>_xlfn.XLOOKUP(B93,DataSet!$N$2:$N$600,DataSet!$U$2:$U$600,0)</f>
        <v>16.5564</v>
      </c>
      <c r="R93" s="16">
        <f>_xlfn.XLOOKUP(B93,DataSet!$N$2:$N$600,DataSet!$AB$2:$AB$600,0)</f>
        <v>588.67200000000003</v>
      </c>
      <c r="S93" s="9">
        <f>_xlfn.XLOOKUP(B93,DataSet!$N$2:$N$600,DataSet!$AC$2:$AC$600,0)</f>
        <v>470.93760000000003</v>
      </c>
    </row>
    <row r="94" spans="1:19" s="12" customFormat="1" x14ac:dyDescent="0.3">
      <c r="A94" s="27">
        <v>92</v>
      </c>
      <c r="B94" s="10" t="s">
        <v>402</v>
      </c>
      <c r="C94" s="10" t="str">
        <f>_xlfn.XLOOKUP(B94,DataSet!$N$2:$N$600,DataSet!$AF$2:$AF$600,0)</f>
        <v>109806</v>
      </c>
      <c r="D94" s="10" t="str">
        <f>_xlfn.XLOOKUP(B94,DataSet!$N$2:$N$600,DataSet!$G$2:$G$600,0)</f>
        <v>Jim Sink</v>
      </c>
      <c r="E94" s="10" t="str">
        <f>_xlfn.XLOOKUP(B94,DataSet!$N$2:$N$600,DataSet!$F$2:$F$600,0)</f>
        <v>JS-15685</v>
      </c>
      <c r="F94" s="10" t="str">
        <f>_xlfn.XLOOKUP(B94,DataSet!$N$2:$N$600,DataSet!$W$2:$W$600,0)</f>
        <v>UNKNOWN</v>
      </c>
      <c r="G94" s="13">
        <f>_xlfn.XLOOKUP(B94,DataSet!$N$2:$N$600,DataSet!$C$2:$C$600,0)</f>
        <v>42630</v>
      </c>
      <c r="H94" s="10" t="str">
        <f>_xlfn.XLOOKUP(B94,DataSet!$N$2:$N$600,DataSet!$I$2:$I$600,0)</f>
        <v>United States</v>
      </c>
      <c r="I94" s="10" t="str">
        <f>_xlfn.XLOOKUP(B94,DataSet!$N$2:$N$600,DataSet!$X$2:$X$600,0)</f>
        <v>Los Angeles - California</v>
      </c>
      <c r="J94" s="10" t="str">
        <f>_xlfn.XLOOKUP(B94,DataSet!$N$2:$N$600,DataSet!$M$2:$M$600,0)</f>
        <v>West</v>
      </c>
      <c r="K94" s="10" t="str">
        <f>_xlfn.XLOOKUP(B94,DataSet!$N$2:$N$600,DataSet!$O$2:$O$600,0)</f>
        <v>Office Supplies</v>
      </c>
      <c r="L94" s="10" t="str">
        <f>_xlfn.XLOOKUP(B94,DataSet!$N$2:$N$600,DataSet!$Y$2:$Y$600,0)</f>
        <v>Paper</v>
      </c>
      <c r="M94" s="10" t="str">
        <f>_xlfn.XLOOKUP(B94,DataSet!$N$2:$N$600,DataSet!$Q$2:$Q$600,0)</f>
        <v>Xerox 1995</v>
      </c>
      <c r="N94" s="16">
        <f>_xlfn.XLOOKUP(B94,DataSet!$N$2:$N$600,DataSet!$AA$2:$AA$600,0)</f>
        <v>6.48</v>
      </c>
      <c r="O94" s="10">
        <f>_xlfn.XLOOKUP(B94,DataSet!$N$2:$N$600,DataSet!$S$2:$S$600,0)</f>
        <v>1</v>
      </c>
      <c r="P94" s="15">
        <f>_xlfn.XLOOKUP(B94,DataSet!$N$2:$N$600,DataSet!$T$2:$T$600,0)</f>
        <v>0</v>
      </c>
      <c r="Q94" s="14">
        <f>_xlfn.XLOOKUP(B94,DataSet!$N$2:$N$600,DataSet!$U$2:$U$600,0)</f>
        <v>3.1103999999999998</v>
      </c>
      <c r="R94" s="16">
        <f>_xlfn.XLOOKUP(B94,DataSet!$N$2:$N$600,DataSet!$AB$2:$AB$600,0)</f>
        <v>6.48</v>
      </c>
      <c r="S94" s="9">
        <f>_xlfn.XLOOKUP(B94,DataSet!$N$2:$N$600,DataSet!$AC$2:$AC$600,0)</f>
        <v>6.48</v>
      </c>
    </row>
    <row r="95" spans="1:19" s="12" customFormat="1" x14ac:dyDescent="0.3">
      <c r="A95" s="27">
        <v>93</v>
      </c>
      <c r="B95" s="10" t="s">
        <v>408</v>
      </c>
      <c r="C95" s="10" t="str">
        <f>_xlfn.XLOOKUP(B95,DataSet!$N$2:$N$600,DataSet!$AF$2:$AF$600,0)</f>
        <v>149587</v>
      </c>
      <c r="D95" s="10" t="str">
        <f>_xlfn.XLOOKUP(B95,DataSet!$N$2:$N$600,DataSet!$G$2:$G$600,0)</f>
        <v>Karl Braun</v>
      </c>
      <c r="E95" s="10" t="str">
        <f>_xlfn.XLOOKUP(B95,DataSet!$N$2:$N$600,DataSet!$F$2:$F$600,0)</f>
        <v>KB-16315</v>
      </c>
      <c r="F95" s="10" t="str">
        <f>_xlfn.XLOOKUP(B95,DataSet!$N$2:$N$600,DataSet!$W$2:$W$600,0)</f>
        <v>Consumer</v>
      </c>
      <c r="G95" s="13">
        <f>_xlfn.XLOOKUP(B95,DataSet!$N$2:$N$600,DataSet!$C$2:$C$600,0)</f>
        <v>42035</v>
      </c>
      <c r="H95" s="10" t="str">
        <f>_xlfn.XLOOKUP(B95,DataSet!$N$2:$N$600,DataSet!$I$2:$I$600,0)</f>
        <v>United States</v>
      </c>
      <c r="I95" s="10" t="str">
        <f>_xlfn.XLOOKUP(B95,DataSet!$N$2:$N$600,DataSet!$X$2:$X$600,0)</f>
        <v>Minneapolis - Minnesota</v>
      </c>
      <c r="J95" s="10" t="str">
        <f>_xlfn.XLOOKUP(B95,DataSet!$N$2:$N$600,DataSet!$M$2:$M$600,0)</f>
        <v>Central</v>
      </c>
      <c r="K95" s="10" t="str">
        <f>_xlfn.XLOOKUP(B95,DataSet!$N$2:$N$600,DataSet!$O$2:$O$600,0)</f>
        <v>Office Supplies</v>
      </c>
      <c r="L95" s="10" t="str">
        <f>_xlfn.XLOOKUP(B95,DataSet!$N$2:$N$600,DataSet!$Y$2:$Y$600,0)</f>
        <v>Paper</v>
      </c>
      <c r="M95" s="10" t="str">
        <f>_xlfn.XLOOKUP(B95,DataSet!$N$2:$N$600,DataSet!$Q$2:$Q$600,0)</f>
        <v>Xerox 1999</v>
      </c>
      <c r="N95" s="16">
        <f>_xlfn.XLOOKUP(B95,DataSet!$N$2:$N$600,DataSet!$AA$2:$AA$600,0)</f>
        <v>12.96</v>
      </c>
      <c r="O95" s="10">
        <f>_xlfn.XLOOKUP(B95,DataSet!$N$2:$N$600,DataSet!$S$2:$S$600,0)</f>
        <v>2</v>
      </c>
      <c r="P95" s="15">
        <f>_xlfn.XLOOKUP(B95,DataSet!$N$2:$N$600,DataSet!$T$2:$T$600,0)</f>
        <v>0</v>
      </c>
      <c r="Q95" s="14">
        <f>_xlfn.XLOOKUP(B95,DataSet!$N$2:$N$600,DataSet!$U$2:$U$600,0)</f>
        <v>6.2207999999999997</v>
      </c>
      <c r="R95" s="16">
        <f>_xlfn.XLOOKUP(B95,DataSet!$N$2:$N$600,DataSet!$AB$2:$AB$600,0)</f>
        <v>25.92</v>
      </c>
      <c r="S95" s="9">
        <f>_xlfn.XLOOKUP(B95,DataSet!$N$2:$N$600,DataSet!$AC$2:$AC$600,0)</f>
        <v>25.92</v>
      </c>
    </row>
    <row r="96" spans="1:19" s="12" customFormat="1" x14ac:dyDescent="0.3">
      <c r="A96" s="27">
        <v>94</v>
      </c>
      <c r="B96" s="10" t="s">
        <v>410</v>
      </c>
      <c r="C96" s="10" t="str">
        <f>_xlfn.XLOOKUP(B96,DataSet!$N$2:$N$600,DataSet!$AF$2:$AF$600,0)</f>
        <v>149587</v>
      </c>
      <c r="D96" s="10" t="str">
        <f>_xlfn.XLOOKUP(B96,DataSet!$N$2:$N$600,DataSet!$G$2:$G$600,0)</f>
        <v>Karl Braun</v>
      </c>
      <c r="E96" s="10" t="str">
        <f>_xlfn.XLOOKUP(B96,DataSet!$N$2:$N$600,DataSet!$F$2:$F$600,0)</f>
        <v>KB-16315</v>
      </c>
      <c r="F96" s="10" t="str">
        <f>_xlfn.XLOOKUP(B96,DataSet!$N$2:$N$600,DataSet!$W$2:$W$600,0)</f>
        <v>Consumer</v>
      </c>
      <c r="G96" s="13">
        <f>_xlfn.XLOOKUP(B96,DataSet!$N$2:$N$600,DataSet!$C$2:$C$600,0)</f>
        <v>42035</v>
      </c>
      <c r="H96" s="10" t="str">
        <f>_xlfn.XLOOKUP(B96,DataSet!$N$2:$N$600,DataSet!$I$2:$I$600,0)</f>
        <v>United States</v>
      </c>
      <c r="I96" s="10" t="str">
        <f>_xlfn.XLOOKUP(B96,DataSet!$N$2:$N$600,DataSet!$X$2:$X$600,0)</f>
        <v>Minneapolis - Minnesota</v>
      </c>
      <c r="J96" s="10" t="str">
        <f>_xlfn.XLOOKUP(B96,DataSet!$N$2:$N$600,DataSet!$M$2:$M$600,0)</f>
        <v>Central</v>
      </c>
      <c r="K96" s="10" t="str">
        <f>_xlfn.XLOOKUP(B96,DataSet!$N$2:$N$600,DataSet!$O$2:$O$600,0)</f>
        <v>Furniture</v>
      </c>
      <c r="L96" s="10" t="str">
        <f>_xlfn.XLOOKUP(B96,DataSet!$N$2:$N$600,DataSet!$Y$2:$Y$600,0)</f>
        <v>Furnishings</v>
      </c>
      <c r="M96" s="10" t="str">
        <f>_xlfn.XLOOKUP(B96,DataSet!$N$2:$N$600,DataSet!$Q$2:$Q$600,0)</f>
        <v>Seth Thomas 13 1/2" Wall Clock</v>
      </c>
      <c r="N96" s="16">
        <f>_xlfn.XLOOKUP(B96,DataSet!$N$2:$N$600,DataSet!$AA$2:$AA$600,0)</f>
        <v>53.34</v>
      </c>
      <c r="O96" s="10">
        <f>_xlfn.XLOOKUP(B96,DataSet!$N$2:$N$600,DataSet!$S$2:$S$600,0)</f>
        <v>3</v>
      </c>
      <c r="P96" s="15">
        <f>_xlfn.XLOOKUP(B96,DataSet!$N$2:$N$600,DataSet!$T$2:$T$600,0)</f>
        <v>0</v>
      </c>
      <c r="Q96" s="14">
        <f>_xlfn.XLOOKUP(B96,DataSet!$N$2:$N$600,DataSet!$U$2:$U$600,0)</f>
        <v>16.535399999999999</v>
      </c>
      <c r="R96" s="16">
        <f>_xlfn.XLOOKUP(B96,DataSet!$N$2:$N$600,DataSet!$AB$2:$AB$600,0)</f>
        <v>160.02000000000001</v>
      </c>
      <c r="S96" s="9">
        <f>_xlfn.XLOOKUP(B96,DataSet!$N$2:$N$600,DataSet!$AC$2:$AC$600,0)</f>
        <v>160.02000000000001</v>
      </c>
    </row>
    <row r="97" spans="1:19" s="12" customFormat="1" x14ac:dyDescent="0.3">
      <c r="A97" s="27">
        <v>95</v>
      </c>
      <c r="B97" s="10" t="s">
        <v>412</v>
      </c>
      <c r="C97" s="10" t="str">
        <f>_xlfn.XLOOKUP(B97,DataSet!$N$2:$N$600,DataSet!$AF$2:$AF$600,0)</f>
        <v>149587</v>
      </c>
      <c r="D97" s="10" t="str">
        <f>_xlfn.XLOOKUP(B97,DataSet!$N$2:$N$600,DataSet!$G$2:$G$600,0)</f>
        <v>Karl Braun</v>
      </c>
      <c r="E97" s="10" t="str">
        <f>_xlfn.XLOOKUP(B97,DataSet!$N$2:$N$600,DataSet!$F$2:$F$600,0)</f>
        <v>KB-16315</v>
      </c>
      <c r="F97" s="10" t="str">
        <f>_xlfn.XLOOKUP(B97,DataSet!$N$2:$N$600,DataSet!$W$2:$W$600,0)</f>
        <v>Consumer</v>
      </c>
      <c r="G97" s="13">
        <f>_xlfn.XLOOKUP(B97,DataSet!$N$2:$N$600,DataSet!$C$2:$C$600,0)</f>
        <v>42035</v>
      </c>
      <c r="H97" s="10" t="str">
        <f>_xlfn.XLOOKUP(B97,DataSet!$N$2:$N$600,DataSet!$I$2:$I$600,0)</f>
        <v>United States</v>
      </c>
      <c r="I97" s="10" t="str">
        <f>_xlfn.XLOOKUP(B97,DataSet!$N$2:$N$600,DataSet!$X$2:$X$600,0)</f>
        <v>Minneapolis - Minnesota</v>
      </c>
      <c r="J97" s="10" t="str">
        <f>_xlfn.XLOOKUP(B97,DataSet!$N$2:$N$600,DataSet!$M$2:$M$600,0)</f>
        <v>Central</v>
      </c>
      <c r="K97" s="10" t="str">
        <f>_xlfn.XLOOKUP(B97,DataSet!$N$2:$N$600,DataSet!$O$2:$O$600,0)</f>
        <v>Office Supplies</v>
      </c>
      <c r="L97" s="10" t="str">
        <f>_xlfn.XLOOKUP(B97,DataSet!$N$2:$N$600,DataSet!$Y$2:$Y$600,0)</f>
        <v>Binders</v>
      </c>
      <c r="M97" s="10" t="str">
        <f>_xlfn.XLOOKUP(B97,DataSet!$N$2:$N$600,DataSet!$Q$2:$Q$600,0)</f>
        <v>Ibico Standard Transparent Covers</v>
      </c>
      <c r="N97" s="16">
        <f>_xlfn.XLOOKUP(B97,DataSet!$N$2:$N$600,DataSet!$AA$2:$AA$600,0)</f>
        <v>32.96</v>
      </c>
      <c r="O97" s="10">
        <f>_xlfn.XLOOKUP(B97,DataSet!$N$2:$N$600,DataSet!$S$2:$S$600,0)</f>
        <v>2</v>
      </c>
      <c r="P97" s="15">
        <f>_xlfn.XLOOKUP(B97,DataSet!$N$2:$N$600,DataSet!$T$2:$T$600,0)</f>
        <v>0</v>
      </c>
      <c r="Q97" s="14">
        <f>_xlfn.XLOOKUP(B97,DataSet!$N$2:$N$600,DataSet!$U$2:$U$600,0)</f>
        <v>16.150400000000001</v>
      </c>
      <c r="R97" s="16">
        <f>_xlfn.XLOOKUP(B97,DataSet!$N$2:$N$600,DataSet!$AB$2:$AB$600,0)</f>
        <v>65.92</v>
      </c>
      <c r="S97" s="9">
        <f>_xlfn.XLOOKUP(B97,DataSet!$N$2:$N$600,DataSet!$AC$2:$AC$600,0)</f>
        <v>65.92</v>
      </c>
    </row>
    <row r="98" spans="1:19" s="12" customFormat="1" x14ac:dyDescent="0.3">
      <c r="A98" s="27">
        <v>96</v>
      </c>
      <c r="B98" s="10" t="s">
        <v>419</v>
      </c>
      <c r="C98" s="10" t="str">
        <f>_xlfn.XLOOKUP(B98,DataSet!$N$2:$N$600,DataSet!$AF$2:$AF$600,0)</f>
        <v>109484</v>
      </c>
      <c r="D98" s="10" t="str">
        <f>_xlfn.XLOOKUP(B98,DataSet!$N$2:$N$600,DataSet!$G$2:$G$600,0)</f>
        <v>Roger Barcio</v>
      </c>
      <c r="E98" s="10" t="str">
        <f>_xlfn.XLOOKUP(B98,DataSet!$N$2:$N$600,DataSet!$F$2:$F$600,0)</f>
        <v>RB-19705</v>
      </c>
      <c r="F98" s="10" t="str">
        <f>_xlfn.XLOOKUP(B98,DataSet!$N$2:$N$600,DataSet!$W$2:$W$600,0)</f>
        <v>Home Office</v>
      </c>
      <c r="G98" s="13">
        <f>_xlfn.XLOOKUP(B98,DataSet!$N$2:$N$600,DataSet!$C$2:$C$600,0)</f>
        <v>43045</v>
      </c>
      <c r="H98" s="10" t="str">
        <f>_xlfn.XLOOKUP(B98,DataSet!$N$2:$N$600,DataSet!$I$2:$I$600,0)</f>
        <v>United States</v>
      </c>
      <c r="I98" s="10" t="str">
        <f>_xlfn.XLOOKUP(B98,DataSet!$N$2:$N$600,DataSet!$X$2:$X$600,0)</f>
        <v>Portland - Oregon</v>
      </c>
      <c r="J98" s="10" t="str">
        <f>_xlfn.XLOOKUP(B98,DataSet!$N$2:$N$600,DataSet!$M$2:$M$600,0)</f>
        <v>West</v>
      </c>
      <c r="K98" s="10" t="str">
        <f>_xlfn.XLOOKUP(B98,DataSet!$N$2:$N$600,DataSet!$O$2:$O$600,0)</f>
        <v>Office Supplies</v>
      </c>
      <c r="L98" s="10" t="str">
        <f>_xlfn.XLOOKUP(B98,DataSet!$N$2:$N$600,DataSet!$Y$2:$Y$600,0)</f>
        <v>Binders</v>
      </c>
      <c r="M98" s="10" t="str">
        <f>_xlfn.XLOOKUP(B98,DataSet!$N$2:$N$600,DataSet!$Q$2:$Q$600,0)</f>
        <v>Flexible Leather- Look Classic Collection Ring Binder</v>
      </c>
      <c r="N98" s="16">
        <f>_xlfn.XLOOKUP(B98,DataSet!$N$2:$N$600,DataSet!$AA$2:$AA$600,0)</f>
        <v>5.6820000000000004</v>
      </c>
      <c r="O98" s="10">
        <f>_xlfn.XLOOKUP(B98,DataSet!$N$2:$N$600,DataSet!$S$2:$S$600,0)</f>
        <v>1</v>
      </c>
      <c r="P98" s="15">
        <f>_xlfn.XLOOKUP(B98,DataSet!$N$2:$N$600,DataSet!$T$2:$T$600,0)</f>
        <v>0.7</v>
      </c>
      <c r="Q98" s="14">
        <f>_xlfn.XLOOKUP(B98,DataSet!$N$2:$N$600,DataSet!$U$2:$U$600,0)</f>
        <v>-3.7879999999999998</v>
      </c>
      <c r="R98" s="16">
        <f>_xlfn.XLOOKUP(B98,DataSet!$N$2:$N$600,DataSet!$AB$2:$AB$600,0)</f>
        <v>5.6820000000000004</v>
      </c>
      <c r="S98" s="9">
        <f>_xlfn.XLOOKUP(B98,DataSet!$N$2:$N$600,DataSet!$AC$2:$AC$600,0)</f>
        <v>1.7046000000000003</v>
      </c>
    </row>
    <row r="99" spans="1:19" s="12" customFormat="1" x14ac:dyDescent="0.3">
      <c r="A99" s="27">
        <v>97</v>
      </c>
      <c r="B99" s="10" t="s">
        <v>424</v>
      </c>
      <c r="C99" s="10" t="str">
        <f>_xlfn.XLOOKUP(B99,DataSet!$N$2:$N$600,DataSet!$AF$2:$AF$600,0)</f>
        <v>161018</v>
      </c>
      <c r="D99" s="10" t="str">
        <f>_xlfn.XLOOKUP(B99,DataSet!$N$2:$N$600,DataSet!$G$2:$G$600,0)</f>
        <v>Parhena Norris</v>
      </c>
      <c r="E99" s="10" t="str">
        <f>_xlfn.XLOOKUP(B99,DataSet!$N$2:$N$600,DataSet!$F$2:$F$600,0)</f>
        <v>PN-18775</v>
      </c>
      <c r="F99" s="10" t="str">
        <f>_xlfn.XLOOKUP(B99,DataSet!$N$2:$N$600,DataSet!$W$2:$W$600,0)</f>
        <v>Home Office</v>
      </c>
      <c r="G99" s="13">
        <f>_xlfn.XLOOKUP(B99,DataSet!$N$2:$N$600,DataSet!$C$2:$C$600,0)</f>
        <v>43048</v>
      </c>
      <c r="H99" s="10" t="str">
        <f>_xlfn.XLOOKUP(B99,DataSet!$N$2:$N$600,DataSet!$I$2:$I$600,0)</f>
        <v>United States</v>
      </c>
      <c r="I99" s="10" t="str">
        <f>_xlfn.XLOOKUP(B99,DataSet!$N$2:$N$600,DataSet!$X$2:$X$600,0)</f>
        <v>New York City - New York</v>
      </c>
      <c r="J99" s="10" t="str">
        <f>_xlfn.XLOOKUP(B99,DataSet!$N$2:$N$600,DataSet!$M$2:$M$600,0)</f>
        <v>East</v>
      </c>
      <c r="K99" s="10" t="str">
        <f>_xlfn.XLOOKUP(B99,DataSet!$N$2:$N$600,DataSet!$O$2:$O$600,0)</f>
        <v>Furniture</v>
      </c>
      <c r="L99" s="10" t="str">
        <f>_xlfn.XLOOKUP(B99,DataSet!$N$2:$N$600,DataSet!$Y$2:$Y$600,0)</f>
        <v>Furnishings</v>
      </c>
      <c r="M99" s="10" t="str">
        <f>_xlfn.XLOOKUP(B99,DataSet!$N$2:$N$600,DataSet!$Q$2:$Q$600,0)</f>
        <v>9-3/4 Diameter Round Wall Clock</v>
      </c>
      <c r="N99" s="16">
        <f>_xlfn.XLOOKUP(B99,DataSet!$N$2:$N$600,DataSet!$AA$2:$AA$600,0)</f>
        <v>96.53</v>
      </c>
      <c r="O99" s="10">
        <f>_xlfn.XLOOKUP(B99,DataSet!$N$2:$N$600,DataSet!$S$2:$S$600,0)</f>
        <v>7</v>
      </c>
      <c r="P99" s="15">
        <f>_xlfn.XLOOKUP(B99,DataSet!$N$2:$N$600,DataSet!$T$2:$T$600,0)</f>
        <v>0</v>
      </c>
      <c r="Q99" s="14">
        <f>_xlfn.XLOOKUP(B99,DataSet!$N$2:$N$600,DataSet!$U$2:$U$600,0)</f>
        <v>40.5426</v>
      </c>
      <c r="R99" s="16">
        <f>_xlfn.XLOOKUP(B99,DataSet!$N$2:$N$600,DataSet!$AB$2:$AB$600,0)</f>
        <v>675.71</v>
      </c>
      <c r="S99" s="9">
        <f>_xlfn.XLOOKUP(B99,DataSet!$N$2:$N$600,DataSet!$AC$2:$AC$600,0)</f>
        <v>675.71</v>
      </c>
    </row>
    <row r="100" spans="1:19" s="12" customFormat="1" x14ac:dyDescent="0.3">
      <c r="A100" s="27">
        <v>98</v>
      </c>
      <c r="B100" s="10" t="s">
        <v>429</v>
      </c>
      <c r="C100" s="10" t="str">
        <f>_xlfn.XLOOKUP(B100,DataSet!$N$2:$N$600,DataSet!$AF$2:$AF$600,0)</f>
        <v>157833</v>
      </c>
      <c r="D100" s="10" t="str">
        <f>_xlfn.XLOOKUP(B100,DataSet!$N$2:$N$600,DataSet!$G$2:$G$600,0)</f>
        <v>Katherine Ducich</v>
      </c>
      <c r="E100" s="10" t="str">
        <f>_xlfn.XLOOKUP(B100,DataSet!$N$2:$N$600,DataSet!$F$2:$F$600,0)</f>
        <v>KD-16345</v>
      </c>
      <c r="F100" s="10" t="str">
        <f>_xlfn.XLOOKUP(B100,DataSet!$N$2:$N$600,DataSet!$W$2:$W$600,0)</f>
        <v>Consumer</v>
      </c>
      <c r="G100" s="13">
        <f>_xlfn.XLOOKUP(B100,DataSet!$N$2:$N$600,DataSet!$C$2:$C$600,0)</f>
        <v>42903</v>
      </c>
      <c r="H100" s="10" t="str">
        <f>_xlfn.XLOOKUP(B100,DataSet!$N$2:$N$600,DataSet!$I$2:$I$600,0)</f>
        <v>United States</v>
      </c>
      <c r="I100" s="10" t="str">
        <f>_xlfn.XLOOKUP(B100,DataSet!$N$2:$N$600,DataSet!$X$2:$X$600,0)</f>
        <v>San Francisco - California</v>
      </c>
      <c r="J100" s="10" t="str">
        <f>_xlfn.XLOOKUP(B100,DataSet!$N$2:$N$600,DataSet!$M$2:$M$600,0)</f>
        <v>West</v>
      </c>
      <c r="K100" s="10" t="str">
        <f>_xlfn.XLOOKUP(B100,DataSet!$N$2:$N$600,DataSet!$O$2:$O$600,0)</f>
        <v>Office Supplies</v>
      </c>
      <c r="L100" s="10" t="str">
        <f>_xlfn.XLOOKUP(B100,DataSet!$N$2:$N$600,DataSet!$Y$2:$Y$600,0)</f>
        <v>Binders</v>
      </c>
      <c r="M100" s="10" t="str">
        <f>_xlfn.XLOOKUP(B100,DataSet!$N$2:$N$600,DataSet!$Q$2:$Q$600,0)</f>
        <v>Trimflex Flexible Post Binders</v>
      </c>
      <c r="N100" s="16">
        <f>_xlfn.XLOOKUP(B100,DataSet!$N$2:$N$600,DataSet!$AA$2:$AA$600,0)</f>
        <v>51.311999999999998</v>
      </c>
      <c r="O100" s="10">
        <f>_xlfn.XLOOKUP(B100,DataSet!$N$2:$N$600,DataSet!$S$2:$S$600,0)</f>
        <v>3</v>
      </c>
      <c r="P100" s="15">
        <f>_xlfn.XLOOKUP(B100,DataSet!$N$2:$N$600,DataSet!$T$2:$T$600,0)</f>
        <v>0.2</v>
      </c>
      <c r="Q100" s="14">
        <f>_xlfn.XLOOKUP(B100,DataSet!$N$2:$N$600,DataSet!$U$2:$U$600,0)</f>
        <v>17.959199999999999</v>
      </c>
      <c r="R100" s="16">
        <f>_xlfn.XLOOKUP(B100,DataSet!$N$2:$N$600,DataSet!$AB$2:$AB$600,0)</f>
        <v>153.93599999999998</v>
      </c>
      <c r="S100" s="9">
        <f>_xlfn.XLOOKUP(B100,DataSet!$N$2:$N$600,DataSet!$AC$2:$AC$600,0)</f>
        <v>123.14879999999999</v>
      </c>
    </row>
    <row r="101" spans="1:19" s="12" customFormat="1" x14ac:dyDescent="0.3">
      <c r="A101" s="27">
        <v>99</v>
      </c>
      <c r="B101" s="10" t="s">
        <v>435</v>
      </c>
      <c r="C101" s="10" t="str">
        <f>_xlfn.XLOOKUP(B101,DataSet!$N$2:$N$600,DataSet!$AF$2:$AF$600,0)</f>
        <v>149223</v>
      </c>
      <c r="D101" s="10" t="str">
        <f>_xlfn.XLOOKUP(B101,DataSet!$N$2:$N$600,DataSet!$G$2:$G$600,0)</f>
        <v>Elpida Rittenbach</v>
      </c>
      <c r="E101" s="10" t="str">
        <f>_xlfn.XLOOKUP(B101,DataSet!$N$2:$N$600,DataSet!$F$2:$F$600,0)</f>
        <v>ER-13855</v>
      </c>
      <c r="F101" s="10" t="str">
        <f>_xlfn.XLOOKUP(B101,DataSet!$N$2:$N$600,DataSet!$W$2:$W$600,0)</f>
        <v>Corporate</v>
      </c>
      <c r="G101" s="13">
        <f>_xlfn.XLOOKUP(B101,DataSet!$N$2:$N$600,DataSet!$C$2:$C$600,0)</f>
        <v>42619</v>
      </c>
      <c r="H101" s="10" t="str">
        <f>_xlfn.XLOOKUP(B101,DataSet!$N$2:$N$600,DataSet!$I$2:$I$600,0)</f>
        <v>United States</v>
      </c>
      <c r="I101" s="10" t="str">
        <f>_xlfn.XLOOKUP(B101,DataSet!$N$2:$N$600,DataSet!$X$2:$X$600,0)</f>
        <v>Saint Paul - Minnesota</v>
      </c>
      <c r="J101" s="10" t="str">
        <f>_xlfn.XLOOKUP(B101,DataSet!$N$2:$N$600,DataSet!$M$2:$M$600,0)</f>
        <v>Central</v>
      </c>
      <c r="K101" s="10" t="str">
        <f>_xlfn.XLOOKUP(B101,DataSet!$N$2:$N$600,DataSet!$O$2:$O$600,0)</f>
        <v>Office Supplies</v>
      </c>
      <c r="L101" s="10" t="str">
        <f>_xlfn.XLOOKUP(B101,DataSet!$N$2:$N$600,DataSet!$Y$2:$Y$600,0)</f>
        <v>Appliances</v>
      </c>
      <c r="M101" s="10" t="str">
        <f>_xlfn.XLOOKUP(B101,DataSet!$N$2:$N$600,DataSet!$Q$2:$Q$600,0)</f>
        <v>Fellowes Basic Home/Office Series Surge Protectors</v>
      </c>
      <c r="N101" s="16">
        <f>_xlfn.XLOOKUP(B101,DataSet!$N$2:$N$600,DataSet!$AA$2:$AA$600,0)</f>
        <v>77.88</v>
      </c>
      <c r="O101" s="10">
        <f>_xlfn.XLOOKUP(B101,DataSet!$N$2:$N$600,DataSet!$S$2:$S$600,0)</f>
        <v>6</v>
      </c>
      <c r="P101" s="15">
        <f>_xlfn.XLOOKUP(B101,DataSet!$N$2:$N$600,DataSet!$T$2:$T$600,0)</f>
        <v>0</v>
      </c>
      <c r="Q101" s="14">
        <f>_xlfn.XLOOKUP(B101,DataSet!$N$2:$N$600,DataSet!$U$2:$U$600,0)</f>
        <v>22.5852</v>
      </c>
      <c r="R101" s="16">
        <f>_xlfn.XLOOKUP(B101,DataSet!$N$2:$N$600,DataSet!$AB$2:$AB$600,0)</f>
        <v>467.28</v>
      </c>
      <c r="S101" s="9">
        <f>_xlfn.XLOOKUP(B101,DataSet!$N$2:$N$600,DataSet!$AC$2:$AC$600,0)</f>
        <v>467.28</v>
      </c>
    </row>
    <row r="102" spans="1:19" s="12" customFormat="1" x14ac:dyDescent="0.3">
      <c r="A102" s="27">
        <v>100</v>
      </c>
      <c r="B102" s="10" t="s">
        <v>440</v>
      </c>
      <c r="C102" s="10" t="str">
        <f>_xlfn.XLOOKUP(B102,DataSet!$N$2:$N$600,DataSet!$AF$2:$AF$600,0)</f>
        <v>158568</v>
      </c>
      <c r="D102" s="10" t="str">
        <f>_xlfn.XLOOKUP(B102,DataSet!$N$2:$N$600,DataSet!$G$2:$G$600,0)</f>
        <v>Rick Bensley</v>
      </c>
      <c r="E102" s="10" t="str">
        <f>_xlfn.XLOOKUP(B102,DataSet!$N$2:$N$600,DataSet!$F$2:$F$600,0)</f>
        <v>RB-19465</v>
      </c>
      <c r="F102" s="10" t="str">
        <f>_xlfn.XLOOKUP(B102,DataSet!$N$2:$N$600,DataSet!$W$2:$W$600,0)</f>
        <v>Home Office</v>
      </c>
      <c r="G102" s="13">
        <f>_xlfn.XLOOKUP(B102,DataSet!$N$2:$N$600,DataSet!$C$2:$C$600,0)</f>
        <v>42611</v>
      </c>
      <c r="H102" s="10" t="str">
        <f>_xlfn.XLOOKUP(B102,DataSet!$N$2:$N$600,DataSet!$I$2:$I$600,0)</f>
        <v>United States</v>
      </c>
      <c r="I102" s="10" t="str">
        <f>_xlfn.XLOOKUP(B102,DataSet!$N$2:$N$600,DataSet!$X$2:$X$600,0)</f>
        <v>Chicago - Illinois</v>
      </c>
      <c r="J102" s="10" t="str">
        <f>_xlfn.XLOOKUP(B102,DataSet!$N$2:$N$600,DataSet!$M$2:$M$600,0)</f>
        <v>Central</v>
      </c>
      <c r="K102" s="10" t="str">
        <f>_xlfn.XLOOKUP(B102,DataSet!$N$2:$N$600,DataSet!$O$2:$O$600,0)</f>
        <v>Office Supplies</v>
      </c>
      <c r="L102" s="10" t="str">
        <f>_xlfn.XLOOKUP(B102,DataSet!$N$2:$N$600,DataSet!$Y$2:$Y$600,0)</f>
        <v>Paper</v>
      </c>
      <c r="M102" s="10" t="str">
        <f>_xlfn.XLOOKUP(B102,DataSet!$N$2:$N$600,DataSet!$Q$2:$Q$600,0)</f>
        <v>Avery Personal Creations Heavyweight Cards</v>
      </c>
      <c r="N102" s="16">
        <f>_xlfn.XLOOKUP(B102,DataSet!$N$2:$N$600,DataSet!$AA$2:$AA$600,0)</f>
        <v>64.623999999999995</v>
      </c>
      <c r="O102" s="10">
        <f>_xlfn.XLOOKUP(B102,DataSet!$N$2:$N$600,DataSet!$S$2:$S$600,0)</f>
        <v>7</v>
      </c>
      <c r="P102" s="15">
        <f>_xlfn.XLOOKUP(B102,DataSet!$N$2:$N$600,DataSet!$T$2:$T$600,0)</f>
        <v>0.2</v>
      </c>
      <c r="Q102" s="14">
        <f>_xlfn.XLOOKUP(B102,DataSet!$N$2:$N$600,DataSet!$U$2:$U$600,0)</f>
        <v>22.618400000000001</v>
      </c>
      <c r="R102" s="16">
        <f>_xlfn.XLOOKUP(B102,DataSet!$N$2:$N$600,DataSet!$AB$2:$AB$600,0)</f>
        <v>452.36799999999994</v>
      </c>
      <c r="S102" s="9">
        <f>_xlfn.XLOOKUP(B102,DataSet!$N$2:$N$600,DataSet!$AC$2:$AC$600,0)</f>
        <v>361.89439999999996</v>
      </c>
    </row>
    <row r="103" spans="1:19" s="12" customFormat="1" x14ac:dyDescent="0.3">
      <c r="A103" s="27">
        <v>101</v>
      </c>
      <c r="B103" s="10" t="s">
        <v>442</v>
      </c>
      <c r="C103" s="10" t="str">
        <f>_xlfn.XLOOKUP(B103,DataSet!$N$2:$N$600,DataSet!$AF$2:$AF$600,0)</f>
        <v>158568</v>
      </c>
      <c r="D103" s="10" t="str">
        <f>_xlfn.XLOOKUP(B103,DataSet!$N$2:$N$600,DataSet!$G$2:$G$600,0)</f>
        <v>Rick Bensley</v>
      </c>
      <c r="E103" s="10" t="str">
        <f>_xlfn.XLOOKUP(B103,DataSet!$N$2:$N$600,DataSet!$F$2:$F$600,0)</f>
        <v>RB-19465</v>
      </c>
      <c r="F103" s="10" t="str">
        <f>_xlfn.XLOOKUP(B103,DataSet!$N$2:$N$600,DataSet!$W$2:$W$600,0)</f>
        <v>Home Office</v>
      </c>
      <c r="G103" s="13">
        <f>_xlfn.XLOOKUP(B103,DataSet!$N$2:$N$600,DataSet!$C$2:$C$600,0)</f>
        <v>42611</v>
      </c>
      <c r="H103" s="10" t="str">
        <f>_xlfn.XLOOKUP(B103,DataSet!$N$2:$N$600,DataSet!$I$2:$I$600,0)</f>
        <v>United States</v>
      </c>
      <c r="I103" s="10" t="str">
        <f>_xlfn.XLOOKUP(B103,DataSet!$N$2:$N$600,DataSet!$X$2:$X$600,0)</f>
        <v>Chicago - Illinois</v>
      </c>
      <c r="J103" s="10" t="str">
        <f>_xlfn.XLOOKUP(B103,DataSet!$N$2:$N$600,DataSet!$M$2:$M$600,0)</f>
        <v>Central</v>
      </c>
      <c r="K103" s="10" t="str">
        <f>_xlfn.XLOOKUP(B103,DataSet!$N$2:$N$600,DataSet!$O$2:$O$600,0)</f>
        <v>Technology</v>
      </c>
      <c r="L103" s="10" t="str">
        <f>_xlfn.XLOOKUP(B103,DataSet!$N$2:$N$600,DataSet!$Y$2:$Y$600,0)</f>
        <v>Accessories</v>
      </c>
      <c r="M103" s="10" t="str">
        <f>_xlfn.XLOOKUP(B103,DataSet!$N$2:$N$600,DataSet!$Q$2:$Q$600,0)</f>
        <v>SanDisk Ultra 64 GB MicroSDHC Class 10 Memory Card</v>
      </c>
      <c r="N103" s="16">
        <f>_xlfn.XLOOKUP(B103,DataSet!$N$2:$N$600,DataSet!$AA$2:$AA$600,0)</f>
        <v>95.975999999999999</v>
      </c>
      <c r="O103" s="10">
        <f>_xlfn.XLOOKUP(B103,DataSet!$N$2:$N$600,DataSet!$S$2:$S$600,0)</f>
        <v>3</v>
      </c>
      <c r="P103" s="15">
        <f>_xlfn.XLOOKUP(B103,DataSet!$N$2:$N$600,DataSet!$T$2:$T$600,0)</f>
        <v>0.2</v>
      </c>
      <c r="Q103" s="14">
        <f>_xlfn.XLOOKUP(B103,DataSet!$N$2:$N$600,DataSet!$U$2:$U$600,0)</f>
        <v>-10.7973</v>
      </c>
      <c r="R103" s="16">
        <f>_xlfn.XLOOKUP(B103,DataSet!$N$2:$N$600,DataSet!$AB$2:$AB$600,0)</f>
        <v>287.928</v>
      </c>
      <c r="S103" s="9">
        <f>_xlfn.XLOOKUP(B103,DataSet!$N$2:$N$600,DataSet!$AC$2:$AC$600,0)</f>
        <v>230.3424</v>
      </c>
    </row>
    <row r="104" spans="1:19" s="12" customFormat="1" x14ac:dyDescent="0.3">
      <c r="A104" s="27">
        <v>102</v>
      </c>
      <c r="B104" s="10" t="s">
        <v>444</v>
      </c>
      <c r="C104" s="10" t="str">
        <f>_xlfn.XLOOKUP(B104,DataSet!$N$2:$N$600,DataSet!$AF$2:$AF$600,0)</f>
        <v>158568</v>
      </c>
      <c r="D104" s="10" t="str">
        <f>_xlfn.XLOOKUP(B104,DataSet!$N$2:$N$600,DataSet!$G$2:$G$600,0)</f>
        <v>Rick Bensley</v>
      </c>
      <c r="E104" s="10" t="str">
        <f>_xlfn.XLOOKUP(B104,DataSet!$N$2:$N$600,DataSet!$F$2:$F$600,0)</f>
        <v>RB-19465</v>
      </c>
      <c r="F104" s="10" t="str">
        <f>_xlfn.XLOOKUP(B104,DataSet!$N$2:$N$600,DataSet!$W$2:$W$600,0)</f>
        <v>Home Office</v>
      </c>
      <c r="G104" s="13">
        <f>_xlfn.XLOOKUP(B104,DataSet!$N$2:$N$600,DataSet!$C$2:$C$600,0)</f>
        <v>42611</v>
      </c>
      <c r="H104" s="10" t="str">
        <f>_xlfn.XLOOKUP(B104,DataSet!$N$2:$N$600,DataSet!$I$2:$I$600,0)</f>
        <v>United States</v>
      </c>
      <c r="I104" s="10" t="str">
        <f>_xlfn.XLOOKUP(B104,DataSet!$N$2:$N$600,DataSet!$X$2:$X$600,0)</f>
        <v>Chicago - Illinois</v>
      </c>
      <c r="J104" s="10" t="str">
        <f>_xlfn.XLOOKUP(B104,DataSet!$N$2:$N$600,DataSet!$M$2:$M$600,0)</f>
        <v>Central</v>
      </c>
      <c r="K104" s="10" t="str">
        <f>_xlfn.XLOOKUP(B104,DataSet!$N$2:$N$600,DataSet!$O$2:$O$600,0)</f>
        <v>Office Supplies</v>
      </c>
      <c r="L104" s="10" t="str">
        <f>_xlfn.XLOOKUP(B104,DataSet!$N$2:$N$600,DataSet!$Y$2:$Y$600,0)</f>
        <v>Binders</v>
      </c>
      <c r="M104" s="10" t="str">
        <f>_xlfn.XLOOKUP(B104,DataSet!$N$2:$N$600,DataSet!$Q$2:$Q$600,0)</f>
        <v>Avery Hidden Tab Dividers for Binding Systems</v>
      </c>
      <c r="N104" s="16">
        <f>_xlfn.XLOOKUP(B104,DataSet!$N$2:$N$600,DataSet!$AA$2:$AA$600,0)</f>
        <v>1.788</v>
      </c>
      <c r="O104" s="10">
        <f>_xlfn.XLOOKUP(B104,DataSet!$N$2:$N$600,DataSet!$S$2:$S$600,0)</f>
        <v>3</v>
      </c>
      <c r="P104" s="15">
        <f>_xlfn.XLOOKUP(B104,DataSet!$N$2:$N$600,DataSet!$T$2:$T$600,0)</f>
        <v>0.8</v>
      </c>
      <c r="Q104" s="14">
        <f>_xlfn.XLOOKUP(B104,DataSet!$N$2:$N$600,DataSet!$U$2:$U$600,0)</f>
        <v>-3.0396000000000001</v>
      </c>
      <c r="R104" s="16">
        <f>_xlfn.XLOOKUP(B104,DataSet!$N$2:$N$600,DataSet!$AB$2:$AB$600,0)</f>
        <v>5.3639999999999999</v>
      </c>
      <c r="S104" s="9">
        <f>_xlfn.XLOOKUP(B104,DataSet!$N$2:$N$600,DataSet!$AC$2:$AC$600,0)</f>
        <v>1.0727999999999998</v>
      </c>
    </row>
    <row r="105" spans="1:19" s="12" customFormat="1" x14ac:dyDescent="0.3">
      <c r="A105" s="27">
        <v>103</v>
      </c>
      <c r="B105" s="10" t="s">
        <v>449</v>
      </c>
      <c r="C105" s="10" t="str">
        <f>_xlfn.XLOOKUP(B105,DataSet!$N$2:$N$600,DataSet!$AF$2:$AF$600,0)</f>
        <v>129903</v>
      </c>
      <c r="D105" s="10" t="str">
        <f>_xlfn.XLOOKUP(B105,DataSet!$N$2:$N$600,DataSet!$G$2:$G$600,0)</f>
        <v>Gary Zandusky</v>
      </c>
      <c r="E105" s="10" t="str">
        <f>_xlfn.XLOOKUP(B105,DataSet!$N$2:$N$600,DataSet!$F$2:$F$600,0)</f>
        <v>GZ-14470</v>
      </c>
      <c r="F105" s="10" t="str">
        <f>_xlfn.XLOOKUP(B105,DataSet!$N$2:$N$600,DataSet!$W$2:$W$600,0)</f>
        <v>Consumer</v>
      </c>
      <c r="G105" s="13">
        <f>_xlfn.XLOOKUP(B105,DataSet!$N$2:$N$600,DataSet!$C$2:$C$600,0)</f>
        <v>42705</v>
      </c>
      <c r="H105" s="10" t="str">
        <f>_xlfn.XLOOKUP(B105,DataSet!$N$2:$N$600,DataSet!$I$2:$I$600,0)</f>
        <v>United States</v>
      </c>
      <c r="I105" s="10" t="str">
        <f>_xlfn.XLOOKUP(B105,DataSet!$N$2:$N$600,DataSet!$X$2:$X$600,0)</f>
        <v>Rochester - Minnesota</v>
      </c>
      <c r="J105" s="10" t="str">
        <f>_xlfn.XLOOKUP(B105,DataSet!$N$2:$N$600,DataSet!$M$2:$M$600,0)</f>
        <v>Central</v>
      </c>
      <c r="K105" s="10" t="str">
        <f>_xlfn.XLOOKUP(B105,DataSet!$N$2:$N$600,DataSet!$O$2:$O$600,0)</f>
        <v>Office Supplies</v>
      </c>
      <c r="L105" s="10" t="str">
        <f>_xlfn.XLOOKUP(B105,DataSet!$N$2:$N$600,DataSet!$Y$2:$Y$600,0)</f>
        <v>Paper</v>
      </c>
      <c r="M105" s="10" t="str">
        <f>_xlfn.XLOOKUP(B105,DataSet!$N$2:$N$600,DataSet!$Q$2:$Q$600,0)</f>
        <v>Universal Premium White Copier/Laser Paper (20Lb. and 87 Bright)</v>
      </c>
      <c r="N105" s="16">
        <f>_xlfn.XLOOKUP(B105,DataSet!$N$2:$N$600,DataSet!$AA$2:$AA$600,0)</f>
        <v>23.92</v>
      </c>
      <c r="O105" s="10">
        <f>_xlfn.XLOOKUP(B105,DataSet!$N$2:$N$600,DataSet!$S$2:$S$600,0)</f>
        <v>4</v>
      </c>
      <c r="P105" s="15">
        <f>_xlfn.XLOOKUP(B105,DataSet!$N$2:$N$600,DataSet!$T$2:$T$600,0)</f>
        <v>0</v>
      </c>
      <c r="Q105" s="14">
        <f>_xlfn.XLOOKUP(B105,DataSet!$N$2:$N$600,DataSet!$U$2:$U$600,0)</f>
        <v>11.720800000000001</v>
      </c>
      <c r="R105" s="16">
        <f>_xlfn.XLOOKUP(B105,DataSet!$N$2:$N$600,DataSet!$AB$2:$AB$600,0)</f>
        <v>95.68</v>
      </c>
      <c r="S105" s="9">
        <f>_xlfn.XLOOKUP(B105,DataSet!$N$2:$N$600,DataSet!$AC$2:$AC$600,0)</f>
        <v>95.68</v>
      </c>
    </row>
    <row r="106" spans="1:19" s="12" customFormat="1" x14ac:dyDescent="0.3">
      <c r="A106" s="27">
        <v>104</v>
      </c>
      <c r="B106" s="10" t="s">
        <v>456</v>
      </c>
      <c r="C106" s="10" t="str">
        <f>_xlfn.XLOOKUP(B106,DataSet!$N$2:$N$600,DataSet!$AF$2:$AF$600,0)</f>
        <v>156867</v>
      </c>
      <c r="D106" s="10" t="str">
        <f>_xlfn.XLOOKUP(B106,DataSet!$N$2:$N$600,DataSet!$G$2:$G$600,0)</f>
        <v>Lena Cacioppo</v>
      </c>
      <c r="E106" s="10" t="str">
        <f>_xlfn.XLOOKUP(B106,DataSet!$N$2:$N$600,DataSet!$F$2:$F$600,0)</f>
        <v>LC-16870</v>
      </c>
      <c r="F106" s="10" t="str">
        <f>_xlfn.XLOOKUP(B106,DataSet!$N$2:$N$600,DataSet!$W$2:$W$600,0)</f>
        <v>Consumer</v>
      </c>
      <c r="G106" s="13">
        <f>_xlfn.XLOOKUP(B106,DataSet!$N$2:$N$600,DataSet!$C$2:$C$600,0)</f>
        <v>42321</v>
      </c>
      <c r="H106" s="10" t="str">
        <f>_xlfn.XLOOKUP(B106,DataSet!$N$2:$N$600,DataSet!$I$2:$I$600,0)</f>
        <v>United States</v>
      </c>
      <c r="I106" s="10" t="str">
        <f>_xlfn.XLOOKUP(B106,DataSet!$N$2:$N$600,DataSet!$X$2:$X$600,0)</f>
        <v>Aurora - Colorado</v>
      </c>
      <c r="J106" s="10" t="str">
        <f>_xlfn.XLOOKUP(B106,DataSet!$N$2:$N$600,DataSet!$M$2:$M$600,0)</f>
        <v>West</v>
      </c>
      <c r="K106" s="10" t="str">
        <f>_xlfn.XLOOKUP(B106,DataSet!$N$2:$N$600,DataSet!$O$2:$O$600,0)</f>
        <v>Technology</v>
      </c>
      <c r="L106" s="10" t="str">
        <f>_xlfn.XLOOKUP(B106,DataSet!$N$2:$N$600,DataSet!$Y$2:$Y$600,0)</f>
        <v>UNKNOWN</v>
      </c>
      <c r="M106" s="10" t="str">
        <f>_xlfn.XLOOKUP(B106,DataSet!$N$2:$N$600,DataSet!$Q$2:$Q$600,0)</f>
        <v>Logitech K350 2.4Ghz Wireless Keyboard</v>
      </c>
      <c r="N106" s="16">
        <f>_xlfn.XLOOKUP(B106,DataSet!$N$2:$N$600,DataSet!$AA$2:$AA$600,0)</f>
        <v>238.89599999999999</v>
      </c>
      <c r="O106" s="10">
        <f>_xlfn.XLOOKUP(B106,DataSet!$N$2:$N$600,DataSet!$S$2:$S$600,0)</f>
        <v>6</v>
      </c>
      <c r="P106" s="15">
        <f>_xlfn.XLOOKUP(B106,DataSet!$N$2:$N$600,DataSet!$T$2:$T$600,0)</f>
        <v>0.2</v>
      </c>
      <c r="Q106" s="14">
        <f>_xlfn.XLOOKUP(B106,DataSet!$N$2:$N$600,DataSet!$U$2:$U$600,0)</f>
        <v>-26.875800000000002</v>
      </c>
      <c r="R106" s="16">
        <f>_xlfn.XLOOKUP(B106,DataSet!$N$2:$N$600,DataSet!$AB$2:$AB$600,0)</f>
        <v>1433.376</v>
      </c>
      <c r="S106" s="9">
        <f>_xlfn.XLOOKUP(B106,DataSet!$N$2:$N$600,DataSet!$AC$2:$AC$600,0)</f>
        <v>1146.7008000000001</v>
      </c>
    </row>
    <row r="107" spans="1:19" s="12" customFormat="1" x14ac:dyDescent="0.3">
      <c r="A107" s="27">
        <v>105</v>
      </c>
      <c r="B107" s="10" t="s">
        <v>458</v>
      </c>
      <c r="C107" s="10" t="str">
        <f>_xlfn.XLOOKUP(B107,DataSet!$N$2:$N$600,DataSet!$AF$2:$AF$600,0)</f>
        <v>156867</v>
      </c>
      <c r="D107" s="10" t="str">
        <f>_xlfn.XLOOKUP(B107,DataSet!$N$2:$N$600,DataSet!$G$2:$G$600,0)</f>
        <v>Lena Cacioppo</v>
      </c>
      <c r="E107" s="10" t="str">
        <f>_xlfn.XLOOKUP(B107,DataSet!$N$2:$N$600,DataSet!$F$2:$F$600,0)</f>
        <v>LC-16870</v>
      </c>
      <c r="F107" s="10" t="str">
        <f>_xlfn.XLOOKUP(B107,DataSet!$N$2:$N$600,DataSet!$W$2:$W$600,0)</f>
        <v>Consumer</v>
      </c>
      <c r="G107" s="13">
        <f>_xlfn.XLOOKUP(B107,DataSet!$N$2:$N$600,DataSet!$C$2:$C$600,0)</f>
        <v>42321</v>
      </c>
      <c r="H107" s="10" t="str">
        <f>_xlfn.XLOOKUP(B107,DataSet!$N$2:$N$600,DataSet!$I$2:$I$600,0)</f>
        <v>United States</v>
      </c>
      <c r="I107" s="10" t="str">
        <f>_xlfn.XLOOKUP(B107,DataSet!$N$2:$N$600,DataSet!$X$2:$X$600,0)</f>
        <v>Aurora - Colorado</v>
      </c>
      <c r="J107" s="10" t="str">
        <f>_xlfn.XLOOKUP(B107,DataSet!$N$2:$N$600,DataSet!$M$2:$M$600,0)</f>
        <v>West</v>
      </c>
      <c r="K107" s="10" t="str">
        <f>_xlfn.XLOOKUP(B107,DataSet!$N$2:$N$600,DataSet!$O$2:$O$600,0)</f>
        <v>Furniture</v>
      </c>
      <c r="L107" s="10" t="str">
        <f>_xlfn.XLOOKUP(B107,DataSet!$N$2:$N$600,DataSet!$Y$2:$Y$600,0)</f>
        <v>Furnishings</v>
      </c>
      <c r="M107" s="10" t="str">
        <f>_xlfn.XLOOKUP(B107,DataSet!$N$2:$N$600,DataSet!$Q$2:$Q$600,0)</f>
        <v>Deflect-o DuraMat Lighweight, Studded, Beveled Mat for Low Pile Carpeting</v>
      </c>
      <c r="N107" s="16">
        <f>_xlfn.XLOOKUP(B107,DataSet!$N$2:$N$600,DataSet!$AA$2:$AA$600,0)</f>
        <v>102.36</v>
      </c>
      <c r="O107" s="10">
        <f>_xlfn.XLOOKUP(B107,DataSet!$N$2:$N$600,DataSet!$S$2:$S$600,0)</f>
        <v>3</v>
      </c>
      <c r="P107" s="15">
        <f>_xlfn.XLOOKUP(B107,DataSet!$N$2:$N$600,DataSet!$T$2:$T$600,0)</f>
        <v>0.2</v>
      </c>
      <c r="Q107" s="14">
        <f>_xlfn.XLOOKUP(B107,DataSet!$N$2:$N$600,DataSet!$U$2:$U$600,0)</f>
        <v>-3.8384999999999998</v>
      </c>
      <c r="R107" s="16">
        <f>_xlfn.XLOOKUP(B107,DataSet!$N$2:$N$600,DataSet!$AB$2:$AB$600,0)</f>
        <v>307.08</v>
      </c>
      <c r="S107" s="9">
        <f>_xlfn.XLOOKUP(B107,DataSet!$N$2:$N$600,DataSet!$AC$2:$AC$600,0)</f>
        <v>245.66399999999999</v>
      </c>
    </row>
    <row r="108" spans="1:19" s="12" customFormat="1" x14ac:dyDescent="0.3">
      <c r="A108" s="27">
        <v>106</v>
      </c>
      <c r="B108" s="10" t="s">
        <v>460</v>
      </c>
      <c r="C108" s="10" t="str">
        <f>_xlfn.XLOOKUP(B108,DataSet!$N$2:$N$600,DataSet!$AF$2:$AF$600,0)</f>
        <v>156867</v>
      </c>
      <c r="D108" s="10" t="str">
        <f>_xlfn.XLOOKUP(B108,DataSet!$N$2:$N$600,DataSet!$G$2:$G$600,0)</f>
        <v>Lena Cacioppo</v>
      </c>
      <c r="E108" s="10" t="str">
        <f>_xlfn.XLOOKUP(B108,DataSet!$N$2:$N$600,DataSet!$F$2:$F$600,0)</f>
        <v>LC-16870</v>
      </c>
      <c r="F108" s="10" t="str">
        <f>_xlfn.XLOOKUP(B108,DataSet!$N$2:$N$600,DataSet!$W$2:$W$600,0)</f>
        <v>Consumer</v>
      </c>
      <c r="G108" s="13">
        <f>_xlfn.XLOOKUP(B108,DataSet!$N$2:$N$600,DataSet!$C$2:$C$600,0)</f>
        <v>42321</v>
      </c>
      <c r="H108" s="10" t="str">
        <f>_xlfn.XLOOKUP(B108,DataSet!$N$2:$N$600,DataSet!$I$2:$I$600,0)</f>
        <v>United States</v>
      </c>
      <c r="I108" s="10" t="str">
        <f>_xlfn.XLOOKUP(B108,DataSet!$N$2:$N$600,DataSet!$X$2:$X$600,0)</f>
        <v>Aurora - Colorado</v>
      </c>
      <c r="J108" s="10" t="str">
        <f>_xlfn.XLOOKUP(B108,DataSet!$N$2:$N$600,DataSet!$M$2:$M$600,0)</f>
        <v>West</v>
      </c>
      <c r="K108" s="10" t="str">
        <f>_xlfn.XLOOKUP(B108,DataSet!$N$2:$N$600,DataSet!$O$2:$O$600,0)</f>
        <v>Office Supplies</v>
      </c>
      <c r="L108" s="10" t="str">
        <f>_xlfn.XLOOKUP(B108,DataSet!$N$2:$N$600,DataSet!$Y$2:$Y$600,0)</f>
        <v>Binders</v>
      </c>
      <c r="M108" s="10" t="str">
        <f>_xlfn.XLOOKUP(B108,DataSet!$N$2:$N$600,DataSet!$Q$2:$Q$600,0)</f>
        <v>Avery Trapezoid Ring Binder, 3" Capacity, Black, 1040 sheets</v>
      </c>
      <c r="N108" s="16">
        <f>_xlfn.XLOOKUP(B108,DataSet!$N$2:$N$600,DataSet!$AA$2:$AA$600,0)</f>
        <v>36.881999999999998</v>
      </c>
      <c r="O108" s="10">
        <f>_xlfn.XLOOKUP(B108,DataSet!$N$2:$N$600,DataSet!$S$2:$S$600,0)</f>
        <v>3</v>
      </c>
      <c r="P108" s="15">
        <f>_xlfn.XLOOKUP(B108,DataSet!$N$2:$N$600,DataSet!$T$2:$T$600,0)</f>
        <v>0.7</v>
      </c>
      <c r="Q108" s="14">
        <f>_xlfn.XLOOKUP(B108,DataSet!$N$2:$N$600,DataSet!$U$2:$U$600,0)</f>
        <v>-25.817399999999999</v>
      </c>
      <c r="R108" s="16">
        <f>_xlfn.XLOOKUP(B108,DataSet!$N$2:$N$600,DataSet!$AB$2:$AB$600,0)</f>
        <v>110.64599999999999</v>
      </c>
      <c r="S108" s="9">
        <f>_xlfn.XLOOKUP(B108,DataSet!$N$2:$N$600,DataSet!$AC$2:$AC$600,0)</f>
        <v>33.193800000000003</v>
      </c>
    </row>
    <row r="109" spans="1:19" s="12" customFormat="1" x14ac:dyDescent="0.3">
      <c r="A109" s="27">
        <v>107</v>
      </c>
      <c r="B109" s="10" t="s">
        <v>466</v>
      </c>
      <c r="C109" s="10" t="str">
        <f>_xlfn.XLOOKUP(B109,DataSet!$N$2:$N$600,DataSet!$AF$2:$AF$600,0)</f>
        <v>119004</v>
      </c>
      <c r="D109" s="10" t="str">
        <f>_xlfn.XLOOKUP(B109,DataSet!$N$2:$N$600,DataSet!$G$2:$G$600,0)</f>
        <v>Janet Martin</v>
      </c>
      <c r="E109" s="10" t="str">
        <f>_xlfn.XLOOKUP(B109,DataSet!$N$2:$N$600,DataSet!$F$2:$F$600,0)</f>
        <v>JM-15250</v>
      </c>
      <c r="F109" s="10" t="str">
        <f>_xlfn.XLOOKUP(B109,DataSet!$N$2:$N$600,DataSet!$W$2:$W$600,0)</f>
        <v>Consumer</v>
      </c>
      <c r="G109" s="13">
        <f>_xlfn.XLOOKUP(B109,DataSet!$N$2:$N$600,DataSet!$C$2:$C$600,0)</f>
        <v>43062</v>
      </c>
      <c r="H109" s="10" t="str">
        <f>_xlfn.XLOOKUP(B109,DataSet!$N$2:$N$600,DataSet!$I$2:$I$600,0)</f>
        <v>United States</v>
      </c>
      <c r="I109" s="10" t="str">
        <f>_xlfn.XLOOKUP(B109,DataSet!$N$2:$N$600,DataSet!$X$2:$X$600,0)</f>
        <v>Charlotte - North Carolina</v>
      </c>
      <c r="J109" s="10" t="str">
        <f>_xlfn.XLOOKUP(B109,DataSet!$N$2:$N$600,DataSet!$M$2:$M$600,0)</f>
        <v>South</v>
      </c>
      <c r="K109" s="10" t="str">
        <f>_xlfn.XLOOKUP(B109,DataSet!$N$2:$N$600,DataSet!$O$2:$O$600,0)</f>
        <v>Technology</v>
      </c>
      <c r="L109" s="10" t="str">
        <f>_xlfn.XLOOKUP(B109,DataSet!$N$2:$N$600,DataSet!$Y$2:$Y$600,0)</f>
        <v>Accessories</v>
      </c>
      <c r="M109" s="10" t="str">
        <f>_xlfn.XLOOKUP(B109,DataSet!$N$2:$N$600,DataSet!$Q$2:$Q$600,0)</f>
        <v>Memorex Mini Travel Drive 8 GB USB 2.0 Flash Drive</v>
      </c>
      <c r="N109" s="16">
        <f>_xlfn.XLOOKUP(B109,DataSet!$N$2:$N$600,DataSet!$AA$2:$AA$600,0)</f>
        <v>74.111999999999995</v>
      </c>
      <c r="O109" s="10">
        <f>_xlfn.XLOOKUP(B109,DataSet!$N$2:$N$600,DataSet!$S$2:$S$600,0)</f>
        <v>8</v>
      </c>
      <c r="P109" s="15">
        <f>_xlfn.XLOOKUP(B109,DataSet!$N$2:$N$600,DataSet!$T$2:$T$600,0)</f>
        <v>0.2</v>
      </c>
      <c r="Q109" s="14">
        <f>_xlfn.XLOOKUP(B109,DataSet!$N$2:$N$600,DataSet!$U$2:$U$600,0)</f>
        <v>17.601600000000001</v>
      </c>
      <c r="R109" s="16">
        <f>_xlfn.XLOOKUP(B109,DataSet!$N$2:$N$600,DataSet!$AB$2:$AB$600,0)</f>
        <v>592.89599999999996</v>
      </c>
      <c r="S109" s="9">
        <f>_xlfn.XLOOKUP(B109,DataSet!$N$2:$N$600,DataSet!$AC$2:$AC$600,0)</f>
        <v>474.3168</v>
      </c>
    </row>
    <row r="110" spans="1:19" s="12" customFormat="1" x14ac:dyDescent="0.3">
      <c r="A110" s="27">
        <v>108</v>
      </c>
      <c r="B110" s="10" t="s">
        <v>468</v>
      </c>
      <c r="C110" s="10" t="str">
        <f>_xlfn.XLOOKUP(B110,DataSet!$N$2:$N$600,DataSet!$AF$2:$AF$600,0)</f>
        <v>119004</v>
      </c>
      <c r="D110" s="10" t="str">
        <f>_xlfn.XLOOKUP(B110,DataSet!$N$2:$N$600,DataSet!$G$2:$G$600,0)</f>
        <v>Janet Martin</v>
      </c>
      <c r="E110" s="10" t="str">
        <f>_xlfn.XLOOKUP(B110,DataSet!$N$2:$N$600,DataSet!$F$2:$F$600,0)</f>
        <v>JM-15250</v>
      </c>
      <c r="F110" s="10" t="str">
        <f>_xlfn.XLOOKUP(B110,DataSet!$N$2:$N$600,DataSet!$W$2:$W$600,0)</f>
        <v>Consumer</v>
      </c>
      <c r="G110" s="13">
        <f>_xlfn.XLOOKUP(B110,DataSet!$N$2:$N$600,DataSet!$C$2:$C$600,0)</f>
        <v>43062</v>
      </c>
      <c r="H110" s="10" t="str">
        <f>_xlfn.XLOOKUP(B110,DataSet!$N$2:$N$600,DataSet!$I$2:$I$600,0)</f>
        <v>United States</v>
      </c>
      <c r="I110" s="10" t="str">
        <f>_xlfn.XLOOKUP(B110,DataSet!$N$2:$N$600,DataSet!$X$2:$X$600,0)</f>
        <v>Charlotte - North Carolina</v>
      </c>
      <c r="J110" s="10" t="str">
        <f>_xlfn.XLOOKUP(B110,DataSet!$N$2:$N$600,DataSet!$M$2:$M$600,0)</f>
        <v>South</v>
      </c>
      <c r="K110" s="10" t="str">
        <f>_xlfn.XLOOKUP(B110,DataSet!$N$2:$N$600,DataSet!$O$2:$O$600,0)</f>
        <v>Technology</v>
      </c>
      <c r="L110" s="10" t="str">
        <f>_xlfn.XLOOKUP(B110,DataSet!$N$2:$N$600,DataSet!$Y$2:$Y$600,0)</f>
        <v>Phones</v>
      </c>
      <c r="M110" s="10" t="str">
        <f>_xlfn.XLOOKUP(B110,DataSet!$N$2:$N$600,DataSet!$Q$2:$Q$600,0)</f>
        <v>Speck Products Candyshell Flip Case</v>
      </c>
      <c r="N110" s="16">
        <f>_xlfn.XLOOKUP(B110,DataSet!$N$2:$N$600,DataSet!$AA$2:$AA$600,0)</f>
        <v>27.992000000000001</v>
      </c>
      <c r="O110" s="10">
        <f>_xlfn.XLOOKUP(B110,DataSet!$N$2:$N$600,DataSet!$S$2:$S$600,0)</f>
        <v>1</v>
      </c>
      <c r="P110" s="15">
        <f>_xlfn.XLOOKUP(B110,DataSet!$N$2:$N$600,DataSet!$T$2:$T$600,0)</f>
        <v>0.2</v>
      </c>
      <c r="Q110" s="14">
        <f>_xlfn.XLOOKUP(B110,DataSet!$N$2:$N$600,DataSet!$U$2:$U$600,0)</f>
        <v>2.0994000000000002</v>
      </c>
      <c r="R110" s="16">
        <f>_xlfn.XLOOKUP(B110,DataSet!$N$2:$N$600,DataSet!$AB$2:$AB$600,0)</f>
        <v>27.992000000000001</v>
      </c>
      <c r="S110" s="9">
        <f>_xlfn.XLOOKUP(B110,DataSet!$N$2:$N$600,DataSet!$AC$2:$AC$600,0)</f>
        <v>22.393600000000003</v>
      </c>
    </row>
    <row r="111" spans="1:19" s="12" customFormat="1" x14ac:dyDescent="0.3">
      <c r="A111" s="27">
        <v>109</v>
      </c>
      <c r="B111" s="10" t="s">
        <v>470</v>
      </c>
      <c r="C111" s="10" t="str">
        <f>_xlfn.XLOOKUP(B111,DataSet!$N$2:$N$600,DataSet!$AF$2:$AF$600,0)</f>
        <v>119004</v>
      </c>
      <c r="D111" s="10" t="str">
        <f>_xlfn.XLOOKUP(B111,DataSet!$N$2:$N$600,DataSet!$G$2:$G$600,0)</f>
        <v>Janet Martin</v>
      </c>
      <c r="E111" s="10" t="str">
        <f>_xlfn.XLOOKUP(B111,DataSet!$N$2:$N$600,DataSet!$F$2:$F$600,0)</f>
        <v>JM-15250</v>
      </c>
      <c r="F111" s="10" t="str">
        <f>_xlfn.XLOOKUP(B111,DataSet!$N$2:$N$600,DataSet!$W$2:$W$600,0)</f>
        <v>Consumer</v>
      </c>
      <c r="G111" s="13">
        <f>_xlfn.XLOOKUP(B111,DataSet!$N$2:$N$600,DataSet!$C$2:$C$600,0)</f>
        <v>43062</v>
      </c>
      <c r="H111" s="10" t="str">
        <f>_xlfn.XLOOKUP(B111,DataSet!$N$2:$N$600,DataSet!$I$2:$I$600,0)</f>
        <v>United States</v>
      </c>
      <c r="I111" s="10" t="str">
        <f>_xlfn.XLOOKUP(B111,DataSet!$N$2:$N$600,DataSet!$X$2:$X$600,0)</f>
        <v>Charlotte - North Carolina</v>
      </c>
      <c r="J111" s="10" t="str">
        <f>_xlfn.XLOOKUP(B111,DataSet!$N$2:$N$600,DataSet!$M$2:$M$600,0)</f>
        <v>South</v>
      </c>
      <c r="K111" s="10" t="str">
        <f>_xlfn.XLOOKUP(B111,DataSet!$N$2:$N$600,DataSet!$O$2:$O$600,0)</f>
        <v>Office Supplies</v>
      </c>
      <c r="L111" s="10" t="str">
        <f>_xlfn.XLOOKUP(B111,DataSet!$N$2:$N$600,DataSet!$Y$2:$Y$600,0)</f>
        <v>Art</v>
      </c>
      <c r="M111" s="10" t="str">
        <f>_xlfn.XLOOKUP(B111,DataSet!$N$2:$N$600,DataSet!$Q$2:$Q$600,0)</f>
        <v>Newell Chalk Holder</v>
      </c>
      <c r="N111" s="16">
        <f>_xlfn.XLOOKUP(B111,DataSet!$N$2:$N$600,DataSet!$AA$2:$AA$600,0)</f>
        <v>3.3039999999999998</v>
      </c>
      <c r="O111" s="10">
        <f>_xlfn.XLOOKUP(B111,DataSet!$N$2:$N$600,DataSet!$S$2:$S$600,0)</f>
        <v>1</v>
      </c>
      <c r="P111" s="15">
        <f>_xlfn.XLOOKUP(B111,DataSet!$N$2:$N$600,DataSet!$T$2:$T$600,0)</f>
        <v>0.2</v>
      </c>
      <c r="Q111" s="14">
        <f>_xlfn.XLOOKUP(B111,DataSet!$N$2:$N$600,DataSet!$U$2:$U$600,0)</f>
        <v>1.0738000000000001</v>
      </c>
      <c r="R111" s="16">
        <f>_xlfn.XLOOKUP(B111,DataSet!$N$2:$N$600,DataSet!$AB$2:$AB$600,0)</f>
        <v>3.3039999999999998</v>
      </c>
      <c r="S111" s="9">
        <f>_xlfn.XLOOKUP(B111,DataSet!$N$2:$N$600,DataSet!$AC$2:$AC$600,0)</f>
        <v>2.6432000000000002</v>
      </c>
    </row>
    <row r="112" spans="1:19" s="12" customFormat="1" x14ac:dyDescent="0.3">
      <c r="A112" s="27">
        <v>110</v>
      </c>
      <c r="B112" s="10" t="s">
        <v>476</v>
      </c>
      <c r="C112" s="10" t="str">
        <f>_xlfn.XLOOKUP(B112,DataSet!$N$2:$N$600,DataSet!$AF$2:$AF$600,0)</f>
        <v>129476</v>
      </c>
      <c r="D112" s="10" t="str">
        <f>_xlfn.XLOOKUP(B112,DataSet!$N$2:$N$600,DataSet!$G$2:$G$600,0)</f>
        <v>Pete Armstrong</v>
      </c>
      <c r="E112" s="10" t="str">
        <f>_xlfn.XLOOKUP(B112,DataSet!$N$2:$N$600,DataSet!$F$2:$F$600,0)</f>
        <v>PA-19060</v>
      </c>
      <c r="F112" s="10" t="str">
        <f>_xlfn.XLOOKUP(B112,DataSet!$N$2:$N$600,DataSet!$W$2:$W$600,0)</f>
        <v>Home Office</v>
      </c>
      <c r="G112" s="13">
        <f>_xlfn.XLOOKUP(B112,DataSet!$N$2:$N$600,DataSet!$C$2:$C$600,0)</f>
        <v>42292</v>
      </c>
      <c r="H112" s="10" t="str">
        <f>_xlfn.XLOOKUP(B112,DataSet!$N$2:$N$600,DataSet!$I$2:$I$600,0)</f>
        <v>United States</v>
      </c>
      <c r="I112" s="10" t="str">
        <f>_xlfn.XLOOKUP(B112,DataSet!$N$2:$N$600,DataSet!$X$2:$X$600,0)</f>
        <v>Orland Park - Illinois</v>
      </c>
      <c r="J112" s="10" t="str">
        <f>_xlfn.XLOOKUP(B112,DataSet!$N$2:$N$600,DataSet!$M$2:$M$600,0)</f>
        <v>Central</v>
      </c>
      <c r="K112" s="10" t="str">
        <f>_xlfn.XLOOKUP(B112,DataSet!$N$2:$N$600,DataSet!$O$2:$O$600,0)</f>
        <v>Technology</v>
      </c>
      <c r="L112" s="10" t="str">
        <f>_xlfn.XLOOKUP(B112,DataSet!$N$2:$N$600,DataSet!$Y$2:$Y$600,0)</f>
        <v>Accessories</v>
      </c>
      <c r="M112" s="10" t="str">
        <f>_xlfn.XLOOKUP(B112,DataSet!$N$2:$N$600,DataSet!$Q$2:$Q$600,0)</f>
        <v>Logitech Gaming G510s - Keyboard</v>
      </c>
      <c r="N112" s="16">
        <f>_xlfn.XLOOKUP(B112,DataSet!$N$2:$N$600,DataSet!$AA$2:$AA$600,0)</f>
        <v>339.96</v>
      </c>
      <c r="O112" s="10">
        <f>_xlfn.XLOOKUP(B112,DataSet!$N$2:$N$600,DataSet!$S$2:$S$600,0)</f>
        <v>5</v>
      </c>
      <c r="P112" s="15">
        <f>_xlfn.XLOOKUP(B112,DataSet!$N$2:$N$600,DataSet!$T$2:$T$600,0)</f>
        <v>0.2</v>
      </c>
      <c r="Q112" s="14">
        <f>_xlfn.XLOOKUP(B112,DataSet!$N$2:$N$600,DataSet!$U$2:$U$600,0)</f>
        <v>67.992000000000004</v>
      </c>
      <c r="R112" s="16">
        <f>_xlfn.XLOOKUP(B112,DataSet!$N$2:$N$600,DataSet!$AB$2:$AB$600,0)</f>
        <v>1699.8</v>
      </c>
      <c r="S112" s="9">
        <f>_xlfn.XLOOKUP(B112,DataSet!$N$2:$N$600,DataSet!$AC$2:$AC$600,0)</f>
        <v>1359.8400000000001</v>
      </c>
    </row>
    <row r="113" spans="1:19" s="12" customFormat="1" x14ac:dyDescent="0.3">
      <c r="A113" s="27">
        <v>111</v>
      </c>
      <c r="B113" s="10" t="s">
        <v>481</v>
      </c>
      <c r="C113" s="10" t="str">
        <f>_xlfn.XLOOKUP(B113,DataSet!$N$2:$N$600,DataSet!$AF$2:$AF$600,0)</f>
        <v>146780</v>
      </c>
      <c r="D113" s="10" t="str">
        <f>_xlfn.XLOOKUP(B113,DataSet!$N$2:$N$600,DataSet!$G$2:$G$600,0)</f>
        <v>Cynthia Voltz</v>
      </c>
      <c r="E113" s="10" t="str">
        <f>_xlfn.XLOOKUP(B113,DataSet!$N$2:$N$600,DataSet!$F$2:$F$600,0)</f>
        <v>CV-12805</v>
      </c>
      <c r="F113" s="10" t="str">
        <f>_xlfn.XLOOKUP(B113,DataSet!$N$2:$N$600,DataSet!$W$2:$W$600,0)</f>
        <v>Corporate</v>
      </c>
      <c r="G113" s="13">
        <f>_xlfn.XLOOKUP(B113,DataSet!$N$2:$N$600,DataSet!$C$2:$C$600,0)</f>
        <v>43094</v>
      </c>
      <c r="H113" s="10" t="str">
        <f>_xlfn.XLOOKUP(B113,DataSet!$N$2:$N$600,DataSet!$I$2:$I$600,0)</f>
        <v>United States</v>
      </c>
      <c r="I113" s="10" t="str">
        <f>_xlfn.XLOOKUP(B113,DataSet!$N$2:$N$600,DataSet!$X$2:$X$600,0)</f>
        <v>New York City - New York</v>
      </c>
      <c r="J113" s="10" t="str">
        <f>_xlfn.XLOOKUP(B113,DataSet!$N$2:$N$600,DataSet!$M$2:$M$600,0)</f>
        <v>East</v>
      </c>
      <c r="K113" s="10" t="str">
        <f>_xlfn.XLOOKUP(B113,DataSet!$N$2:$N$600,DataSet!$O$2:$O$600,0)</f>
        <v>Furniture</v>
      </c>
      <c r="L113" s="10" t="str">
        <f>_xlfn.XLOOKUP(B113,DataSet!$N$2:$N$600,DataSet!$Y$2:$Y$600,0)</f>
        <v>Furnishings</v>
      </c>
      <c r="M113" s="10" t="str">
        <f>_xlfn.XLOOKUP(B113,DataSet!$N$2:$N$600,DataSet!$Q$2:$Q$600,0)</f>
        <v>Magnifier Swing Arm Lamp</v>
      </c>
      <c r="N113" s="16">
        <f>_xlfn.XLOOKUP(B113,DataSet!$N$2:$N$600,DataSet!$AA$2:$AA$600,0)</f>
        <v>41.96</v>
      </c>
      <c r="O113" s="10">
        <f>_xlfn.XLOOKUP(B113,DataSet!$N$2:$N$600,DataSet!$S$2:$S$600,0)</f>
        <v>2</v>
      </c>
      <c r="P113" s="15">
        <f>_xlfn.XLOOKUP(B113,DataSet!$N$2:$N$600,DataSet!$T$2:$T$600,0)</f>
        <v>0</v>
      </c>
      <c r="Q113" s="14">
        <f>_xlfn.XLOOKUP(B113,DataSet!$N$2:$N$600,DataSet!$U$2:$U$600,0)</f>
        <v>10.909599999999999</v>
      </c>
      <c r="R113" s="16">
        <f>_xlfn.XLOOKUP(B113,DataSet!$N$2:$N$600,DataSet!$AB$2:$AB$600,0)</f>
        <v>83.92</v>
      </c>
      <c r="S113" s="9">
        <f>_xlfn.XLOOKUP(B113,DataSet!$N$2:$N$600,DataSet!$AC$2:$AC$600,0)</f>
        <v>83.92</v>
      </c>
    </row>
    <row r="114" spans="1:19" s="12" customFormat="1" x14ac:dyDescent="0.3">
      <c r="A114" s="27">
        <v>112</v>
      </c>
      <c r="B114" s="10" t="s">
        <v>488</v>
      </c>
      <c r="C114" s="10" t="str">
        <f>_xlfn.XLOOKUP(B114,DataSet!$N$2:$N$600,DataSet!$AF$2:$AF$600,0)</f>
        <v>128867</v>
      </c>
      <c r="D114" s="10" t="str">
        <f>_xlfn.XLOOKUP(B114,DataSet!$N$2:$N$600,DataSet!$G$2:$G$600,0)</f>
        <v>Clay Ludtke</v>
      </c>
      <c r="E114" s="10" t="str">
        <f>_xlfn.XLOOKUP(B114,DataSet!$N$2:$N$600,DataSet!$F$2:$F$600,0)</f>
        <v>CL-12565</v>
      </c>
      <c r="F114" s="10" t="str">
        <f>_xlfn.XLOOKUP(B114,DataSet!$N$2:$N$600,DataSet!$W$2:$W$600,0)</f>
        <v>Consumer</v>
      </c>
      <c r="G114" s="13">
        <f>_xlfn.XLOOKUP(B114,DataSet!$N$2:$N$600,DataSet!$C$2:$C$600,0)</f>
        <v>42677</v>
      </c>
      <c r="H114" s="10" t="str">
        <f>_xlfn.XLOOKUP(B114,DataSet!$N$2:$N$600,DataSet!$I$2:$I$600,0)</f>
        <v>United States</v>
      </c>
      <c r="I114" s="10" t="str">
        <f>_xlfn.XLOOKUP(B114,DataSet!$N$2:$N$600,DataSet!$X$2:$X$600,0)</f>
        <v>Urbandale - Iowa</v>
      </c>
      <c r="J114" s="10" t="str">
        <f>_xlfn.XLOOKUP(B114,DataSet!$N$2:$N$600,DataSet!$M$2:$M$600,0)</f>
        <v>Central</v>
      </c>
      <c r="K114" s="10" t="str">
        <f>_xlfn.XLOOKUP(B114,DataSet!$N$2:$N$600,DataSet!$O$2:$O$600,0)</f>
        <v>Office Supplies</v>
      </c>
      <c r="L114" s="10" t="str">
        <f>_xlfn.XLOOKUP(B114,DataSet!$N$2:$N$600,DataSet!$Y$2:$Y$600,0)</f>
        <v>Art</v>
      </c>
      <c r="M114" s="10" t="str">
        <f>_xlfn.XLOOKUP(B114,DataSet!$N$2:$N$600,DataSet!$Q$2:$Q$600,0)</f>
        <v>Hunt PowerHouse Electric Pencil Sharpener, Blue</v>
      </c>
      <c r="N114" s="16">
        <f>_xlfn.XLOOKUP(B114,DataSet!$N$2:$N$600,DataSet!$AA$2:$AA$600,0)</f>
        <v>75.959999999999994</v>
      </c>
      <c r="O114" s="10">
        <f>_xlfn.XLOOKUP(B114,DataSet!$N$2:$N$600,DataSet!$S$2:$S$600,0)</f>
        <v>2</v>
      </c>
      <c r="P114" s="15">
        <f>_xlfn.XLOOKUP(B114,DataSet!$N$2:$N$600,DataSet!$T$2:$T$600,0)</f>
        <v>0</v>
      </c>
      <c r="Q114" s="14">
        <f>_xlfn.XLOOKUP(B114,DataSet!$N$2:$N$600,DataSet!$U$2:$U$600,0)</f>
        <v>22.788</v>
      </c>
      <c r="R114" s="16">
        <f>_xlfn.XLOOKUP(B114,DataSet!$N$2:$N$600,DataSet!$AB$2:$AB$600,0)</f>
        <v>151.91999999999999</v>
      </c>
      <c r="S114" s="9">
        <f>_xlfn.XLOOKUP(B114,DataSet!$N$2:$N$600,DataSet!$AC$2:$AC$600,0)</f>
        <v>151.91999999999999</v>
      </c>
    </row>
    <row r="115" spans="1:19" s="12" customFormat="1" x14ac:dyDescent="0.3">
      <c r="A115" s="27">
        <v>113</v>
      </c>
      <c r="B115" s="10" t="s">
        <v>490</v>
      </c>
      <c r="C115" s="10" t="str">
        <f>_xlfn.XLOOKUP(B115,DataSet!$N$2:$N$600,DataSet!$AF$2:$AF$600,0)</f>
        <v>128867</v>
      </c>
      <c r="D115" s="10" t="str">
        <f>_xlfn.XLOOKUP(B115,DataSet!$N$2:$N$600,DataSet!$G$2:$G$600,0)</f>
        <v>Clay Ludtke</v>
      </c>
      <c r="E115" s="10" t="str">
        <f>_xlfn.XLOOKUP(B115,DataSet!$N$2:$N$600,DataSet!$F$2:$F$600,0)</f>
        <v>CL-12565</v>
      </c>
      <c r="F115" s="10" t="str">
        <f>_xlfn.XLOOKUP(B115,DataSet!$N$2:$N$600,DataSet!$W$2:$W$600,0)</f>
        <v>Consumer</v>
      </c>
      <c r="G115" s="13">
        <f>_xlfn.XLOOKUP(B115,DataSet!$N$2:$N$600,DataSet!$C$2:$C$600,0)</f>
        <v>42677</v>
      </c>
      <c r="H115" s="10" t="str">
        <f>_xlfn.XLOOKUP(B115,DataSet!$N$2:$N$600,DataSet!$I$2:$I$600,0)</f>
        <v>United States</v>
      </c>
      <c r="I115" s="10" t="str">
        <f>_xlfn.XLOOKUP(B115,DataSet!$N$2:$N$600,DataSet!$X$2:$X$600,0)</f>
        <v>Urbandale - Iowa</v>
      </c>
      <c r="J115" s="10" t="str">
        <f>_xlfn.XLOOKUP(B115,DataSet!$N$2:$N$600,DataSet!$M$2:$M$600,0)</f>
        <v>Central</v>
      </c>
      <c r="K115" s="10" t="str">
        <f>_xlfn.XLOOKUP(B115,DataSet!$N$2:$N$600,DataSet!$O$2:$O$600,0)</f>
        <v>Office Supplies</v>
      </c>
      <c r="L115" s="10" t="str">
        <f>_xlfn.XLOOKUP(B115,DataSet!$N$2:$N$600,DataSet!$Y$2:$Y$600,0)</f>
        <v>Binders</v>
      </c>
      <c r="M115" s="10" t="str">
        <f>_xlfn.XLOOKUP(B115,DataSet!$N$2:$N$600,DataSet!$Q$2:$Q$600,0)</f>
        <v>Avery Durable Plastic 1" Binders</v>
      </c>
      <c r="N115" s="16">
        <f>_xlfn.XLOOKUP(B115,DataSet!$N$2:$N$600,DataSet!$AA$2:$AA$600,0)</f>
        <v>27.24</v>
      </c>
      <c r="O115" s="10">
        <f>_xlfn.XLOOKUP(B115,DataSet!$N$2:$N$600,DataSet!$S$2:$S$600,0)</f>
        <v>6</v>
      </c>
      <c r="P115" s="15">
        <f>_xlfn.XLOOKUP(B115,DataSet!$N$2:$N$600,DataSet!$T$2:$T$600,0)</f>
        <v>0</v>
      </c>
      <c r="Q115" s="14">
        <f>_xlfn.XLOOKUP(B115,DataSet!$N$2:$N$600,DataSet!$U$2:$U$600,0)</f>
        <v>13.3476</v>
      </c>
      <c r="R115" s="16">
        <f>_xlfn.XLOOKUP(B115,DataSet!$N$2:$N$600,DataSet!$AB$2:$AB$600,0)</f>
        <v>163.44</v>
      </c>
      <c r="S115" s="9">
        <f>_xlfn.XLOOKUP(B115,DataSet!$N$2:$N$600,DataSet!$AC$2:$AC$600,0)</f>
        <v>163.44</v>
      </c>
    </row>
    <row r="116" spans="1:19" s="12" customFormat="1" x14ac:dyDescent="0.3">
      <c r="A116" s="27">
        <v>114</v>
      </c>
      <c r="B116" s="10" t="s">
        <v>497</v>
      </c>
      <c r="C116" s="10" t="str">
        <f>_xlfn.XLOOKUP(B116,DataSet!$N$2:$N$600,DataSet!$AF$2:$AF$600,0)</f>
        <v>115259</v>
      </c>
      <c r="D116" s="10" t="str">
        <f>_xlfn.XLOOKUP(B116,DataSet!$N$2:$N$600,DataSet!$G$2:$G$600,0)</f>
        <v>Ryan Crowe</v>
      </c>
      <c r="E116" s="10" t="str">
        <f>_xlfn.XLOOKUP(B116,DataSet!$N$2:$N$600,DataSet!$F$2:$F$600,0)</f>
        <v>RC-19960</v>
      </c>
      <c r="F116" s="10" t="str">
        <f>_xlfn.XLOOKUP(B116,DataSet!$N$2:$N$600,DataSet!$W$2:$W$600,0)</f>
        <v>Consumer</v>
      </c>
      <c r="G116" s="13">
        <f>_xlfn.XLOOKUP(B116,DataSet!$N$2:$N$600,DataSet!$C$2:$C$600,0)</f>
        <v>41876</v>
      </c>
      <c r="H116" s="10" t="str">
        <f>_xlfn.XLOOKUP(B116,DataSet!$N$2:$N$600,DataSet!$I$2:$I$600,0)</f>
        <v>United States</v>
      </c>
      <c r="I116" s="10" t="str">
        <f>_xlfn.XLOOKUP(B116,DataSet!$N$2:$N$600,DataSet!$X$2:$X$600,0)</f>
        <v>Columbus - Ohio</v>
      </c>
      <c r="J116" s="10" t="str">
        <f>_xlfn.XLOOKUP(B116,DataSet!$N$2:$N$600,DataSet!$M$2:$M$600,0)</f>
        <v>East</v>
      </c>
      <c r="K116" s="10" t="str">
        <f>_xlfn.XLOOKUP(B116,DataSet!$N$2:$N$600,DataSet!$O$2:$O$600,0)</f>
        <v>Office Supplies</v>
      </c>
      <c r="L116" s="10" t="str">
        <f>_xlfn.XLOOKUP(B116,DataSet!$N$2:$N$600,DataSet!$Y$2:$Y$600,0)</f>
        <v>Fasteners</v>
      </c>
      <c r="M116" s="10" t="str">
        <f>_xlfn.XLOOKUP(B116,DataSet!$N$2:$N$600,DataSet!$Q$2:$Q$600,0)</f>
        <v>OIC Colored Binder Clips, Assorted Sizes</v>
      </c>
      <c r="N116" s="16">
        <f>_xlfn.XLOOKUP(B116,DataSet!$N$2:$N$600,DataSet!$AA$2:$AA$600,0)</f>
        <v>40.095999999999997</v>
      </c>
      <c r="O116" s="10">
        <f>_xlfn.XLOOKUP(B116,DataSet!$N$2:$N$600,DataSet!$S$2:$S$600,0)</f>
        <v>14</v>
      </c>
      <c r="P116" s="15">
        <f>_xlfn.XLOOKUP(B116,DataSet!$N$2:$N$600,DataSet!$T$2:$T$600,0)</f>
        <v>0.2</v>
      </c>
      <c r="Q116" s="14">
        <f>_xlfn.XLOOKUP(B116,DataSet!$N$2:$N$600,DataSet!$U$2:$U$600,0)</f>
        <v>14.534800000000001</v>
      </c>
      <c r="R116" s="16">
        <f>_xlfn.XLOOKUP(B116,DataSet!$N$2:$N$600,DataSet!$AB$2:$AB$600,0)</f>
        <v>561.34399999999994</v>
      </c>
      <c r="S116" s="9">
        <f>_xlfn.XLOOKUP(B116,DataSet!$N$2:$N$600,DataSet!$AC$2:$AC$600,0)</f>
        <v>449.0752</v>
      </c>
    </row>
    <row r="117" spans="1:19" s="12" customFormat="1" x14ac:dyDescent="0.3">
      <c r="A117" s="27">
        <v>115</v>
      </c>
      <c r="B117" s="10" t="s">
        <v>499</v>
      </c>
      <c r="C117" s="10" t="str">
        <f>_xlfn.XLOOKUP(B117,DataSet!$N$2:$N$600,DataSet!$AF$2:$AF$600,0)</f>
        <v>115259</v>
      </c>
      <c r="D117" s="10" t="str">
        <f>_xlfn.XLOOKUP(B117,DataSet!$N$2:$N$600,DataSet!$G$2:$G$600,0)</f>
        <v>Ryan Crowe</v>
      </c>
      <c r="E117" s="10" t="str">
        <f>_xlfn.XLOOKUP(B117,DataSet!$N$2:$N$600,DataSet!$F$2:$F$600,0)</f>
        <v>RC-19960</v>
      </c>
      <c r="F117" s="10" t="str">
        <f>_xlfn.XLOOKUP(B117,DataSet!$N$2:$N$600,DataSet!$W$2:$W$600,0)</f>
        <v>Consumer</v>
      </c>
      <c r="G117" s="13">
        <f>_xlfn.XLOOKUP(B117,DataSet!$N$2:$N$600,DataSet!$C$2:$C$600,0)</f>
        <v>41876</v>
      </c>
      <c r="H117" s="10" t="str">
        <f>_xlfn.XLOOKUP(B117,DataSet!$N$2:$N$600,DataSet!$I$2:$I$600,0)</f>
        <v>United States</v>
      </c>
      <c r="I117" s="10" t="str">
        <f>_xlfn.XLOOKUP(B117,DataSet!$N$2:$N$600,DataSet!$X$2:$X$600,0)</f>
        <v>Columbus - Ohio</v>
      </c>
      <c r="J117" s="10" t="str">
        <f>_xlfn.XLOOKUP(B117,DataSet!$N$2:$N$600,DataSet!$M$2:$M$600,0)</f>
        <v>East</v>
      </c>
      <c r="K117" s="10" t="str">
        <f>_xlfn.XLOOKUP(B117,DataSet!$N$2:$N$600,DataSet!$O$2:$O$600,0)</f>
        <v>Office Supplies</v>
      </c>
      <c r="L117" s="10" t="str">
        <f>_xlfn.XLOOKUP(B117,DataSet!$N$2:$N$600,DataSet!$Y$2:$Y$600,0)</f>
        <v>Envelopes</v>
      </c>
      <c r="M117" s="10" t="str">
        <f>_xlfn.XLOOKUP(B117,DataSet!$N$2:$N$600,DataSet!$Q$2:$Q$600,0)</f>
        <v>Redi-Strip #10 Envelopes, 4 1/8 x 9 1/2</v>
      </c>
      <c r="N117" s="16">
        <f>_xlfn.XLOOKUP(B117,DataSet!$N$2:$N$600,DataSet!$AA$2:$AA$600,0)</f>
        <v>4.72</v>
      </c>
      <c r="O117" s="10">
        <f>_xlfn.XLOOKUP(B117,DataSet!$N$2:$N$600,DataSet!$S$2:$S$600,0)</f>
        <v>2</v>
      </c>
      <c r="P117" s="15">
        <f>_xlfn.XLOOKUP(B117,DataSet!$N$2:$N$600,DataSet!$T$2:$T$600,0)</f>
        <v>0.2</v>
      </c>
      <c r="Q117" s="14">
        <f>_xlfn.XLOOKUP(B117,DataSet!$N$2:$N$600,DataSet!$U$2:$U$600,0)</f>
        <v>1.6519999999999999</v>
      </c>
      <c r="R117" s="16">
        <f>_xlfn.XLOOKUP(B117,DataSet!$N$2:$N$600,DataSet!$AB$2:$AB$600,0)</f>
        <v>9.44</v>
      </c>
      <c r="S117" s="9">
        <f>_xlfn.XLOOKUP(B117,DataSet!$N$2:$N$600,DataSet!$AC$2:$AC$600,0)</f>
        <v>7.5519999999999996</v>
      </c>
    </row>
    <row r="118" spans="1:19" s="12" customFormat="1" x14ac:dyDescent="0.3">
      <c r="A118" s="27">
        <v>116</v>
      </c>
      <c r="B118" s="10" t="s">
        <v>501</v>
      </c>
      <c r="C118" s="10" t="str">
        <f>_xlfn.XLOOKUP(B118,DataSet!$N$2:$N$600,DataSet!$AF$2:$AF$600,0)</f>
        <v>115259</v>
      </c>
      <c r="D118" s="10" t="str">
        <f>_xlfn.XLOOKUP(B118,DataSet!$N$2:$N$600,DataSet!$G$2:$G$600,0)</f>
        <v>Ryan Crowe</v>
      </c>
      <c r="E118" s="10" t="str">
        <f>_xlfn.XLOOKUP(B118,DataSet!$N$2:$N$600,DataSet!$F$2:$F$600,0)</f>
        <v>RC-19960</v>
      </c>
      <c r="F118" s="10" t="str">
        <f>_xlfn.XLOOKUP(B118,DataSet!$N$2:$N$600,DataSet!$W$2:$W$600,0)</f>
        <v>Consumer</v>
      </c>
      <c r="G118" s="13">
        <f>_xlfn.XLOOKUP(B118,DataSet!$N$2:$N$600,DataSet!$C$2:$C$600,0)</f>
        <v>41876</v>
      </c>
      <c r="H118" s="10" t="str">
        <f>_xlfn.XLOOKUP(B118,DataSet!$N$2:$N$600,DataSet!$I$2:$I$600,0)</f>
        <v>United States</v>
      </c>
      <c r="I118" s="10" t="str">
        <f>_xlfn.XLOOKUP(B118,DataSet!$N$2:$N$600,DataSet!$X$2:$X$600,0)</f>
        <v>Columbus - Ohio</v>
      </c>
      <c r="J118" s="10" t="str">
        <f>_xlfn.XLOOKUP(B118,DataSet!$N$2:$N$600,DataSet!$M$2:$M$600,0)</f>
        <v>East</v>
      </c>
      <c r="K118" s="10" t="str">
        <f>_xlfn.XLOOKUP(B118,DataSet!$N$2:$N$600,DataSet!$O$2:$O$600,0)</f>
        <v>Office Supplies</v>
      </c>
      <c r="L118" s="10" t="str">
        <f>_xlfn.XLOOKUP(B118,DataSet!$N$2:$N$600,DataSet!$Y$2:$Y$600,0)</f>
        <v>Paper</v>
      </c>
      <c r="M118" s="10" t="str">
        <f>_xlfn.XLOOKUP(B118,DataSet!$N$2:$N$600,DataSet!$Q$2:$Q$600,0)</f>
        <v>Xerox 1921</v>
      </c>
      <c r="N118" s="16">
        <f>_xlfn.XLOOKUP(B118,DataSet!$N$2:$N$600,DataSet!$AA$2:$AA$600,0)</f>
        <v>23.975999999999999</v>
      </c>
      <c r="O118" s="10">
        <f>_xlfn.XLOOKUP(B118,DataSet!$N$2:$N$600,DataSet!$S$2:$S$600,0)</f>
        <v>3</v>
      </c>
      <c r="P118" s="15">
        <f>_xlfn.XLOOKUP(B118,DataSet!$N$2:$N$600,DataSet!$T$2:$T$600,0)</f>
        <v>0.2</v>
      </c>
      <c r="Q118" s="14">
        <f>_xlfn.XLOOKUP(B118,DataSet!$N$2:$N$600,DataSet!$U$2:$U$600,0)</f>
        <v>7.4924999999999997</v>
      </c>
      <c r="R118" s="16">
        <f>_xlfn.XLOOKUP(B118,DataSet!$N$2:$N$600,DataSet!$AB$2:$AB$600,0)</f>
        <v>71.927999999999997</v>
      </c>
      <c r="S118" s="9">
        <f>_xlfn.XLOOKUP(B118,DataSet!$N$2:$N$600,DataSet!$AC$2:$AC$600,0)</f>
        <v>57.542400000000001</v>
      </c>
    </row>
    <row r="119" spans="1:19" s="12" customFormat="1" x14ac:dyDescent="0.3">
      <c r="A119" s="27">
        <v>117</v>
      </c>
      <c r="B119" s="10" t="s">
        <v>503</v>
      </c>
      <c r="C119" s="10" t="str">
        <f>_xlfn.XLOOKUP(B119,DataSet!$N$2:$N$600,DataSet!$AF$2:$AF$600,0)</f>
        <v>115259</v>
      </c>
      <c r="D119" s="10" t="str">
        <f>_xlfn.XLOOKUP(B119,DataSet!$N$2:$N$600,DataSet!$G$2:$G$600,0)</f>
        <v>Ryan Crowe</v>
      </c>
      <c r="E119" s="10" t="str">
        <f>_xlfn.XLOOKUP(B119,DataSet!$N$2:$N$600,DataSet!$F$2:$F$600,0)</f>
        <v>RC-19960</v>
      </c>
      <c r="F119" s="10" t="str">
        <f>_xlfn.XLOOKUP(B119,DataSet!$N$2:$N$600,DataSet!$W$2:$W$600,0)</f>
        <v>Consumer</v>
      </c>
      <c r="G119" s="13">
        <f>_xlfn.XLOOKUP(B119,DataSet!$N$2:$N$600,DataSet!$C$2:$C$600,0)</f>
        <v>41876</v>
      </c>
      <c r="H119" s="10" t="str">
        <f>_xlfn.XLOOKUP(B119,DataSet!$N$2:$N$600,DataSet!$I$2:$I$600,0)</f>
        <v>United States</v>
      </c>
      <c r="I119" s="10" t="str">
        <f>_xlfn.XLOOKUP(B119,DataSet!$N$2:$N$600,DataSet!$X$2:$X$600,0)</f>
        <v>Columbus - Ohio</v>
      </c>
      <c r="J119" s="10" t="str">
        <f>_xlfn.XLOOKUP(B119,DataSet!$N$2:$N$600,DataSet!$M$2:$M$600,0)</f>
        <v>East</v>
      </c>
      <c r="K119" s="10" t="str">
        <f>_xlfn.XLOOKUP(B119,DataSet!$N$2:$N$600,DataSet!$O$2:$O$600,0)</f>
        <v>Office Supplies</v>
      </c>
      <c r="L119" s="10" t="str">
        <f>_xlfn.XLOOKUP(B119,DataSet!$N$2:$N$600,DataSet!$Y$2:$Y$600,0)</f>
        <v>Envelopes</v>
      </c>
      <c r="M119" s="10" t="str">
        <f>_xlfn.XLOOKUP(B119,DataSet!$N$2:$N$600,DataSet!$Q$2:$Q$600,0)</f>
        <v>Tyvek  Top-Opening Peel &amp; Seel Envelopes, Plain White</v>
      </c>
      <c r="N119" s="16">
        <f>_xlfn.XLOOKUP(B119,DataSet!$N$2:$N$600,DataSet!$AA$2:$AA$600,0)</f>
        <v>130.464</v>
      </c>
      <c r="O119" s="10">
        <f>_xlfn.XLOOKUP(B119,DataSet!$N$2:$N$600,DataSet!$S$2:$S$600,0)</f>
        <v>6</v>
      </c>
      <c r="P119" s="15">
        <f>_xlfn.XLOOKUP(B119,DataSet!$N$2:$N$600,DataSet!$T$2:$T$600,0)</f>
        <v>0.2</v>
      </c>
      <c r="Q119" s="14">
        <f>_xlfn.XLOOKUP(B119,DataSet!$N$2:$N$600,DataSet!$U$2:$U$600,0)</f>
        <v>44.031599999999997</v>
      </c>
      <c r="R119" s="16">
        <f>_xlfn.XLOOKUP(B119,DataSet!$N$2:$N$600,DataSet!$AB$2:$AB$600,0)</f>
        <v>782.78399999999999</v>
      </c>
      <c r="S119" s="9">
        <f>_xlfn.XLOOKUP(B119,DataSet!$N$2:$N$600,DataSet!$AC$2:$AC$600,0)</f>
        <v>626.22720000000004</v>
      </c>
    </row>
    <row r="120" spans="1:19" s="12" customFormat="1" x14ac:dyDescent="0.3">
      <c r="A120" s="27">
        <v>118</v>
      </c>
      <c r="B120" s="10" t="s">
        <v>508</v>
      </c>
      <c r="C120" s="10" t="str">
        <f>_xlfn.XLOOKUP(B120,DataSet!$N$2:$N$600,DataSet!$AF$2:$AF$600,0)</f>
        <v>110457</v>
      </c>
      <c r="D120" s="10" t="str">
        <f>_xlfn.XLOOKUP(B120,DataSet!$N$2:$N$600,DataSet!$G$2:$G$600,0)</f>
        <v>Dave Kipp</v>
      </c>
      <c r="E120" s="10" t="str">
        <f>_xlfn.XLOOKUP(B120,DataSet!$N$2:$N$600,DataSet!$F$2:$F$600,0)</f>
        <v>DK-13090</v>
      </c>
      <c r="F120" s="10" t="str">
        <f>_xlfn.XLOOKUP(B120,DataSet!$N$2:$N$600,DataSet!$W$2:$W$600,0)</f>
        <v>Consumer</v>
      </c>
      <c r="G120" s="13">
        <f>_xlfn.XLOOKUP(B120,DataSet!$N$2:$N$600,DataSet!$C$2:$C$600,0)</f>
        <v>42065</v>
      </c>
      <c r="H120" s="10" t="str">
        <f>_xlfn.XLOOKUP(B120,DataSet!$N$2:$N$600,DataSet!$I$2:$I$600,0)</f>
        <v>United States</v>
      </c>
      <c r="I120" s="10" t="str">
        <f>_xlfn.XLOOKUP(B120,DataSet!$N$2:$N$600,DataSet!$X$2:$X$600,0)</f>
        <v>Seattle - Washington</v>
      </c>
      <c r="J120" s="10" t="str">
        <f>_xlfn.XLOOKUP(B120,DataSet!$N$2:$N$600,DataSet!$M$2:$M$600,0)</f>
        <v>West</v>
      </c>
      <c r="K120" s="10" t="str">
        <f>_xlfn.XLOOKUP(B120,DataSet!$N$2:$N$600,DataSet!$O$2:$O$600,0)</f>
        <v>Furniture</v>
      </c>
      <c r="L120" s="10" t="str">
        <f>_xlfn.XLOOKUP(B120,DataSet!$N$2:$N$600,DataSet!$Y$2:$Y$600,0)</f>
        <v>Tables</v>
      </c>
      <c r="M120" s="10" t="str">
        <f>_xlfn.XLOOKUP(B120,DataSet!$N$2:$N$600,DataSet!$Q$2:$Q$600,0)</f>
        <v>Hon Racetrack Conference Tables</v>
      </c>
      <c r="N120" s="16">
        <f>_xlfn.XLOOKUP(B120,DataSet!$N$2:$N$600,DataSet!$AA$2:$AA$600,0)</f>
        <v>787.53</v>
      </c>
      <c r="O120" s="10">
        <f>_xlfn.XLOOKUP(B120,DataSet!$N$2:$N$600,DataSet!$S$2:$S$600,0)</f>
        <v>3</v>
      </c>
      <c r="P120" s="15">
        <f>_xlfn.XLOOKUP(B120,DataSet!$N$2:$N$600,DataSet!$T$2:$T$600,0)</f>
        <v>0</v>
      </c>
      <c r="Q120" s="14">
        <f>_xlfn.XLOOKUP(B120,DataSet!$N$2:$N$600,DataSet!$U$2:$U$600,0)</f>
        <v>165.38130000000001</v>
      </c>
      <c r="R120" s="16">
        <f>_xlfn.XLOOKUP(B120,DataSet!$N$2:$N$600,DataSet!$AB$2:$AB$600,0)</f>
        <v>2362.59</v>
      </c>
      <c r="S120" s="9">
        <f>_xlfn.XLOOKUP(B120,DataSet!$N$2:$N$600,DataSet!$AC$2:$AC$600,0)</f>
        <v>2362.59</v>
      </c>
    </row>
    <row r="121" spans="1:19" s="12" customFormat="1" x14ac:dyDescent="0.3">
      <c r="A121" s="27">
        <v>119</v>
      </c>
      <c r="B121" s="10" t="s">
        <v>514</v>
      </c>
      <c r="C121" s="10" t="str">
        <f>_xlfn.XLOOKUP(B121,DataSet!$N$2:$N$600,DataSet!$AF$2:$AF$600,0)</f>
        <v>136476</v>
      </c>
      <c r="D121" s="10" t="str">
        <f>_xlfn.XLOOKUP(B121,DataSet!$N$2:$N$600,DataSet!$G$2:$G$600,0)</f>
        <v>Greg Guthrie</v>
      </c>
      <c r="E121" s="10" t="str">
        <f>_xlfn.XLOOKUP(B121,DataSet!$N$2:$N$600,DataSet!$F$2:$F$600,0)</f>
        <v>GG-14650</v>
      </c>
      <c r="F121" s="10" t="str">
        <f>_xlfn.XLOOKUP(B121,DataSet!$N$2:$N$600,DataSet!$W$2:$W$600,0)</f>
        <v>Corporate</v>
      </c>
      <c r="G121" s="13">
        <f>_xlfn.XLOOKUP(B121,DataSet!$N$2:$N$600,DataSet!$C$2:$C$600,0)</f>
        <v>42099</v>
      </c>
      <c r="H121" s="10" t="str">
        <f>_xlfn.XLOOKUP(B121,DataSet!$N$2:$N$600,DataSet!$I$2:$I$600,0)</f>
        <v>United States</v>
      </c>
      <c r="I121" s="10" t="str">
        <f>_xlfn.XLOOKUP(B121,DataSet!$N$2:$N$600,DataSet!$X$2:$X$600,0)</f>
        <v>Bristol - Tennessee</v>
      </c>
      <c r="J121" s="10" t="str">
        <f>_xlfn.XLOOKUP(B121,DataSet!$N$2:$N$600,DataSet!$M$2:$M$600,0)</f>
        <v>South</v>
      </c>
      <c r="K121" s="10" t="str">
        <f>_xlfn.XLOOKUP(B121,DataSet!$N$2:$N$600,DataSet!$O$2:$O$600,0)</f>
        <v>Office Supplies</v>
      </c>
      <c r="L121" s="10" t="str">
        <f>_xlfn.XLOOKUP(B121,DataSet!$N$2:$N$600,DataSet!$Y$2:$Y$600,0)</f>
        <v>Binders</v>
      </c>
      <c r="M121" s="10" t="str">
        <f>_xlfn.XLOOKUP(B121,DataSet!$N$2:$N$600,DataSet!$Q$2:$Q$600,0)</f>
        <v>GBC DocuBind 300 Electric Binding Machine</v>
      </c>
      <c r="N121" s="16">
        <f>_xlfn.XLOOKUP(B121,DataSet!$N$2:$N$600,DataSet!$AA$2:$AA$600,0)</f>
        <v>157.79400000000001</v>
      </c>
      <c r="O121" s="10">
        <f>_xlfn.XLOOKUP(B121,DataSet!$N$2:$N$600,DataSet!$S$2:$S$600,0)</f>
        <v>1</v>
      </c>
      <c r="P121" s="15">
        <f>_xlfn.XLOOKUP(B121,DataSet!$N$2:$N$600,DataSet!$T$2:$T$600,0)</f>
        <v>0.7</v>
      </c>
      <c r="Q121" s="14">
        <f>_xlfn.XLOOKUP(B121,DataSet!$N$2:$N$600,DataSet!$U$2:$U$600,0)</f>
        <v>-115.71559999999999</v>
      </c>
      <c r="R121" s="16">
        <f>_xlfn.XLOOKUP(B121,DataSet!$N$2:$N$600,DataSet!$AB$2:$AB$600,0)</f>
        <v>157.79400000000001</v>
      </c>
      <c r="S121" s="9">
        <f>_xlfn.XLOOKUP(B121,DataSet!$N$2:$N$600,DataSet!$AC$2:$AC$600,0)</f>
        <v>47.338200000000008</v>
      </c>
    </row>
    <row r="122" spans="1:19" s="12" customFormat="1" x14ac:dyDescent="0.3">
      <c r="A122" s="27">
        <v>120</v>
      </c>
      <c r="B122" s="10" t="s">
        <v>520</v>
      </c>
      <c r="C122" s="10" t="str">
        <f>_xlfn.XLOOKUP(B122,DataSet!$N$2:$N$600,DataSet!$AF$2:$AF$600,0)</f>
        <v>103730</v>
      </c>
      <c r="D122" s="10" t="str">
        <f>_xlfn.XLOOKUP(B122,DataSet!$N$2:$N$600,DataSet!$G$2:$G$600,0)</f>
        <v>Steven Cartwright</v>
      </c>
      <c r="E122" s="10" t="str">
        <f>_xlfn.XLOOKUP(B122,DataSet!$N$2:$N$600,DataSet!$F$2:$F$600,0)</f>
        <v>SC-20725</v>
      </c>
      <c r="F122" s="10" t="str">
        <f>_xlfn.XLOOKUP(B122,DataSet!$N$2:$N$600,DataSet!$W$2:$W$600,0)</f>
        <v>Consumer</v>
      </c>
      <c r="G122" s="13">
        <f>_xlfn.XLOOKUP(B122,DataSet!$N$2:$N$600,DataSet!$C$2:$C$600,0)</f>
        <v>42533</v>
      </c>
      <c r="H122" s="10" t="str">
        <f>_xlfn.XLOOKUP(B122,DataSet!$N$2:$N$600,DataSet!$I$2:$I$600,0)</f>
        <v>United States</v>
      </c>
      <c r="I122" s="10" t="str">
        <f>_xlfn.XLOOKUP(B122,DataSet!$N$2:$N$600,DataSet!$X$2:$X$600,0)</f>
        <v>Wilmington - Delaware</v>
      </c>
      <c r="J122" s="10" t="str">
        <f>_xlfn.XLOOKUP(B122,DataSet!$N$2:$N$600,DataSet!$M$2:$M$600,0)</f>
        <v>East</v>
      </c>
      <c r="K122" s="10" t="str">
        <f>_xlfn.XLOOKUP(B122,DataSet!$N$2:$N$600,DataSet!$O$2:$O$600,0)</f>
        <v>Furniture</v>
      </c>
      <c r="L122" s="10" t="str">
        <f>_xlfn.XLOOKUP(B122,DataSet!$N$2:$N$600,DataSet!$Y$2:$Y$600,0)</f>
        <v>Furnishings</v>
      </c>
      <c r="M122" s="10" t="str">
        <f>_xlfn.XLOOKUP(B122,DataSet!$N$2:$N$600,DataSet!$Q$2:$Q$600,0)</f>
        <v>Artistic Insta-Plaque</v>
      </c>
      <c r="N122" s="16">
        <f>_xlfn.XLOOKUP(B122,DataSet!$N$2:$N$600,DataSet!$AA$2:$AA$600,0)</f>
        <v>47.04</v>
      </c>
      <c r="O122" s="10">
        <f>_xlfn.XLOOKUP(B122,DataSet!$N$2:$N$600,DataSet!$S$2:$S$600,0)</f>
        <v>3</v>
      </c>
      <c r="P122" s="15">
        <f>_xlfn.XLOOKUP(B122,DataSet!$N$2:$N$600,DataSet!$T$2:$T$600,0)</f>
        <v>0</v>
      </c>
      <c r="Q122" s="14">
        <f>_xlfn.XLOOKUP(B122,DataSet!$N$2:$N$600,DataSet!$U$2:$U$600,0)</f>
        <v>18.345600000000001</v>
      </c>
      <c r="R122" s="16">
        <f>_xlfn.XLOOKUP(B122,DataSet!$N$2:$N$600,DataSet!$AB$2:$AB$600,0)</f>
        <v>141.12</v>
      </c>
      <c r="S122" s="9">
        <f>_xlfn.XLOOKUP(B122,DataSet!$N$2:$N$600,DataSet!$AC$2:$AC$600,0)</f>
        <v>141.12</v>
      </c>
    </row>
    <row r="123" spans="1:19" s="12" customFormat="1" x14ac:dyDescent="0.3">
      <c r="A123" s="27">
        <v>121</v>
      </c>
      <c r="B123" s="10" t="s">
        <v>72</v>
      </c>
      <c r="C123" s="10" t="str">
        <f>_xlfn.XLOOKUP(B123,DataSet!$N$2:$N$600,DataSet!$AF$2:$AF$600,0)</f>
        <v>115812</v>
      </c>
      <c r="D123" s="10" t="str">
        <f>_xlfn.XLOOKUP(B123,DataSet!$N$2:$N$600,DataSet!$G$2:$G$600,0)</f>
        <v>Brosina Hoffman</v>
      </c>
      <c r="E123" s="10" t="str">
        <f>_xlfn.XLOOKUP(B123,DataSet!$N$2:$N$600,DataSet!$F$2:$F$600,0)</f>
        <v>BH-11710</v>
      </c>
      <c r="F123" s="10" t="str">
        <f>_xlfn.XLOOKUP(B123,DataSet!$N$2:$N$600,DataSet!$W$2:$W$600,0)</f>
        <v>Consumer</v>
      </c>
      <c r="G123" s="13">
        <f>_xlfn.XLOOKUP(B123,DataSet!$N$2:$N$600,DataSet!$C$2:$C$600,0)</f>
        <v>41799</v>
      </c>
      <c r="H123" s="10" t="str">
        <f>_xlfn.XLOOKUP(B123,DataSet!$N$2:$N$600,DataSet!$I$2:$I$600,0)</f>
        <v>United States</v>
      </c>
      <c r="I123" s="10" t="str">
        <f>_xlfn.XLOOKUP(B123,DataSet!$N$2:$N$600,DataSet!$X$2:$X$600,0)</f>
        <v>Los Angeles - California</v>
      </c>
      <c r="J123" s="10" t="str">
        <f>_xlfn.XLOOKUP(B123,DataSet!$N$2:$N$600,DataSet!$M$2:$M$600,0)</f>
        <v>West</v>
      </c>
      <c r="K123" s="10" t="str">
        <f>_xlfn.XLOOKUP(B123,DataSet!$N$2:$N$600,DataSet!$O$2:$O$600,0)</f>
        <v>Office Supplies</v>
      </c>
      <c r="L123" s="10" t="str">
        <f>_xlfn.XLOOKUP(B123,DataSet!$N$2:$N$600,DataSet!$Y$2:$Y$600,0)</f>
        <v>Binders</v>
      </c>
      <c r="M123" s="10" t="str">
        <f>_xlfn.XLOOKUP(B123,DataSet!$N$2:$N$600,DataSet!$Q$2:$Q$600,0)</f>
        <v>DXL Angle-View Binders with Locking Rings by Samsill</v>
      </c>
      <c r="N123" s="16">
        <f>_xlfn.XLOOKUP(B123,DataSet!$N$2:$N$600,DataSet!$AA$2:$AA$600,0)</f>
        <v>18.504000000000001</v>
      </c>
      <c r="O123" s="10">
        <f>_xlfn.XLOOKUP(B123,DataSet!$N$2:$N$600,DataSet!$S$2:$S$600,0)</f>
        <v>3</v>
      </c>
      <c r="P123" s="15">
        <f>_xlfn.XLOOKUP(B123,DataSet!$N$2:$N$600,DataSet!$T$2:$T$600,0)</f>
        <v>0.2</v>
      </c>
      <c r="Q123" s="14">
        <f>_xlfn.XLOOKUP(B123,DataSet!$N$2:$N$600,DataSet!$U$2:$U$600,0)</f>
        <v>5.7824999999999998</v>
      </c>
      <c r="R123" s="16">
        <f>_xlfn.XLOOKUP(B123,DataSet!$N$2:$N$600,DataSet!$AB$2:$AB$600,0)</f>
        <v>55.512</v>
      </c>
      <c r="S123" s="9">
        <f>_xlfn.XLOOKUP(B123,DataSet!$N$2:$N$600,DataSet!$AC$2:$AC$600,0)</f>
        <v>44.409600000000005</v>
      </c>
    </row>
    <row r="124" spans="1:19" s="12" customFormat="1" x14ac:dyDescent="0.3">
      <c r="A124" s="27">
        <v>122</v>
      </c>
      <c r="B124" s="10" t="s">
        <v>522</v>
      </c>
      <c r="C124" s="10" t="str">
        <f>_xlfn.XLOOKUP(B124,DataSet!$N$2:$N$600,DataSet!$AF$2:$AF$600,0)</f>
        <v>103730</v>
      </c>
      <c r="D124" s="10" t="str">
        <f>_xlfn.XLOOKUP(B124,DataSet!$N$2:$N$600,DataSet!$G$2:$G$600,0)</f>
        <v>Steven Cartwright</v>
      </c>
      <c r="E124" s="10" t="str">
        <f>_xlfn.XLOOKUP(B124,DataSet!$N$2:$N$600,DataSet!$F$2:$F$600,0)</f>
        <v>SC-20725</v>
      </c>
      <c r="F124" s="10" t="str">
        <f>_xlfn.XLOOKUP(B124,DataSet!$N$2:$N$600,DataSet!$W$2:$W$600,0)</f>
        <v>Consumer</v>
      </c>
      <c r="G124" s="13">
        <f>_xlfn.XLOOKUP(B124,DataSet!$N$2:$N$600,DataSet!$C$2:$C$600,0)</f>
        <v>42533</v>
      </c>
      <c r="H124" s="10" t="str">
        <f>_xlfn.XLOOKUP(B124,DataSet!$N$2:$N$600,DataSet!$I$2:$I$600,0)</f>
        <v>United States</v>
      </c>
      <c r="I124" s="10" t="str">
        <f>_xlfn.XLOOKUP(B124,DataSet!$N$2:$N$600,DataSet!$X$2:$X$600,0)</f>
        <v>Wilmington - Delaware</v>
      </c>
      <c r="J124" s="10" t="str">
        <f>_xlfn.XLOOKUP(B124,DataSet!$N$2:$N$600,DataSet!$M$2:$M$600,0)</f>
        <v>East</v>
      </c>
      <c r="K124" s="10" t="str">
        <f>_xlfn.XLOOKUP(B124,DataSet!$N$2:$N$600,DataSet!$O$2:$O$600,0)</f>
        <v>Office Supplies</v>
      </c>
      <c r="L124" s="10" t="str">
        <f>_xlfn.XLOOKUP(B124,DataSet!$N$2:$N$600,DataSet!$Y$2:$Y$600,0)</f>
        <v>Storage</v>
      </c>
      <c r="M124" s="10" t="str">
        <f>_xlfn.XLOOKUP(B124,DataSet!$N$2:$N$600,DataSet!$Q$2:$Q$600,0)</f>
        <v>Companion Letter/Legal File, Black</v>
      </c>
      <c r="N124" s="16">
        <f>_xlfn.XLOOKUP(B124,DataSet!$N$2:$N$600,DataSet!$AA$2:$AA$600,0)</f>
        <v>226.56</v>
      </c>
      <c r="O124" s="10">
        <f>_xlfn.XLOOKUP(B124,DataSet!$N$2:$N$600,DataSet!$S$2:$S$600,0)</f>
        <v>6</v>
      </c>
      <c r="P124" s="15">
        <f>_xlfn.XLOOKUP(B124,DataSet!$N$2:$N$600,DataSet!$T$2:$T$600,0)</f>
        <v>0</v>
      </c>
      <c r="Q124" s="14">
        <f>_xlfn.XLOOKUP(B124,DataSet!$N$2:$N$600,DataSet!$U$2:$U$600,0)</f>
        <v>63.436799999999998</v>
      </c>
      <c r="R124" s="16">
        <f>_xlfn.XLOOKUP(B124,DataSet!$N$2:$N$600,DataSet!$AB$2:$AB$600,0)</f>
        <v>1359.3600000000001</v>
      </c>
      <c r="S124" s="9">
        <f>_xlfn.XLOOKUP(B124,DataSet!$N$2:$N$600,DataSet!$AC$2:$AC$600,0)</f>
        <v>1359.3600000000001</v>
      </c>
    </row>
    <row r="125" spans="1:19" s="12" customFormat="1" x14ac:dyDescent="0.3">
      <c r="A125" s="27">
        <v>123</v>
      </c>
      <c r="B125" s="10" t="s">
        <v>524</v>
      </c>
      <c r="C125" s="10" t="str">
        <f>_xlfn.XLOOKUP(B125,DataSet!$N$2:$N$600,DataSet!$AF$2:$AF$600,0)</f>
        <v>103730</v>
      </c>
      <c r="D125" s="10" t="str">
        <f>_xlfn.XLOOKUP(B125,DataSet!$N$2:$N$600,DataSet!$G$2:$G$600,0)</f>
        <v>Steven Cartwright</v>
      </c>
      <c r="E125" s="10" t="str">
        <f>_xlfn.XLOOKUP(B125,DataSet!$N$2:$N$600,DataSet!$F$2:$F$600,0)</f>
        <v>SC-20725</v>
      </c>
      <c r="F125" s="10" t="str">
        <f>_xlfn.XLOOKUP(B125,DataSet!$N$2:$N$600,DataSet!$W$2:$W$600,0)</f>
        <v>Consumer</v>
      </c>
      <c r="G125" s="13">
        <f>_xlfn.XLOOKUP(B125,DataSet!$N$2:$N$600,DataSet!$C$2:$C$600,0)</f>
        <v>42533</v>
      </c>
      <c r="H125" s="10" t="str">
        <f>_xlfn.XLOOKUP(B125,DataSet!$N$2:$N$600,DataSet!$I$2:$I$600,0)</f>
        <v>United States</v>
      </c>
      <c r="I125" s="10" t="str">
        <f>_xlfn.XLOOKUP(B125,DataSet!$N$2:$N$600,DataSet!$X$2:$X$600,0)</f>
        <v>Wilmington - Delaware</v>
      </c>
      <c r="J125" s="10" t="str">
        <f>_xlfn.XLOOKUP(B125,DataSet!$N$2:$N$600,DataSet!$M$2:$M$600,0)</f>
        <v>East</v>
      </c>
      <c r="K125" s="10" t="str">
        <f>_xlfn.XLOOKUP(B125,DataSet!$N$2:$N$600,DataSet!$O$2:$O$600,0)</f>
        <v>Office Supplies</v>
      </c>
      <c r="L125" s="10" t="str">
        <f>_xlfn.XLOOKUP(B125,DataSet!$N$2:$N$600,DataSet!$Y$2:$Y$600,0)</f>
        <v>Envelopes</v>
      </c>
      <c r="M125" s="10" t="str">
        <f>_xlfn.XLOOKUP(B125,DataSet!$N$2:$N$600,DataSet!$Q$2:$Q$600,0)</f>
        <v>Globe Weis Peel &amp; Seel First Class Envelopes</v>
      </c>
      <c r="N125" s="16">
        <f>_xlfn.XLOOKUP(B125,DataSet!$N$2:$N$600,DataSet!$AA$2:$AA$600,0)</f>
        <v>115.02</v>
      </c>
      <c r="O125" s="10">
        <f>_xlfn.XLOOKUP(B125,DataSet!$N$2:$N$600,DataSet!$S$2:$S$600,0)</f>
        <v>9</v>
      </c>
      <c r="P125" s="15">
        <f>_xlfn.XLOOKUP(B125,DataSet!$N$2:$N$600,DataSet!$T$2:$T$600,0)</f>
        <v>0</v>
      </c>
      <c r="Q125" s="14">
        <f>_xlfn.XLOOKUP(B125,DataSet!$N$2:$N$600,DataSet!$U$2:$U$600,0)</f>
        <v>51.759</v>
      </c>
      <c r="R125" s="16">
        <f>_xlfn.XLOOKUP(B125,DataSet!$N$2:$N$600,DataSet!$AB$2:$AB$600,0)</f>
        <v>1035.18</v>
      </c>
      <c r="S125" s="9">
        <f>_xlfn.XLOOKUP(B125,DataSet!$N$2:$N$600,DataSet!$AC$2:$AC$600,0)</f>
        <v>1035.18</v>
      </c>
    </row>
    <row r="126" spans="1:19" s="12" customFormat="1" x14ac:dyDescent="0.3">
      <c r="A126" s="27">
        <v>124</v>
      </c>
      <c r="B126" s="10" t="s">
        <v>526</v>
      </c>
      <c r="C126" s="10" t="str">
        <f>_xlfn.XLOOKUP(B126,DataSet!$N$2:$N$600,DataSet!$AF$2:$AF$600,0)</f>
        <v>103730</v>
      </c>
      <c r="D126" s="10" t="str">
        <f>_xlfn.XLOOKUP(B126,DataSet!$N$2:$N$600,DataSet!$G$2:$G$600,0)</f>
        <v>Steven Cartwright</v>
      </c>
      <c r="E126" s="10" t="str">
        <f>_xlfn.XLOOKUP(B126,DataSet!$N$2:$N$600,DataSet!$F$2:$F$600,0)</f>
        <v>SC-20725</v>
      </c>
      <c r="F126" s="10" t="str">
        <f>_xlfn.XLOOKUP(B126,DataSet!$N$2:$N$600,DataSet!$W$2:$W$600,0)</f>
        <v>Consumer</v>
      </c>
      <c r="G126" s="13">
        <f>_xlfn.XLOOKUP(B126,DataSet!$N$2:$N$600,DataSet!$C$2:$C$600,0)</f>
        <v>42533</v>
      </c>
      <c r="H126" s="10" t="str">
        <f>_xlfn.XLOOKUP(B126,DataSet!$N$2:$N$600,DataSet!$I$2:$I$600,0)</f>
        <v>United States</v>
      </c>
      <c r="I126" s="10" t="str">
        <f>_xlfn.XLOOKUP(B126,DataSet!$N$2:$N$600,DataSet!$X$2:$X$600,0)</f>
        <v>Wilmington - Delaware</v>
      </c>
      <c r="J126" s="10" t="str">
        <f>_xlfn.XLOOKUP(B126,DataSet!$N$2:$N$600,DataSet!$M$2:$M$600,0)</f>
        <v>East</v>
      </c>
      <c r="K126" s="10" t="str">
        <f>_xlfn.XLOOKUP(B126,DataSet!$N$2:$N$600,DataSet!$O$2:$O$600,0)</f>
        <v>Technology</v>
      </c>
      <c r="L126" s="10" t="str">
        <f>_xlfn.XLOOKUP(B126,DataSet!$N$2:$N$600,DataSet!$Y$2:$Y$600,0)</f>
        <v>Phones</v>
      </c>
      <c r="M126" s="10" t="str">
        <f>_xlfn.XLOOKUP(B126,DataSet!$N$2:$N$600,DataSet!$Q$2:$Q$600,0)</f>
        <v>KLD Oscar II Style Snap-on Ultra Thin Side Flip Synthetic Leather Cover Case for HTC One HTC M7</v>
      </c>
      <c r="N126" s="16">
        <f>_xlfn.XLOOKUP(B126,DataSet!$N$2:$N$600,DataSet!$AA$2:$AA$600,0)</f>
        <v>68.040000000000006</v>
      </c>
      <c r="O126" s="10">
        <f>_xlfn.XLOOKUP(B126,DataSet!$N$2:$N$600,DataSet!$S$2:$S$600,0)</f>
        <v>7</v>
      </c>
      <c r="P126" s="15">
        <f>_xlfn.XLOOKUP(B126,DataSet!$N$2:$N$600,DataSet!$T$2:$T$600,0)</f>
        <v>0</v>
      </c>
      <c r="Q126" s="14">
        <f>_xlfn.XLOOKUP(B126,DataSet!$N$2:$N$600,DataSet!$U$2:$U$600,0)</f>
        <v>19.7316</v>
      </c>
      <c r="R126" s="16">
        <f>_xlfn.XLOOKUP(B126,DataSet!$N$2:$N$600,DataSet!$AB$2:$AB$600,0)</f>
        <v>476.28000000000003</v>
      </c>
      <c r="S126" s="9">
        <f>_xlfn.XLOOKUP(B126,DataSet!$N$2:$N$600,DataSet!$AC$2:$AC$600,0)</f>
        <v>476.28000000000003</v>
      </c>
    </row>
    <row r="127" spans="1:19" s="12" customFormat="1" x14ac:dyDescent="0.3">
      <c r="A127" s="27">
        <v>125</v>
      </c>
      <c r="B127" s="10" t="s">
        <v>531</v>
      </c>
      <c r="C127" s="10" t="str">
        <f>_xlfn.XLOOKUP(B127,DataSet!$N$2:$N$600,DataSet!$AF$2:$AF$600,0)</f>
        <v>152030</v>
      </c>
      <c r="D127" s="10" t="str">
        <f>_xlfn.XLOOKUP(B127,DataSet!$N$2:$N$600,DataSet!$G$2:$G$600,0)</f>
        <v>Alan Dominguez</v>
      </c>
      <c r="E127" s="10" t="str">
        <f>_xlfn.XLOOKUP(B127,DataSet!$N$2:$N$600,DataSet!$F$2:$F$600,0)</f>
        <v>AD-10180</v>
      </c>
      <c r="F127" s="10" t="str">
        <f>_xlfn.XLOOKUP(B127,DataSet!$N$2:$N$600,DataSet!$W$2:$W$600,0)</f>
        <v>Home Office</v>
      </c>
      <c r="G127" s="13">
        <f>_xlfn.XLOOKUP(B127,DataSet!$N$2:$N$600,DataSet!$C$2:$C$600,0)</f>
        <v>41999</v>
      </c>
      <c r="H127" s="10" t="str">
        <f>_xlfn.XLOOKUP(B127,DataSet!$N$2:$N$600,DataSet!$I$2:$I$600,0)</f>
        <v>United States</v>
      </c>
      <c r="I127" s="10" t="str">
        <f>_xlfn.XLOOKUP(B127,DataSet!$N$2:$N$600,DataSet!$X$2:$X$600,0)</f>
        <v>Houston - Texas</v>
      </c>
      <c r="J127" s="10" t="str">
        <f>_xlfn.XLOOKUP(B127,DataSet!$N$2:$N$600,DataSet!$M$2:$M$600,0)</f>
        <v>Central</v>
      </c>
      <c r="K127" s="10" t="str">
        <f>_xlfn.XLOOKUP(B127,DataSet!$N$2:$N$600,DataSet!$O$2:$O$600,0)</f>
        <v>Furniture</v>
      </c>
      <c r="L127" s="10" t="str">
        <f>_xlfn.XLOOKUP(B127,DataSet!$N$2:$N$600,DataSet!$Y$2:$Y$600,0)</f>
        <v>Chairs</v>
      </c>
      <c r="M127" s="10" t="str">
        <f>_xlfn.XLOOKUP(B127,DataSet!$N$2:$N$600,DataSet!$Q$2:$Q$600,0)</f>
        <v>Global Deluxe High-Back Manager's Chair</v>
      </c>
      <c r="N127" s="16">
        <f ca="1">_xlfn.XLOOKUP(B127,DataSet!$N$2:$N$600,DataSet!$AA$2:$AA$600,0)</f>
        <v>503</v>
      </c>
      <c r="O127" s="10">
        <f>_xlfn.XLOOKUP(B127,DataSet!$N$2:$N$600,DataSet!$S$2:$S$600,0)</f>
        <v>3</v>
      </c>
      <c r="P127" s="15">
        <f>_xlfn.XLOOKUP(B127,DataSet!$N$2:$N$600,DataSet!$T$2:$T$600,0)</f>
        <v>0.3</v>
      </c>
      <c r="Q127" s="14">
        <f>_xlfn.XLOOKUP(B127,DataSet!$N$2:$N$600,DataSet!$U$2:$U$600,0)</f>
        <v>-8.5793999999999997</v>
      </c>
      <c r="R127" s="16">
        <f ca="1">_xlfn.XLOOKUP(B127,DataSet!$N$2:$N$600,DataSet!$AB$2:$AB$600,0)</f>
        <v>1509</v>
      </c>
      <c r="S127" s="9">
        <f ca="1">_xlfn.XLOOKUP(B127,DataSet!$N$2:$N$600,DataSet!$AC$2:$AC$600,0)</f>
        <v>1056.3</v>
      </c>
    </row>
    <row r="128" spans="1:19" s="12" customFormat="1" x14ac:dyDescent="0.3">
      <c r="A128" s="27">
        <v>126</v>
      </c>
      <c r="B128" s="10" t="s">
        <v>537</v>
      </c>
      <c r="C128" s="10" t="str">
        <f>_xlfn.XLOOKUP(B128,DataSet!$N$2:$N$600,DataSet!$AF$2:$AF$600,0)</f>
        <v>134614</v>
      </c>
      <c r="D128" s="10" t="str">
        <f>_xlfn.XLOOKUP(B128,DataSet!$N$2:$N$600,DataSet!$G$2:$G$600,0)</f>
        <v>Philip Fox</v>
      </c>
      <c r="E128" s="10" t="str">
        <f>_xlfn.XLOOKUP(B128,DataSet!$N$2:$N$600,DataSet!$F$2:$F$600,0)</f>
        <v>PF-19165</v>
      </c>
      <c r="F128" s="10" t="str">
        <f>_xlfn.XLOOKUP(B128,DataSet!$N$2:$N$600,DataSet!$W$2:$W$600,0)</f>
        <v>Consumer</v>
      </c>
      <c r="G128" s="13">
        <f>_xlfn.XLOOKUP(B128,DataSet!$N$2:$N$600,DataSet!$C$2:$C$600,0)</f>
        <v>41902</v>
      </c>
      <c r="H128" s="10" t="str">
        <f>_xlfn.XLOOKUP(B128,DataSet!$N$2:$N$600,DataSet!$I$2:$I$600,0)</f>
        <v>United States</v>
      </c>
      <c r="I128" s="10" t="str">
        <f>_xlfn.XLOOKUP(B128,DataSet!$N$2:$N$600,DataSet!$X$2:$X$600,0)</f>
        <v>Bloomington - Illinois</v>
      </c>
      <c r="J128" s="10" t="str">
        <f>_xlfn.XLOOKUP(B128,DataSet!$N$2:$N$600,DataSet!$M$2:$M$600,0)</f>
        <v>Central</v>
      </c>
      <c r="K128" s="10" t="str">
        <f>_xlfn.XLOOKUP(B128,DataSet!$N$2:$N$600,DataSet!$O$2:$O$600,0)</f>
        <v>Furniture</v>
      </c>
      <c r="L128" s="10" t="str">
        <f>_xlfn.XLOOKUP(B128,DataSet!$N$2:$N$600,DataSet!$Y$2:$Y$600,0)</f>
        <v>Tables</v>
      </c>
      <c r="M128" s="10" t="str">
        <f>_xlfn.XLOOKUP(B128,DataSet!$N$2:$N$600,DataSet!$Q$2:$Q$600,0)</f>
        <v>Bevis 44 x 96 Conference Tables</v>
      </c>
      <c r="N128" s="16">
        <f>_xlfn.XLOOKUP(B128,DataSet!$N$2:$N$600,DataSet!$AA$2:$AA$600,0)</f>
        <v>617.70000000000005</v>
      </c>
      <c r="O128" s="10">
        <f>_xlfn.XLOOKUP(B128,DataSet!$N$2:$N$600,DataSet!$S$2:$S$600,0)</f>
        <v>6</v>
      </c>
      <c r="P128" s="15">
        <f>_xlfn.XLOOKUP(B128,DataSet!$N$2:$N$600,DataSet!$T$2:$T$600,0)</f>
        <v>0.5</v>
      </c>
      <c r="Q128" s="14">
        <f>_xlfn.XLOOKUP(B128,DataSet!$N$2:$N$600,DataSet!$U$2:$U$600,0)</f>
        <v>-407.68200000000002</v>
      </c>
      <c r="R128" s="16">
        <f>_xlfn.XLOOKUP(B128,DataSet!$N$2:$N$600,DataSet!$AB$2:$AB$600,0)</f>
        <v>3706.2000000000003</v>
      </c>
      <c r="S128" s="9">
        <f>_xlfn.XLOOKUP(B128,DataSet!$N$2:$N$600,DataSet!$AC$2:$AC$600,0)</f>
        <v>1853.1000000000001</v>
      </c>
    </row>
    <row r="129" spans="1:19" s="12" customFormat="1" x14ac:dyDescent="0.3">
      <c r="A129" s="27">
        <v>127</v>
      </c>
      <c r="B129" s="10" t="s">
        <v>543</v>
      </c>
      <c r="C129" s="10" t="str">
        <f>_xlfn.XLOOKUP(B129,DataSet!$N$2:$N$600,DataSet!$AF$2:$AF$600,0)</f>
        <v>107272</v>
      </c>
      <c r="D129" s="10" t="str">
        <f>_xlfn.XLOOKUP(B129,DataSet!$N$2:$N$600,DataSet!$G$2:$G$600,0)</f>
        <v>Troy Staebel</v>
      </c>
      <c r="E129" s="10" t="str">
        <f>_xlfn.XLOOKUP(B129,DataSet!$N$2:$N$600,DataSet!$F$2:$F$600,0)</f>
        <v>TS-21610</v>
      </c>
      <c r="F129" s="10" t="str">
        <f>_xlfn.XLOOKUP(B129,DataSet!$N$2:$N$600,DataSet!$W$2:$W$600,0)</f>
        <v>Consumer</v>
      </c>
      <c r="G129" s="13">
        <f>_xlfn.XLOOKUP(B129,DataSet!$N$2:$N$600,DataSet!$C$2:$C$600,0)</f>
        <v>43044</v>
      </c>
      <c r="H129" s="10" t="str">
        <f>_xlfn.XLOOKUP(B129,DataSet!$N$2:$N$600,DataSet!$I$2:$I$600,0)</f>
        <v>United States</v>
      </c>
      <c r="I129" s="10" t="str">
        <f>_xlfn.XLOOKUP(B129,DataSet!$N$2:$N$600,DataSet!$X$2:$X$600,0)</f>
        <v>Phoenix - Arizona</v>
      </c>
      <c r="J129" s="10" t="str">
        <f>_xlfn.XLOOKUP(B129,DataSet!$N$2:$N$600,DataSet!$M$2:$M$600,0)</f>
        <v>West</v>
      </c>
      <c r="K129" s="10" t="str">
        <f>_xlfn.XLOOKUP(B129,DataSet!$N$2:$N$600,DataSet!$O$2:$O$600,0)</f>
        <v>Office Supplies</v>
      </c>
      <c r="L129" s="10" t="str">
        <f>_xlfn.XLOOKUP(B129,DataSet!$N$2:$N$600,DataSet!$Y$2:$Y$600,0)</f>
        <v>Binders</v>
      </c>
      <c r="M129" s="10" t="str">
        <f>_xlfn.XLOOKUP(B129,DataSet!$N$2:$N$600,DataSet!$Q$2:$Q$600,0)</f>
        <v>Avery Durable Slant Ring Binders, No Labels</v>
      </c>
      <c r="N129" s="16">
        <f>_xlfn.XLOOKUP(B129,DataSet!$N$2:$N$600,DataSet!$AA$2:$AA$600,0)</f>
        <v>2.3879999999999999</v>
      </c>
      <c r="O129" s="10">
        <f>_xlfn.XLOOKUP(B129,DataSet!$N$2:$N$600,DataSet!$S$2:$S$600,0)</f>
        <v>2</v>
      </c>
      <c r="P129" s="15">
        <f>_xlfn.XLOOKUP(B129,DataSet!$N$2:$N$600,DataSet!$T$2:$T$600,0)</f>
        <v>0.7</v>
      </c>
      <c r="Q129" s="14">
        <f>_xlfn.XLOOKUP(B129,DataSet!$N$2:$N$600,DataSet!$U$2:$U$600,0)</f>
        <v>-1.8308</v>
      </c>
      <c r="R129" s="16">
        <f>_xlfn.XLOOKUP(B129,DataSet!$N$2:$N$600,DataSet!$AB$2:$AB$600,0)</f>
        <v>4.7759999999999998</v>
      </c>
      <c r="S129" s="9">
        <f>_xlfn.XLOOKUP(B129,DataSet!$N$2:$N$600,DataSet!$AC$2:$AC$600,0)</f>
        <v>1.4328000000000001</v>
      </c>
    </row>
    <row r="130" spans="1:19" s="12" customFormat="1" x14ac:dyDescent="0.3">
      <c r="A130" s="27">
        <v>128</v>
      </c>
      <c r="B130" s="10" t="s">
        <v>545</v>
      </c>
      <c r="C130" s="10" t="str">
        <f>_xlfn.XLOOKUP(B130,DataSet!$N$2:$N$600,DataSet!$AF$2:$AF$600,0)</f>
        <v>107272</v>
      </c>
      <c r="D130" s="10" t="str">
        <f>_xlfn.XLOOKUP(B130,DataSet!$N$2:$N$600,DataSet!$G$2:$G$600,0)</f>
        <v>Troy Staebel</v>
      </c>
      <c r="E130" s="10" t="str">
        <f>_xlfn.XLOOKUP(B130,DataSet!$N$2:$N$600,DataSet!$F$2:$F$600,0)</f>
        <v>TS-21610</v>
      </c>
      <c r="F130" s="10" t="str">
        <f>_xlfn.XLOOKUP(B130,DataSet!$N$2:$N$600,DataSet!$W$2:$W$600,0)</f>
        <v>Consumer</v>
      </c>
      <c r="G130" s="13">
        <f>_xlfn.XLOOKUP(B130,DataSet!$N$2:$N$600,DataSet!$C$2:$C$600,0)</f>
        <v>43044</v>
      </c>
      <c r="H130" s="10" t="str">
        <f>_xlfn.XLOOKUP(B130,DataSet!$N$2:$N$600,DataSet!$I$2:$I$600,0)</f>
        <v>United States</v>
      </c>
      <c r="I130" s="10" t="str">
        <f>_xlfn.XLOOKUP(B130,DataSet!$N$2:$N$600,DataSet!$X$2:$X$600,0)</f>
        <v>Phoenix - Arizona</v>
      </c>
      <c r="J130" s="10" t="str">
        <f>_xlfn.XLOOKUP(B130,DataSet!$N$2:$N$600,DataSet!$M$2:$M$600,0)</f>
        <v>West</v>
      </c>
      <c r="K130" s="10" t="str">
        <f>_xlfn.XLOOKUP(B130,DataSet!$N$2:$N$600,DataSet!$O$2:$O$600,0)</f>
        <v>Office Supplies</v>
      </c>
      <c r="L130" s="10" t="str">
        <f>_xlfn.XLOOKUP(B130,DataSet!$N$2:$N$600,DataSet!$Y$2:$Y$600,0)</f>
        <v>Storage</v>
      </c>
      <c r="M130" s="10" t="str">
        <f>_xlfn.XLOOKUP(B130,DataSet!$N$2:$N$600,DataSet!$Q$2:$Q$600,0)</f>
        <v>Trav-L-File Heavy-Duty Shuttle II, Black</v>
      </c>
      <c r="N130" s="16">
        <f>_xlfn.XLOOKUP(B130,DataSet!$N$2:$N$600,DataSet!$AA$2:$AA$600,0)</f>
        <v>243.99199999999999</v>
      </c>
      <c r="O130" s="10">
        <f>_xlfn.XLOOKUP(B130,DataSet!$N$2:$N$600,DataSet!$S$2:$S$600,0)</f>
        <v>7</v>
      </c>
      <c r="P130" s="15">
        <f>_xlfn.XLOOKUP(B130,DataSet!$N$2:$N$600,DataSet!$T$2:$T$600,0)</f>
        <v>0.2</v>
      </c>
      <c r="Q130" s="14">
        <f>_xlfn.XLOOKUP(B130,DataSet!$N$2:$N$600,DataSet!$U$2:$U$600,0)</f>
        <v>30.498999999999999</v>
      </c>
      <c r="R130" s="16">
        <f>_xlfn.XLOOKUP(B130,DataSet!$N$2:$N$600,DataSet!$AB$2:$AB$600,0)</f>
        <v>1707.944</v>
      </c>
      <c r="S130" s="9">
        <f>_xlfn.XLOOKUP(B130,DataSet!$N$2:$N$600,DataSet!$AC$2:$AC$600,0)</f>
        <v>1366.3552</v>
      </c>
    </row>
    <row r="131" spans="1:19" s="12" customFormat="1" x14ac:dyDescent="0.3">
      <c r="A131" s="27">
        <v>129</v>
      </c>
      <c r="B131" s="10" t="s">
        <v>302</v>
      </c>
      <c r="C131" s="10" t="str">
        <f>_xlfn.XLOOKUP(B131,DataSet!$N$2:$N$600,DataSet!$AF$2:$AF$600,0)</f>
        <v>164175</v>
      </c>
      <c r="D131" s="10" t="str">
        <f>_xlfn.XLOOKUP(B131,DataSet!$N$2:$N$600,DataSet!$G$2:$G$600,0)</f>
        <v>Paul Stevenson</v>
      </c>
      <c r="E131" s="10" t="str">
        <f>_xlfn.XLOOKUP(B131,DataSet!$N$2:$N$600,DataSet!$F$2:$F$600,0)</f>
        <v>PS-18970</v>
      </c>
      <c r="F131" s="10" t="str">
        <f>_xlfn.XLOOKUP(B131,DataSet!$N$2:$N$600,DataSet!$W$2:$W$600,0)</f>
        <v>Home Office</v>
      </c>
      <c r="G131" s="13">
        <f>_xlfn.XLOOKUP(B131,DataSet!$N$2:$N$600,DataSet!$C$2:$C$600,0)</f>
        <v>42124</v>
      </c>
      <c r="H131" s="10" t="str">
        <f>_xlfn.XLOOKUP(B131,DataSet!$N$2:$N$600,DataSet!$I$2:$I$600,0)</f>
        <v>United States</v>
      </c>
      <c r="I131" s="10" t="str">
        <f>_xlfn.XLOOKUP(B131,DataSet!$N$2:$N$600,DataSet!$X$2:$X$600,0)</f>
        <v>Chicago - Illinois</v>
      </c>
      <c r="J131" s="10" t="str">
        <f>_xlfn.XLOOKUP(B131,DataSet!$N$2:$N$600,DataSet!$M$2:$M$600,0)</f>
        <v>Central</v>
      </c>
      <c r="K131" s="10" t="str">
        <f>_xlfn.XLOOKUP(B131,DataSet!$N$2:$N$600,DataSet!$O$2:$O$600,0)</f>
        <v>Furniture</v>
      </c>
      <c r="L131" s="10" t="str">
        <f>_xlfn.XLOOKUP(B131,DataSet!$N$2:$N$600,DataSet!$Y$2:$Y$600,0)</f>
        <v>Chairs</v>
      </c>
      <c r="M131" s="10" t="str">
        <f>_xlfn.XLOOKUP(B131,DataSet!$N$2:$N$600,DataSet!$Q$2:$Q$600,0)</f>
        <v>Global Value Mid-Back Manager's Chair, Gray</v>
      </c>
      <c r="N131" s="16">
        <f>_xlfn.XLOOKUP(B131,DataSet!$N$2:$N$600,DataSet!$AA$2:$AA$600,0)</f>
        <v>213.11500000000001</v>
      </c>
      <c r="O131" s="10">
        <f>_xlfn.XLOOKUP(B131,DataSet!$N$2:$N$600,DataSet!$S$2:$S$600,0)</f>
        <v>5</v>
      </c>
      <c r="P131" s="15">
        <f>_xlfn.XLOOKUP(B131,DataSet!$N$2:$N$600,DataSet!$T$2:$T$600,0)</f>
        <v>0.3</v>
      </c>
      <c r="Q131" s="14">
        <f>_xlfn.XLOOKUP(B131,DataSet!$N$2:$N$600,DataSet!$U$2:$U$600,0)</f>
        <v>-15.2225</v>
      </c>
      <c r="R131" s="16">
        <f>_xlfn.XLOOKUP(B131,DataSet!$N$2:$N$600,DataSet!$AB$2:$AB$600,0)</f>
        <v>1065.575</v>
      </c>
      <c r="S131" s="9">
        <f>_xlfn.XLOOKUP(B131,DataSet!$N$2:$N$600,DataSet!$AC$2:$AC$600,0)</f>
        <v>745.90250000000003</v>
      </c>
    </row>
    <row r="132" spans="1:19" s="12" customFormat="1" x14ac:dyDescent="0.3">
      <c r="A132" s="27">
        <v>130</v>
      </c>
      <c r="B132" s="10" t="s">
        <v>551</v>
      </c>
      <c r="C132" s="10" t="str">
        <f>_xlfn.XLOOKUP(B132,DataSet!$N$2:$N$600,DataSet!$AF$2:$AF$600,0)</f>
        <v>125969</v>
      </c>
      <c r="D132" s="10" t="str">
        <f>_xlfn.XLOOKUP(B132,DataSet!$N$2:$N$600,DataSet!$G$2:$G$600,0)</f>
        <v>Lindsay Shagiari</v>
      </c>
      <c r="E132" s="10" t="str">
        <f>_xlfn.XLOOKUP(B132,DataSet!$N$2:$N$600,DataSet!$F$2:$F$600,0)</f>
        <v>LS-16975</v>
      </c>
      <c r="F132" s="10" t="str">
        <f>_xlfn.XLOOKUP(B132,DataSet!$N$2:$N$600,DataSet!$W$2:$W$600,0)</f>
        <v>Home Office</v>
      </c>
      <c r="G132" s="13">
        <f>_xlfn.XLOOKUP(B132,DataSet!$N$2:$N$600,DataSet!$C$2:$C$600,0)</f>
        <v>42680</v>
      </c>
      <c r="H132" s="10" t="str">
        <f>_xlfn.XLOOKUP(B132,DataSet!$N$2:$N$600,DataSet!$I$2:$I$600,0)</f>
        <v>United States</v>
      </c>
      <c r="I132" s="10" t="str">
        <f>_xlfn.XLOOKUP(B132,DataSet!$N$2:$N$600,DataSet!$X$2:$X$600,0)</f>
        <v>Los Angeles - California</v>
      </c>
      <c r="J132" s="10" t="str">
        <f>_xlfn.XLOOKUP(B132,DataSet!$N$2:$N$600,DataSet!$M$2:$M$600,0)</f>
        <v>West</v>
      </c>
      <c r="K132" s="10" t="str">
        <f>_xlfn.XLOOKUP(B132,DataSet!$N$2:$N$600,DataSet!$O$2:$O$600,0)</f>
        <v>Furniture</v>
      </c>
      <c r="L132" s="10" t="str">
        <f>_xlfn.XLOOKUP(B132,DataSet!$N$2:$N$600,DataSet!$Y$2:$Y$600,0)</f>
        <v>Furnishings</v>
      </c>
      <c r="M132" s="10" t="str">
        <f>_xlfn.XLOOKUP(B132,DataSet!$N$2:$N$600,DataSet!$Q$2:$Q$600,0)</f>
        <v>Eldon Cleatmat Plus Chair Mats for High Pile Carpets</v>
      </c>
      <c r="N132" s="16">
        <f>_xlfn.XLOOKUP(B132,DataSet!$N$2:$N$600,DataSet!$AA$2:$AA$600,0)</f>
        <v>238.56</v>
      </c>
      <c r="O132" s="10">
        <f>_xlfn.XLOOKUP(B132,DataSet!$N$2:$N$600,DataSet!$S$2:$S$600,0)</f>
        <v>3</v>
      </c>
      <c r="P132" s="15">
        <f>_xlfn.XLOOKUP(B132,DataSet!$N$2:$N$600,DataSet!$T$2:$T$600,0)</f>
        <v>0</v>
      </c>
      <c r="Q132" s="14">
        <f>_xlfn.XLOOKUP(B132,DataSet!$N$2:$N$600,DataSet!$U$2:$U$600,0)</f>
        <v>26.241599999999998</v>
      </c>
      <c r="R132" s="16">
        <f>_xlfn.XLOOKUP(B132,DataSet!$N$2:$N$600,DataSet!$AB$2:$AB$600,0)</f>
        <v>715.68000000000006</v>
      </c>
      <c r="S132" s="9">
        <f>_xlfn.XLOOKUP(B132,DataSet!$N$2:$N$600,DataSet!$AC$2:$AC$600,0)</f>
        <v>715.68000000000006</v>
      </c>
    </row>
    <row r="133" spans="1:19" s="12" customFormat="1" x14ac:dyDescent="0.3">
      <c r="A133" s="27">
        <v>131</v>
      </c>
      <c r="B133" s="10" t="s">
        <v>556</v>
      </c>
      <c r="C133" s="10" t="str">
        <f>_xlfn.XLOOKUP(B133,DataSet!$N$2:$N$600,DataSet!$AF$2:$AF$600,0)</f>
        <v>164147</v>
      </c>
      <c r="D133" s="10" t="str">
        <f>_xlfn.XLOOKUP(B133,DataSet!$N$2:$N$600,DataSet!$G$2:$G$600,0)</f>
        <v>Dorothy Wardle</v>
      </c>
      <c r="E133" s="10" t="str">
        <f>_xlfn.XLOOKUP(B133,DataSet!$N$2:$N$600,DataSet!$F$2:$F$600,0)</f>
        <v>DW-13585</v>
      </c>
      <c r="F133" s="10" t="str">
        <f>_xlfn.XLOOKUP(B133,DataSet!$N$2:$N$600,DataSet!$W$2:$W$600,0)</f>
        <v>Corporate</v>
      </c>
      <c r="G133" s="13">
        <f>_xlfn.XLOOKUP(B133,DataSet!$N$2:$N$600,DataSet!$C$2:$C$600,0)</f>
        <v>42768</v>
      </c>
      <c r="H133" s="10" t="str">
        <f>_xlfn.XLOOKUP(B133,DataSet!$N$2:$N$600,DataSet!$I$2:$I$600,0)</f>
        <v>United States</v>
      </c>
      <c r="I133" s="10" t="str">
        <f>_xlfn.XLOOKUP(B133,DataSet!$N$2:$N$600,DataSet!$X$2:$X$600,0)</f>
        <v>Columbus - Ohio</v>
      </c>
      <c r="J133" s="10" t="str">
        <f>_xlfn.XLOOKUP(B133,DataSet!$N$2:$N$600,DataSet!$M$2:$M$600,0)</f>
        <v>East</v>
      </c>
      <c r="K133" s="10" t="str">
        <f>_xlfn.XLOOKUP(B133,DataSet!$N$2:$N$600,DataSet!$O$2:$O$600,0)</f>
        <v>Technology</v>
      </c>
      <c r="L133" s="10" t="str">
        <f>_xlfn.XLOOKUP(B133,DataSet!$N$2:$N$600,DataSet!$Y$2:$Y$600,0)</f>
        <v>Phones</v>
      </c>
      <c r="M133" s="10" t="str">
        <f>_xlfn.XLOOKUP(B133,DataSet!$N$2:$N$600,DataSet!$Q$2:$Q$600,0)</f>
        <v>Anker 36W 4-Port USB Wall Charger Travel Power Adapter for iPhone 5s 5c 5</v>
      </c>
      <c r="N133" s="16">
        <f>_xlfn.XLOOKUP(B133,DataSet!$N$2:$N$600,DataSet!$AA$2:$AA$600,0)</f>
        <v>59.97</v>
      </c>
      <c r="O133" s="10">
        <f>_xlfn.XLOOKUP(B133,DataSet!$N$2:$N$600,DataSet!$S$2:$S$600,0)</f>
        <v>5</v>
      </c>
      <c r="P133" s="15">
        <f>_xlfn.XLOOKUP(B133,DataSet!$N$2:$N$600,DataSet!$T$2:$T$600,0)</f>
        <v>0.4</v>
      </c>
      <c r="Q133" s="14">
        <f>_xlfn.XLOOKUP(B133,DataSet!$N$2:$N$600,DataSet!$U$2:$U$600,0)</f>
        <v>-11.994</v>
      </c>
      <c r="R133" s="16">
        <f>_xlfn.XLOOKUP(B133,DataSet!$N$2:$N$600,DataSet!$AB$2:$AB$600,0)</f>
        <v>299.85000000000002</v>
      </c>
      <c r="S133" s="9">
        <f>_xlfn.XLOOKUP(B133,DataSet!$N$2:$N$600,DataSet!$AC$2:$AC$600,0)</f>
        <v>179.91</v>
      </c>
    </row>
    <row r="134" spans="1:19" s="12" customFormat="1" x14ac:dyDescent="0.3">
      <c r="A134" s="27">
        <v>132</v>
      </c>
      <c r="B134" s="10" t="s">
        <v>558</v>
      </c>
      <c r="C134" s="10" t="str">
        <f>_xlfn.XLOOKUP(B134,DataSet!$N$2:$N$600,DataSet!$AF$2:$AF$600,0)</f>
        <v>164147</v>
      </c>
      <c r="D134" s="10" t="str">
        <f>_xlfn.XLOOKUP(B134,DataSet!$N$2:$N$600,DataSet!$G$2:$G$600,0)</f>
        <v>Dorothy Wardle</v>
      </c>
      <c r="E134" s="10" t="str">
        <f>_xlfn.XLOOKUP(B134,DataSet!$N$2:$N$600,DataSet!$F$2:$F$600,0)</f>
        <v>DW-13585</v>
      </c>
      <c r="F134" s="10" t="str">
        <f>_xlfn.XLOOKUP(B134,DataSet!$N$2:$N$600,DataSet!$W$2:$W$600,0)</f>
        <v>Corporate</v>
      </c>
      <c r="G134" s="13">
        <f>_xlfn.XLOOKUP(B134,DataSet!$N$2:$N$600,DataSet!$C$2:$C$600,0)</f>
        <v>42768</v>
      </c>
      <c r="H134" s="10" t="str">
        <f>_xlfn.XLOOKUP(B134,DataSet!$N$2:$N$600,DataSet!$I$2:$I$600,0)</f>
        <v>United States</v>
      </c>
      <c r="I134" s="10" t="str">
        <f>_xlfn.XLOOKUP(B134,DataSet!$N$2:$N$600,DataSet!$X$2:$X$600,0)</f>
        <v>Columbus - Ohio</v>
      </c>
      <c r="J134" s="10" t="str">
        <f>_xlfn.XLOOKUP(B134,DataSet!$N$2:$N$600,DataSet!$M$2:$M$600,0)</f>
        <v>East</v>
      </c>
      <c r="K134" s="10" t="str">
        <f>_xlfn.XLOOKUP(B134,DataSet!$N$2:$N$600,DataSet!$O$2:$O$600,0)</f>
        <v>Office Supplies</v>
      </c>
      <c r="L134" s="10" t="str">
        <f>_xlfn.XLOOKUP(B134,DataSet!$N$2:$N$600,DataSet!$Y$2:$Y$600,0)</f>
        <v>Paper</v>
      </c>
      <c r="M134" s="10" t="str">
        <f>_xlfn.XLOOKUP(B134,DataSet!$N$2:$N$600,DataSet!$Q$2:$Q$600,0)</f>
        <v>Xerox 1916</v>
      </c>
      <c r="N134" s="16">
        <f>_xlfn.XLOOKUP(B134,DataSet!$N$2:$N$600,DataSet!$AA$2:$AA$600,0)</f>
        <v>78.304000000000002</v>
      </c>
      <c r="O134" s="10">
        <f>_xlfn.XLOOKUP(B134,DataSet!$N$2:$N$600,DataSet!$S$2:$S$600,0)</f>
        <v>2</v>
      </c>
      <c r="P134" s="15">
        <f>_xlfn.XLOOKUP(B134,DataSet!$N$2:$N$600,DataSet!$T$2:$T$600,0)</f>
        <v>0.2</v>
      </c>
      <c r="Q134" s="14">
        <f>_xlfn.XLOOKUP(B134,DataSet!$N$2:$N$600,DataSet!$U$2:$U$600,0)</f>
        <v>29.364000000000001</v>
      </c>
      <c r="R134" s="16">
        <f>_xlfn.XLOOKUP(B134,DataSet!$N$2:$N$600,DataSet!$AB$2:$AB$600,0)</f>
        <v>156.608</v>
      </c>
      <c r="S134" s="9">
        <f>_xlfn.XLOOKUP(B134,DataSet!$N$2:$N$600,DataSet!$AC$2:$AC$600,0)</f>
        <v>125.28640000000001</v>
      </c>
    </row>
    <row r="135" spans="1:19" s="12" customFormat="1" x14ac:dyDescent="0.3">
      <c r="A135" s="27">
        <v>133</v>
      </c>
      <c r="B135" s="10" t="s">
        <v>560</v>
      </c>
      <c r="C135" s="10" t="str">
        <f>_xlfn.XLOOKUP(B135,DataSet!$N$2:$N$600,DataSet!$AF$2:$AF$600,0)</f>
        <v>164147</v>
      </c>
      <c r="D135" s="10" t="str">
        <f>_xlfn.XLOOKUP(B135,DataSet!$N$2:$N$600,DataSet!$G$2:$G$600,0)</f>
        <v>Dorothy Wardle</v>
      </c>
      <c r="E135" s="10" t="str">
        <f>_xlfn.XLOOKUP(B135,DataSet!$N$2:$N$600,DataSet!$F$2:$F$600,0)</f>
        <v>DW-13585</v>
      </c>
      <c r="F135" s="10" t="str">
        <f>_xlfn.XLOOKUP(B135,DataSet!$N$2:$N$600,DataSet!$W$2:$W$600,0)</f>
        <v>Corporate</v>
      </c>
      <c r="G135" s="13">
        <f>_xlfn.XLOOKUP(B135,DataSet!$N$2:$N$600,DataSet!$C$2:$C$600,0)</f>
        <v>42768</v>
      </c>
      <c r="H135" s="10" t="str">
        <f>_xlfn.XLOOKUP(B135,DataSet!$N$2:$N$600,DataSet!$I$2:$I$600,0)</f>
        <v>United States</v>
      </c>
      <c r="I135" s="10" t="str">
        <f>_xlfn.XLOOKUP(B135,DataSet!$N$2:$N$600,DataSet!$X$2:$X$600,0)</f>
        <v>Columbus - Ohio</v>
      </c>
      <c r="J135" s="10" t="str">
        <f>_xlfn.XLOOKUP(B135,DataSet!$N$2:$N$600,DataSet!$M$2:$M$600,0)</f>
        <v>East</v>
      </c>
      <c r="K135" s="10" t="str">
        <f>_xlfn.XLOOKUP(B135,DataSet!$N$2:$N$600,DataSet!$O$2:$O$600,0)</f>
        <v>Office Supplies</v>
      </c>
      <c r="L135" s="10" t="str">
        <f>_xlfn.XLOOKUP(B135,DataSet!$N$2:$N$600,DataSet!$Y$2:$Y$600,0)</f>
        <v>Fasteners</v>
      </c>
      <c r="M135" s="10" t="str">
        <f>_xlfn.XLOOKUP(B135,DataSet!$N$2:$N$600,DataSet!$Q$2:$Q$600,0)</f>
        <v>Staples</v>
      </c>
      <c r="N135" s="16">
        <f>_xlfn.XLOOKUP(B135,DataSet!$N$2:$N$600,DataSet!$AA$2:$AA$600,0)</f>
        <v>21.456</v>
      </c>
      <c r="O135" s="10">
        <f>_xlfn.XLOOKUP(B135,DataSet!$N$2:$N$600,DataSet!$S$2:$S$600,0)</f>
        <v>9</v>
      </c>
      <c r="P135" s="15">
        <f>_xlfn.XLOOKUP(B135,DataSet!$N$2:$N$600,DataSet!$T$2:$T$600,0)</f>
        <v>0.2</v>
      </c>
      <c r="Q135" s="14">
        <f>_xlfn.XLOOKUP(B135,DataSet!$N$2:$N$600,DataSet!$U$2:$U$600,0)</f>
        <v>6.9732000000000003</v>
      </c>
      <c r="R135" s="16">
        <f>_xlfn.XLOOKUP(B135,DataSet!$N$2:$N$600,DataSet!$AB$2:$AB$600,0)</f>
        <v>193.10399999999998</v>
      </c>
      <c r="S135" s="9">
        <f>_xlfn.XLOOKUP(B135,DataSet!$N$2:$N$600,DataSet!$AC$2:$AC$600,0)</f>
        <v>154.48320000000001</v>
      </c>
    </row>
    <row r="136" spans="1:19" s="12" customFormat="1" x14ac:dyDescent="0.3">
      <c r="A136" s="27">
        <v>134</v>
      </c>
      <c r="B136" s="10" t="s">
        <v>566</v>
      </c>
      <c r="C136" s="10" t="str">
        <f>_xlfn.XLOOKUP(B136,DataSet!$N$2:$N$600,DataSet!$AF$2:$AF$600,0)</f>
        <v>145583</v>
      </c>
      <c r="D136" s="10" t="str">
        <f>_xlfn.XLOOKUP(B136,DataSet!$N$2:$N$600,DataSet!$G$2:$G$600,0)</f>
        <v>Lena Creighton</v>
      </c>
      <c r="E136" s="10" t="str">
        <f>_xlfn.XLOOKUP(B136,DataSet!$N$2:$N$600,DataSet!$F$2:$F$600,0)</f>
        <v>LC-16885</v>
      </c>
      <c r="F136" s="10" t="str">
        <f>_xlfn.XLOOKUP(B136,DataSet!$N$2:$N$600,DataSet!$W$2:$W$600,0)</f>
        <v>Consumer</v>
      </c>
      <c r="G136" s="13">
        <f>_xlfn.XLOOKUP(B136,DataSet!$N$2:$N$600,DataSet!$C$2:$C$600,0)</f>
        <v>42656</v>
      </c>
      <c r="H136" s="10" t="str">
        <f>_xlfn.XLOOKUP(B136,DataSet!$N$2:$N$600,DataSet!$I$2:$I$600,0)</f>
        <v>United States</v>
      </c>
      <c r="I136" s="10" t="str">
        <f>_xlfn.XLOOKUP(B136,DataSet!$N$2:$N$600,DataSet!$X$2:$X$600,0)</f>
        <v>Roseville - California</v>
      </c>
      <c r="J136" s="10" t="str">
        <f>_xlfn.XLOOKUP(B136,DataSet!$N$2:$N$600,DataSet!$M$2:$M$600,0)</f>
        <v>West</v>
      </c>
      <c r="K136" s="10" t="str">
        <f>_xlfn.XLOOKUP(B136,DataSet!$N$2:$N$600,DataSet!$O$2:$O$600,0)</f>
        <v>Office Supplies</v>
      </c>
      <c r="L136" s="10" t="str">
        <f>_xlfn.XLOOKUP(B136,DataSet!$N$2:$N$600,DataSet!$Y$2:$Y$600,0)</f>
        <v>Paper</v>
      </c>
      <c r="M136" s="10" t="str">
        <f>_xlfn.XLOOKUP(B136,DataSet!$N$2:$N$600,DataSet!$Q$2:$Q$600,0)</f>
        <v>Xerox 195</v>
      </c>
      <c r="N136" s="16">
        <f>_xlfn.XLOOKUP(B136,DataSet!$N$2:$N$600,DataSet!$AA$2:$AA$600,0)</f>
        <v>20.04</v>
      </c>
      <c r="O136" s="10">
        <f>_xlfn.XLOOKUP(B136,DataSet!$N$2:$N$600,DataSet!$S$2:$S$600,0)</f>
        <v>3</v>
      </c>
      <c r="P136" s="15">
        <f>_xlfn.XLOOKUP(B136,DataSet!$N$2:$N$600,DataSet!$T$2:$T$600,0)</f>
        <v>0</v>
      </c>
      <c r="Q136" s="14">
        <f>_xlfn.XLOOKUP(B136,DataSet!$N$2:$N$600,DataSet!$U$2:$U$600,0)</f>
        <v>9.6191999999999993</v>
      </c>
      <c r="R136" s="16">
        <f>_xlfn.XLOOKUP(B136,DataSet!$N$2:$N$600,DataSet!$AB$2:$AB$600,0)</f>
        <v>60.12</v>
      </c>
      <c r="S136" s="9">
        <f>_xlfn.XLOOKUP(B136,DataSet!$N$2:$N$600,DataSet!$AC$2:$AC$600,0)</f>
        <v>60.12</v>
      </c>
    </row>
    <row r="137" spans="1:19" s="12" customFormat="1" x14ac:dyDescent="0.3">
      <c r="A137" s="27">
        <v>135</v>
      </c>
      <c r="B137" s="10" t="s">
        <v>568</v>
      </c>
      <c r="C137" s="10" t="str">
        <f>_xlfn.XLOOKUP(B137,DataSet!$N$2:$N$600,DataSet!$AF$2:$AF$600,0)</f>
        <v>145583</v>
      </c>
      <c r="D137" s="10" t="str">
        <f>_xlfn.XLOOKUP(B137,DataSet!$N$2:$N$600,DataSet!$G$2:$G$600,0)</f>
        <v>Lena Creighton</v>
      </c>
      <c r="E137" s="10" t="str">
        <f>_xlfn.XLOOKUP(B137,DataSet!$N$2:$N$600,DataSet!$F$2:$F$600,0)</f>
        <v>LC-16885</v>
      </c>
      <c r="F137" s="10" t="str">
        <f>_xlfn.XLOOKUP(B137,DataSet!$N$2:$N$600,DataSet!$W$2:$W$600,0)</f>
        <v>Consumer</v>
      </c>
      <c r="G137" s="13">
        <f>_xlfn.XLOOKUP(B137,DataSet!$N$2:$N$600,DataSet!$C$2:$C$600,0)</f>
        <v>42656</v>
      </c>
      <c r="H137" s="10" t="str">
        <f>_xlfn.XLOOKUP(B137,DataSet!$N$2:$N$600,DataSet!$I$2:$I$600,0)</f>
        <v>United States</v>
      </c>
      <c r="I137" s="10" t="str">
        <f>_xlfn.XLOOKUP(B137,DataSet!$N$2:$N$600,DataSet!$X$2:$X$600,0)</f>
        <v>Roseville - California</v>
      </c>
      <c r="J137" s="10" t="str">
        <f>_xlfn.XLOOKUP(B137,DataSet!$N$2:$N$600,DataSet!$M$2:$M$600,0)</f>
        <v>West</v>
      </c>
      <c r="K137" s="10" t="str">
        <f>_xlfn.XLOOKUP(B137,DataSet!$N$2:$N$600,DataSet!$O$2:$O$600,0)</f>
        <v>Office Supplies</v>
      </c>
      <c r="L137" s="10" t="str">
        <f>_xlfn.XLOOKUP(B137,DataSet!$N$2:$N$600,DataSet!$Y$2:$Y$600,0)</f>
        <v>Paper</v>
      </c>
      <c r="M137" s="10" t="str">
        <f>_xlfn.XLOOKUP(B137,DataSet!$N$2:$N$600,DataSet!$Q$2:$Q$600,0)</f>
        <v>Xerox 1880</v>
      </c>
      <c r="N137" s="16">
        <f>_xlfn.XLOOKUP(B137,DataSet!$N$2:$N$600,DataSet!$AA$2:$AA$600,0)</f>
        <v>35.44</v>
      </c>
      <c r="O137" s="10">
        <f>_xlfn.XLOOKUP(B137,DataSet!$N$2:$N$600,DataSet!$S$2:$S$600,0)</f>
        <v>1</v>
      </c>
      <c r="P137" s="15">
        <f>_xlfn.XLOOKUP(B137,DataSet!$N$2:$N$600,DataSet!$T$2:$T$600,0)</f>
        <v>0</v>
      </c>
      <c r="Q137" s="14">
        <f>_xlfn.XLOOKUP(B137,DataSet!$N$2:$N$600,DataSet!$U$2:$U$600,0)</f>
        <v>16.6568</v>
      </c>
      <c r="R137" s="16">
        <f>_xlfn.XLOOKUP(B137,DataSet!$N$2:$N$600,DataSet!$AB$2:$AB$600,0)</f>
        <v>35.44</v>
      </c>
      <c r="S137" s="9">
        <f>_xlfn.XLOOKUP(B137,DataSet!$N$2:$N$600,DataSet!$AC$2:$AC$600,0)</f>
        <v>35.44</v>
      </c>
    </row>
    <row r="138" spans="1:19" s="12" customFormat="1" x14ac:dyDescent="0.3">
      <c r="A138" s="27">
        <v>136</v>
      </c>
      <c r="B138" s="10" t="s">
        <v>570</v>
      </c>
      <c r="C138" s="10" t="str">
        <f>_xlfn.XLOOKUP(B138,DataSet!$N$2:$N$600,DataSet!$AF$2:$AF$600,0)</f>
        <v>145583</v>
      </c>
      <c r="D138" s="10" t="str">
        <f>_xlfn.XLOOKUP(B138,DataSet!$N$2:$N$600,DataSet!$G$2:$G$600,0)</f>
        <v>Lena Creighton</v>
      </c>
      <c r="E138" s="10" t="str">
        <f>_xlfn.XLOOKUP(B138,DataSet!$N$2:$N$600,DataSet!$F$2:$F$600,0)</f>
        <v>LC-16885</v>
      </c>
      <c r="F138" s="10" t="str">
        <f>_xlfn.XLOOKUP(B138,DataSet!$N$2:$N$600,DataSet!$W$2:$W$600,0)</f>
        <v>Consumer</v>
      </c>
      <c r="G138" s="13">
        <f>_xlfn.XLOOKUP(B138,DataSet!$N$2:$N$600,DataSet!$C$2:$C$600,0)</f>
        <v>42656</v>
      </c>
      <c r="H138" s="10" t="str">
        <f>_xlfn.XLOOKUP(B138,DataSet!$N$2:$N$600,DataSet!$I$2:$I$600,0)</f>
        <v>United States</v>
      </c>
      <c r="I138" s="10" t="str">
        <f>_xlfn.XLOOKUP(B138,DataSet!$N$2:$N$600,DataSet!$X$2:$X$600,0)</f>
        <v>Roseville - California</v>
      </c>
      <c r="J138" s="10" t="str">
        <f>_xlfn.XLOOKUP(B138,DataSet!$N$2:$N$600,DataSet!$M$2:$M$600,0)</f>
        <v>West</v>
      </c>
      <c r="K138" s="10" t="str">
        <f>_xlfn.XLOOKUP(B138,DataSet!$N$2:$N$600,DataSet!$O$2:$O$600,0)</f>
        <v>Office Supplies</v>
      </c>
      <c r="L138" s="10" t="str">
        <f>_xlfn.XLOOKUP(B138,DataSet!$N$2:$N$600,DataSet!$Y$2:$Y$600,0)</f>
        <v>Art</v>
      </c>
      <c r="M138" s="10" t="str">
        <f>_xlfn.XLOOKUP(B138,DataSet!$N$2:$N$600,DataSet!$Q$2:$Q$600,0)</f>
        <v>Sanford Colorific Colored Pencils, 12/Box</v>
      </c>
      <c r="N138" s="16">
        <f>_xlfn.XLOOKUP(B138,DataSet!$N$2:$N$600,DataSet!$AA$2:$AA$600,0)</f>
        <v>11.52</v>
      </c>
      <c r="O138" s="10">
        <f>_xlfn.XLOOKUP(B138,DataSet!$N$2:$N$600,DataSet!$S$2:$S$600,0)</f>
        <v>4</v>
      </c>
      <c r="P138" s="15">
        <f>_xlfn.XLOOKUP(B138,DataSet!$N$2:$N$600,DataSet!$T$2:$T$600,0)</f>
        <v>0</v>
      </c>
      <c r="Q138" s="14">
        <f>_xlfn.XLOOKUP(B138,DataSet!$N$2:$N$600,DataSet!$U$2:$U$600,0)</f>
        <v>3.456</v>
      </c>
      <c r="R138" s="16">
        <f>_xlfn.XLOOKUP(B138,DataSet!$N$2:$N$600,DataSet!$AB$2:$AB$600,0)</f>
        <v>46.08</v>
      </c>
      <c r="S138" s="9">
        <f>_xlfn.XLOOKUP(B138,DataSet!$N$2:$N$600,DataSet!$AC$2:$AC$600,0)</f>
        <v>46.08</v>
      </c>
    </row>
    <row r="139" spans="1:19" s="12" customFormat="1" x14ac:dyDescent="0.3">
      <c r="A139" s="27">
        <v>137</v>
      </c>
      <c r="B139" s="10" t="s">
        <v>572</v>
      </c>
      <c r="C139" s="10" t="str">
        <f>_xlfn.XLOOKUP(B139,DataSet!$N$2:$N$600,DataSet!$AF$2:$AF$600,0)</f>
        <v>145583</v>
      </c>
      <c r="D139" s="10" t="str">
        <f>_xlfn.XLOOKUP(B139,DataSet!$N$2:$N$600,DataSet!$G$2:$G$600,0)</f>
        <v>Lena Creighton</v>
      </c>
      <c r="E139" s="10" t="str">
        <f>_xlfn.XLOOKUP(B139,DataSet!$N$2:$N$600,DataSet!$F$2:$F$600,0)</f>
        <v>LC-16885</v>
      </c>
      <c r="F139" s="10" t="str">
        <f>_xlfn.XLOOKUP(B139,DataSet!$N$2:$N$600,DataSet!$W$2:$W$600,0)</f>
        <v>Consumer</v>
      </c>
      <c r="G139" s="13">
        <f>_xlfn.XLOOKUP(B139,DataSet!$N$2:$N$600,DataSet!$C$2:$C$600,0)</f>
        <v>42656</v>
      </c>
      <c r="H139" s="10" t="str">
        <f>_xlfn.XLOOKUP(B139,DataSet!$N$2:$N$600,DataSet!$I$2:$I$600,0)</f>
        <v>United States</v>
      </c>
      <c r="I139" s="10" t="str">
        <f>_xlfn.XLOOKUP(B139,DataSet!$N$2:$N$600,DataSet!$X$2:$X$600,0)</f>
        <v>Roseville - California</v>
      </c>
      <c r="J139" s="10" t="str">
        <f>_xlfn.XLOOKUP(B139,DataSet!$N$2:$N$600,DataSet!$M$2:$M$600,0)</f>
        <v>West</v>
      </c>
      <c r="K139" s="10" t="str">
        <f>_xlfn.XLOOKUP(B139,DataSet!$N$2:$N$600,DataSet!$O$2:$O$600,0)</f>
        <v>Office Supplies</v>
      </c>
      <c r="L139" s="10" t="str">
        <f>_xlfn.XLOOKUP(B139,DataSet!$N$2:$N$600,DataSet!$Y$2:$Y$600,0)</f>
        <v>Fasteners</v>
      </c>
      <c r="M139" s="10" t="str">
        <f>_xlfn.XLOOKUP(B139,DataSet!$N$2:$N$600,DataSet!$Q$2:$Q$600,0)</f>
        <v>Ideal Clamps</v>
      </c>
      <c r="N139" s="16">
        <f>_xlfn.XLOOKUP(B139,DataSet!$N$2:$N$600,DataSet!$AA$2:$AA$600,0)</f>
        <v>4.0199999999999996</v>
      </c>
      <c r="O139" s="10">
        <f>_xlfn.XLOOKUP(B139,DataSet!$N$2:$N$600,DataSet!$S$2:$S$600,0)</f>
        <v>2</v>
      </c>
      <c r="P139" s="15">
        <f>_xlfn.XLOOKUP(B139,DataSet!$N$2:$N$600,DataSet!$T$2:$T$600,0)</f>
        <v>0</v>
      </c>
      <c r="Q139" s="14">
        <f>_xlfn.XLOOKUP(B139,DataSet!$N$2:$N$600,DataSet!$U$2:$U$600,0)</f>
        <v>1.9698</v>
      </c>
      <c r="R139" s="16">
        <f>_xlfn.XLOOKUP(B139,DataSet!$N$2:$N$600,DataSet!$AB$2:$AB$600,0)</f>
        <v>8.0399999999999991</v>
      </c>
      <c r="S139" s="9">
        <f>_xlfn.XLOOKUP(B139,DataSet!$N$2:$N$600,DataSet!$AC$2:$AC$600,0)</f>
        <v>8.0399999999999991</v>
      </c>
    </row>
    <row r="140" spans="1:19" s="12" customFormat="1" x14ac:dyDescent="0.3">
      <c r="A140" s="27">
        <v>138</v>
      </c>
      <c r="B140" s="10" t="s">
        <v>574</v>
      </c>
      <c r="C140" s="10" t="str">
        <f>_xlfn.XLOOKUP(B140,DataSet!$N$2:$N$600,DataSet!$AF$2:$AF$600,0)</f>
        <v>145583</v>
      </c>
      <c r="D140" s="10" t="str">
        <f>_xlfn.XLOOKUP(B140,DataSet!$N$2:$N$600,DataSet!$G$2:$G$600,0)</f>
        <v>Lena Creighton</v>
      </c>
      <c r="E140" s="10" t="str">
        <f>_xlfn.XLOOKUP(B140,DataSet!$N$2:$N$600,DataSet!$F$2:$F$600,0)</f>
        <v>LC-16885</v>
      </c>
      <c r="F140" s="10" t="str">
        <f>_xlfn.XLOOKUP(B140,DataSet!$N$2:$N$600,DataSet!$W$2:$W$600,0)</f>
        <v>Consumer</v>
      </c>
      <c r="G140" s="13">
        <f>_xlfn.XLOOKUP(B140,DataSet!$N$2:$N$600,DataSet!$C$2:$C$600,0)</f>
        <v>42656</v>
      </c>
      <c r="H140" s="10" t="str">
        <f>_xlfn.XLOOKUP(B140,DataSet!$N$2:$N$600,DataSet!$I$2:$I$600,0)</f>
        <v>United States</v>
      </c>
      <c r="I140" s="10" t="str">
        <f>_xlfn.XLOOKUP(B140,DataSet!$N$2:$N$600,DataSet!$X$2:$X$600,0)</f>
        <v>Roseville - California</v>
      </c>
      <c r="J140" s="10" t="str">
        <f>_xlfn.XLOOKUP(B140,DataSet!$N$2:$N$600,DataSet!$M$2:$M$600,0)</f>
        <v>West</v>
      </c>
      <c r="K140" s="10" t="str">
        <f>_xlfn.XLOOKUP(B140,DataSet!$N$2:$N$600,DataSet!$O$2:$O$600,0)</f>
        <v>Office Supplies</v>
      </c>
      <c r="L140" s="10" t="str">
        <f>_xlfn.XLOOKUP(B140,DataSet!$N$2:$N$600,DataSet!$Y$2:$Y$600,0)</f>
        <v>Binders</v>
      </c>
      <c r="M140" s="10" t="str">
        <f>_xlfn.XLOOKUP(B140,DataSet!$N$2:$N$600,DataSet!$Q$2:$Q$600,0)</f>
        <v>GBC Wire Binding Strips</v>
      </c>
      <c r="N140" s="16">
        <f>_xlfn.XLOOKUP(B140,DataSet!$N$2:$N$600,DataSet!$AA$2:$AA$600,0)</f>
        <v>76.176000000000002</v>
      </c>
      <c r="O140" s="10">
        <f>_xlfn.XLOOKUP(B140,DataSet!$N$2:$N$600,DataSet!$S$2:$S$600,0)</f>
        <v>3</v>
      </c>
      <c r="P140" s="15">
        <f>_xlfn.XLOOKUP(B140,DataSet!$N$2:$N$600,DataSet!$T$2:$T$600,0)</f>
        <v>0.2</v>
      </c>
      <c r="Q140" s="14">
        <f>_xlfn.XLOOKUP(B140,DataSet!$N$2:$N$600,DataSet!$U$2:$U$600,0)</f>
        <v>26.6616</v>
      </c>
      <c r="R140" s="16">
        <f>_xlfn.XLOOKUP(B140,DataSet!$N$2:$N$600,DataSet!$AB$2:$AB$600,0)</f>
        <v>228.52800000000002</v>
      </c>
      <c r="S140" s="9">
        <f>_xlfn.XLOOKUP(B140,DataSet!$N$2:$N$600,DataSet!$AC$2:$AC$600,0)</f>
        <v>182.82240000000002</v>
      </c>
    </row>
    <row r="141" spans="1:19" s="12" customFormat="1" x14ac:dyDescent="0.3">
      <c r="A141" s="27">
        <v>139</v>
      </c>
      <c r="B141" s="10" t="s">
        <v>576</v>
      </c>
      <c r="C141" s="10" t="str">
        <f>_xlfn.XLOOKUP(B141,DataSet!$N$2:$N$600,DataSet!$AF$2:$AF$600,0)</f>
        <v>145583</v>
      </c>
      <c r="D141" s="10" t="str">
        <f>_xlfn.XLOOKUP(B141,DataSet!$N$2:$N$600,DataSet!$G$2:$G$600,0)</f>
        <v>Lena Creighton</v>
      </c>
      <c r="E141" s="10" t="str">
        <f>_xlfn.XLOOKUP(B141,DataSet!$N$2:$N$600,DataSet!$F$2:$F$600,0)</f>
        <v>LC-16885</v>
      </c>
      <c r="F141" s="10" t="str">
        <f>_xlfn.XLOOKUP(B141,DataSet!$N$2:$N$600,DataSet!$W$2:$W$600,0)</f>
        <v>Consumer</v>
      </c>
      <c r="G141" s="13">
        <f>_xlfn.XLOOKUP(B141,DataSet!$N$2:$N$600,DataSet!$C$2:$C$600,0)</f>
        <v>42656</v>
      </c>
      <c r="H141" s="10" t="str">
        <f>_xlfn.XLOOKUP(B141,DataSet!$N$2:$N$600,DataSet!$I$2:$I$600,0)</f>
        <v>United States</v>
      </c>
      <c r="I141" s="10" t="str">
        <f>_xlfn.XLOOKUP(B141,DataSet!$N$2:$N$600,DataSet!$X$2:$X$600,0)</f>
        <v>Roseville - California</v>
      </c>
      <c r="J141" s="10" t="str">
        <f>_xlfn.XLOOKUP(B141,DataSet!$N$2:$N$600,DataSet!$M$2:$M$600,0)</f>
        <v>West</v>
      </c>
      <c r="K141" s="10" t="str">
        <f>_xlfn.XLOOKUP(B141,DataSet!$N$2:$N$600,DataSet!$O$2:$O$600,0)</f>
        <v>Office Supplies</v>
      </c>
      <c r="L141" s="10" t="str">
        <f>_xlfn.XLOOKUP(B141,DataSet!$N$2:$N$600,DataSet!$Y$2:$Y$600,0)</f>
        <v>Supplies</v>
      </c>
      <c r="M141" s="10" t="str">
        <f>_xlfn.XLOOKUP(B141,DataSet!$N$2:$N$600,DataSet!$Q$2:$Q$600,0)</f>
        <v>Fiskars Softgrip Scissors</v>
      </c>
      <c r="N141" s="16">
        <f>_xlfn.XLOOKUP(B141,DataSet!$N$2:$N$600,DataSet!$AA$2:$AA$600,0)</f>
        <v>65.88</v>
      </c>
      <c r="O141" s="10">
        <f>_xlfn.XLOOKUP(B141,DataSet!$N$2:$N$600,DataSet!$S$2:$S$600,0)</f>
        <v>6</v>
      </c>
      <c r="P141" s="15">
        <f>_xlfn.XLOOKUP(B141,DataSet!$N$2:$N$600,DataSet!$T$2:$T$600,0)</f>
        <v>0</v>
      </c>
      <c r="Q141" s="14">
        <f>_xlfn.XLOOKUP(B141,DataSet!$N$2:$N$600,DataSet!$U$2:$U$600,0)</f>
        <v>18.446400000000001</v>
      </c>
      <c r="R141" s="16">
        <f>_xlfn.XLOOKUP(B141,DataSet!$N$2:$N$600,DataSet!$AB$2:$AB$600,0)</f>
        <v>395.28</v>
      </c>
      <c r="S141" s="9">
        <f>_xlfn.XLOOKUP(B141,DataSet!$N$2:$N$600,DataSet!$AC$2:$AC$600,0)</f>
        <v>395.28</v>
      </c>
    </row>
    <row r="142" spans="1:19" s="12" customFormat="1" x14ac:dyDescent="0.3">
      <c r="A142" s="27">
        <v>140</v>
      </c>
      <c r="B142" s="10" t="s">
        <v>257</v>
      </c>
      <c r="C142" s="10" t="str">
        <f>_xlfn.XLOOKUP(B142,DataSet!$N$2:$N$600,DataSet!$AF$2:$AF$600,0)</f>
        <v>115742</v>
      </c>
      <c r="D142" s="10" t="str">
        <f>_xlfn.XLOOKUP(B142,DataSet!$N$2:$N$600,DataSet!$G$2:$G$600,0)</f>
        <v>Darren Powers</v>
      </c>
      <c r="E142" s="10" t="str">
        <f>_xlfn.XLOOKUP(B142,DataSet!$N$2:$N$600,DataSet!$F$2:$F$600,0)</f>
        <v>DP-13000</v>
      </c>
      <c r="F142" s="10" t="str">
        <f>_xlfn.XLOOKUP(B142,DataSet!$N$2:$N$600,DataSet!$W$2:$W$600,0)</f>
        <v>Consumer</v>
      </c>
      <c r="G142" s="13">
        <f>_xlfn.XLOOKUP(B142,DataSet!$N$2:$N$600,DataSet!$C$2:$C$600,0)</f>
        <v>42112</v>
      </c>
      <c r="H142" s="10" t="str">
        <f>_xlfn.XLOOKUP(B142,DataSet!$N$2:$N$600,DataSet!$I$2:$I$600,0)</f>
        <v>United States</v>
      </c>
      <c r="I142" s="10" t="str">
        <f>_xlfn.XLOOKUP(B142,DataSet!$N$2:$N$600,DataSet!$X$2:$X$600,0)</f>
        <v>New Albany - Indiana</v>
      </c>
      <c r="J142" s="10" t="str">
        <f>_xlfn.XLOOKUP(B142,DataSet!$N$2:$N$600,DataSet!$M$2:$M$600,0)</f>
        <v>Central</v>
      </c>
      <c r="K142" s="10" t="str">
        <f>_xlfn.XLOOKUP(B142,DataSet!$N$2:$N$600,DataSet!$O$2:$O$600,0)</f>
        <v>Furniture</v>
      </c>
      <c r="L142" s="10" t="str">
        <f>_xlfn.XLOOKUP(B142,DataSet!$N$2:$N$600,DataSet!$Y$2:$Y$600,0)</f>
        <v>Furnishings</v>
      </c>
      <c r="M142" s="10" t="str">
        <f>_xlfn.XLOOKUP(B142,DataSet!$N$2:$N$600,DataSet!$Q$2:$Q$600,0)</f>
        <v>Longer-Life Soft White Bulbs</v>
      </c>
      <c r="N142" s="16">
        <f>_xlfn.XLOOKUP(B142,DataSet!$N$2:$N$600,DataSet!$AA$2:$AA$600,0)</f>
        <v>6.16</v>
      </c>
      <c r="O142" s="10">
        <f>_xlfn.XLOOKUP(B142,DataSet!$N$2:$N$600,DataSet!$S$2:$S$600,0)</f>
        <v>2</v>
      </c>
      <c r="P142" s="15">
        <f>_xlfn.XLOOKUP(B142,DataSet!$N$2:$N$600,DataSet!$T$2:$T$600,0)</f>
        <v>0</v>
      </c>
      <c r="Q142" s="14">
        <f>_xlfn.XLOOKUP(B142,DataSet!$N$2:$N$600,DataSet!$U$2:$U$600,0)</f>
        <v>2.9567999999999999</v>
      </c>
      <c r="R142" s="16">
        <f>_xlfn.XLOOKUP(B142,DataSet!$N$2:$N$600,DataSet!$AB$2:$AB$600,0)</f>
        <v>12.32</v>
      </c>
      <c r="S142" s="9">
        <f>_xlfn.XLOOKUP(B142,DataSet!$N$2:$N$600,DataSet!$AC$2:$AC$600,0)</f>
        <v>12.32</v>
      </c>
    </row>
    <row r="143" spans="1:19" s="12" customFormat="1" x14ac:dyDescent="0.3">
      <c r="A143" s="27">
        <v>141</v>
      </c>
      <c r="B143" s="10" t="s">
        <v>168</v>
      </c>
      <c r="C143" s="10" t="str">
        <f>_xlfn.XLOOKUP(B143,DataSet!$N$2:$N$600,DataSet!$AF$2:$AF$600,0)</f>
        <v>150630</v>
      </c>
      <c r="D143" s="10" t="str">
        <f>_xlfn.XLOOKUP(B143,DataSet!$N$2:$N$600,DataSet!$G$2:$G$600,0)</f>
        <v>Tracy Blumstein</v>
      </c>
      <c r="E143" s="10" t="str">
        <f>_xlfn.XLOOKUP(B143,DataSet!$N$2:$N$600,DataSet!$F$2:$F$600,0)</f>
        <v>TB-21520</v>
      </c>
      <c r="F143" s="10" t="str">
        <f>_xlfn.XLOOKUP(B143,DataSet!$N$2:$N$600,DataSet!$W$2:$W$600,0)</f>
        <v>Consumer</v>
      </c>
      <c r="G143" s="13">
        <f>_xlfn.XLOOKUP(B143,DataSet!$N$2:$N$600,DataSet!$C$2:$C$600,0)</f>
        <v>42264</v>
      </c>
      <c r="H143" s="10" t="str">
        <f>_xlfn.XLOOKUP(B143,DataSet!$N$2:$N$600,DataSet!$I$2:$I$600,0)</f>
        <v>United States</v>
      </c>
      <c r="I143" s="10" t="str">
        <f>_xlfn.XLOOKUP(B143,DataSet!$N$2:$N$600,DataSet!$X$2:$X$600,0)</f>
        <v>Philadelphia - Pennsylvania</v>
      </c>
      <c r="J143" s="10" t="str">
        <f>_xlfn.XLOOKUP(B143,DataSet!$N$2:$N$600,DataSet!$M$2:$M$600,0)</f>
        <v>East</v>
      </c>
      <c r="K143" s="10" t="str">
        <f>_xlfn.XLOOKUP(B143,DataSet!$N$2:$N$600,DataSet!$O$2:$O$600,0)</f>
        <v>Furniture</v>
      </c>
      <c r="L143" s="10" t="str">
        <f>_xlfn.XLOOKUP(B143,DataSet!$N$2:$N$600,DataSet!$Y$2:$Y$600,0)</f>
        <v>Furnishings</v>
      </c>
      <c r="M143" s="10" t="str">
        <f>_xlfn.XLOOKUP(B143,DataSet!$N$2:$N$600,DataSet!$Q$2:$Q$600,0)</f>
        <v>Howard Miller 13-3/4" Diameter Brushed Chrome Round Wall Clock</v>
      </c>
      <c r="N143" s="16">
        <f>_xlfn.XLOOKUP(B143,DataSet!$N$2:$N$600,DataSet!$AA$2:$AA$600,0)</f>
        <v>124.2</v>
      </c>
      <c r="O143" s="10">
        <f>_xlfn.XLOOKUP(B143,DataSet!$N$2:$N$600,DataSet!$S$2:$S$600,0)</f>
        <v>3</v>
      </c>
      <c r="P143" s="15">
        <f>_xlfn.XLOOKUP(B143,DataSet!$N$2:$N$600,DataSet!$T$2:$T$600,0)</f>
        <v>0.2</v>
      </c>
      <c r="Q143" s="14">
        <f>_xlfn.XLOOKUP(B143,DataSet!$N$2:$N$600,DataSet!$U$2:$U$600,0)</f>
        <v>15.525</v>
      </c>
      <c r="R143" s="16">
        <f>_xlfn.XLOOKUP(B143,DataSet!$N$2:$N$600,DataSet!$AB$2:$AB$600,0)</f>
        <v>372.6</v>
      </c>
      <c r="S143" s="9">
        <f>_xlfn.XLOOKUP(B143,DataSet!$N$2:$N$600,DataSet!$AC$2:$AC$600,0)</f>
        <v>298.08000000000004</v>
      </c>
    </row>
    <row r="144" spans="1:19" s="12" customFormat="1" x14ac:dyDescent="0.3">
      <c r="A144" s="27">
        <v>142</v>
      </c>
      <c r="B144" s="10" t="s">
        <v>585</v>
      </c>
      <c r="C144" s="10" t="str">
        <f>_xlfn.XLOOKUP(B144,DataSet!$N$2:$N$600,DataSet!$AF$2:$AF$600,0)</f>
        <v>106180</v>
      </c>
      <c r="D144" s="10" t="str">
        <f>_xlfn.XLOOKUP(B144,DataSet!$N$2:$N$600,DataSet!$G$2:$G$600,0)</f>
        <v>Sally Hughsby</v>
      </c>
      <c r="E144" s="10" t="str">
        <f>_xlfn.XLOOKUP(B144,DataSet!$N$2:$N$600,DataSet!$F$2:$F$600,0)</f>
        <v>SH-19975</v>
      </c>
      <c r="F144" s="10" t="str">
        <f>_xlfn.XLOOKUP(B144,DataSet!$N$2:$N$600,DataSet!$W$2:$W$600,0)</f>
        <v>Corporate</v>
      </c>
      <c r="G144" s="13">
        <f>_xlfn.XLOOKUP(B144,DataSet!$N$2:$N$600,DataSet!$C$2:$C$600,0)</f>
        <v>42996</v>
      </c>
      <c r="H144" s="10" t="str">
        <f>_xlfn.XLOOKUP(B144,DataSet!$N$2:$N$600,DataSet!$I$2:$I$600,0)</f>
        <v>United States</v>
      </c>
      <c r="I144" s="10" t="str">
        <f>_xlfn.XLOOKUP(B144,DataSet!$N$2:$N$600,DataSet!$X$2:$X$600,0)</f>
        <v>San Francisco - California</v>
      </c>
      <c r="J144" s="10" t="str">
        <f>_xlfn.XLOOKUP(B144,DataSet!$N$2:$N$600,DataSet!$M$2:$M$600,0)</f>
        <v>West</v>
      </c>
      <c r="K144" s="10" t="str">
        <f>_xlfn.XLOOKUP(B144,DataSet!$N$2:$N$600,DataSet!$O$2:$O$600,0)</f>
        <v>Office Supplies</v>
      </c>
      <c r="L144" s="10" t="str">
        <f>_xlfn.XLOOKUP(B144,DataSet!$N$2:$N$600,DataSet!$Y$2:$Y$600,0)</f>
        <v>Art</v>
      </c>
      <c r="M144" s="10" t="str">
        <f>_xlfn.XLOOKUP(B144,DataSet!$N$2:$N$600,DataSet!$Q$2:$Q$600,0)</f>
        <v>Newell 343</v>
      </c>
      <c r="N144" s="16">
        <f>_xlfn.XLOOKUP(B144,DataSet!$N$2:$N$600,DataSet!$AA$2:$AA$600,0)</f>
        <v>8.82</v>
      </c>
      <c r="O144" s="10">
        <f>_xlfn.XLOOKUP(B144,DataSet!$N$2:$N$600,DataSet!$S$2:$S$600,0)</f>
        <v>3</v>
      </c>
      <c r="P144" s="15">
        <f>_xlfn.XLOOKUP(B144,DataSet!$N$2:$N$600,DataSet!$T$2:$T$600,0)</f>
        <v>0</v>
      </c>
      <c r="Q144" s="14">
        <f>_xlfn.XLOOKUP(B144,DataSet!$N$2:$N$600,DataSet!$U$2:$U$600,0)</f>
        <v>2.3814000000000002</v>
      </c>
      <c r="R144" s="16">
        <f>_xlfn.XLOOKUP(B144,DataSet!$N$2:$N$600,DataSet!$AB$2:$AB$600,0)</f>
        <v>26.46</v>
      </c>
      <c r="S144" s="9">
        <f>_xlfn.XLOOKUP(B144,DataSet!$N$2:$N$600,DataSet!$AC$2:$AC$600,0)</f>
        <v>26.46</v>
      </c>
    </row>
    <row r="145" spans="1:19" s="12" customFormat="1" x14ac:dyDescent="0.3">
      <c r="A145" s="27">
        <v>143</v>
      </c>
      <c r="B145" s="10" t="s">
        <v>587</v>
      </c>
      <c r="C145" s="10" t="str">
        <f>_xlfn.XLOOKUP(B145,DataSet!$N$2:$N$600,DataSet!$AF$2:$AF$600,0)</f>
        <v>106180</v>
      </c>
      <c r="D145" s="10" t="str">
        <f>_xlfn.XLOOKUP(B145,DataSet!$N$2:$N$600,DataSet!$G$2:$G$600,0)</f>
        <v>Sally Hughsby</v>
      </c>
      <c r="E145" s="10" t="str">
        <f>_xlfn.XLOOKUP(B145,DataSet!$N$2:$N$600,DataSet!$F$2:$F$600,0)</f>
        <v>SH-19975</v>
      </c>
      <c r="F145" s="10" t="str">
        <f>_xlfn.XLOOKUP(B145,DataSet!$N$2:$N$600,DataSet!$W$2:$W$600,0)</f>
        <v>Corporate</v>
      </c>
      <c r="G145" s="13">
        <f>_xlfn.XLOOKUP(B145,DataSet!$N$2:$N$600,DataSet!$C$2:$C$600,0)</f>
        <v>42996</v>
      </c>
      <c r="H145" s="10" t="str">
        <f>_xlfn.XLOOKUP(B145,DataSet!$N$2:$N$600,DataSet!$I$2:$I$600,0)</f>
        <v>United States</v>
      </c>
      <c r="I145" s="10" t="str">
        <f>_xlfn.XLOOKUP(B145,DataSet!$N$2:$N$600,DataSet!$X$2:$X$600,0)</f>
        <v>San Francisco - California</v>
      </c>
      <c r="J145" s="10" t="str">
        <f>_xlfn.XLOOKUP(B145,DataSet!$N$2:$N$600,DataSet!$M$2:$M$600,0)</f>
        <v>West</v>
      </c>
      <c r="K145" s="10" t="str">
        <f>_xlfn.XLOOKUP(B145,DataSet!$N$2:$N$600,DataSet!$O$2:$O$600,0)</f>
        <v>Office Supplies</v>
      </c>
      <c r="L145" s="10" t="str">
        <f>_xlfn.XLOOKUP(B145,DataSet!$N$2:$N$600,DataSet!$Y$2:$Y$600,0)</f>
        <v>Envelopes</v>
      </c>
      <c r="M145" s="10" t="str">
        <f>_xlfn.XLOOKUP(B145,DataSet!$N$2:$N$600,DataSet!$Q$2:$Q$600,0)</f>
        <v>Convenience Packs of Business Envelopes</v>
      </c>
      <c r="N145" s="16">
        <f>_xlfn.XLOOKUP(B145,DataSet!$N$2:$N$600,DataSet!$AA$2:$AA$600,0)</f>
        <v>10.86</v>
      </c>
      <c r="O145" s="10">
        <f>_xlfn.XLOOKUP(B145,DataSet!$N$2:$N$600,DataSet!$S$2:$S$600,0)</f>
        <v>3</v>
      </c>
      <c r="P145" s="15">
        <f>_xlfn.XLOOKUP(B145,DataSet!$N$2:$N$600,DataSet!$T$2:$T$600,0)</f>
        <v>0</v>
      </c>
      <c r="Q145" s="14">
        <f>_xlfn.XLOOKUP(B145,DataSet!$N$2:$N$600,DataSet!$U$2:$U$600,0)</f>
        <v>5.1041999999999996</v>
      </c>
      <c r="R145" s="16">
        <f>_xlfn.XLOOKUP(B145,DataSet!$N$2:$N$600,DataSet!$AB$2:$AB$600,0)</f>
        <v>32.58</v>
      </c>
      <c r="S145" s="9">
        <f>_xlfn.XLOOKUP(B145,DataSet!$N$2:$N$600,DataSet!$AC$2:$AC$600,0)</f>
        <v>32.58</v>
      </c>
    </row>
    <row r="146" spans="1:19" s="12" customFormat="1" x14ac:dyDescent="0.3">
      <c r="A146" s="27">
        <v>144</v>
      </c>
      <c r="B146" s="10" t="s">
        <v>589</v>
      </c>
      <c r="C146" s="10" t="str">
        <f>_xlfn.XLOOKUP(B146,DataSet!$N$2:$N$600,DataSet!$AF$2:$AF$600,0)</f>
        <v>106180</v>
      </c>
      <c r="D146" s="10" t="str">
        <f>_xlfn.XLOOKUP(B146,DataSet!$N$2:$N$600,DataSet!$G$2:$G$600,0)</f>
        <v>Sally Hughsby</v>
      </c>
      <c r="E146" s="10" t="str">
        <f>_xlfn.XLOOKUP(B146,DataSet!$N$2:$N$600,DataSet!$F$2:$F$600,0)</f>
        <v>SH-19975</v>
      </c>
      <c r="F146" s="10" t="str">
        <f>_xlfn.XLOOKUP(B146,DataSet!$N$2:$N$600,DataSet!$W$2:$W$600,0)</f>
        <v>Corporate</v>
      </c>
      <c r="G146" s="13">
        <f>_xlfn.XLOOKUP(B146,DataSet!$N$2:$N$600,DataSet!$C$2:$C$600,0)</f>
        <v>42996</v>
      </c>
      <c r="H146" s="10" t="str">
        <f>_xlfn.XLOOKUP(B146,DataSet!$N$2:$N$600,DataSet!$I$2:$I$600,0)</f>
        <v>United States</v>
      </c>
      <c r="I146" s="10" t="str">
        <f>_xlfn.XLOOKUP(B146,DataSet!$N$2:$N$600,DataSet!$X$2:$X$600,0)</f>
        <v>San Francisco - California</v>
      </c>
      <c r="J146" s="10" t="str">
        <f>_xlfn.XLOOKUP(B146,DataSet!$N$2:$N$600,DataSet!$M$2:$M$600,0)</f>
        <v>West</v>
      </c>
      <c r="K146" s="10" t="str">
        <f>_xlfn.XLOOKUP(B146,DataSet!$N$2:$N$600,DataSet!$O$2:$O$600,0)</f>
        <v>Office Supplies</v>
      </c>
      <c r="L146" s="10" t="str">
        <f>_xlfn.XLOOKUP(B146,DataSet!$N$2:$N$600,DataSet!$Y$2:$Y$600,0)</f>
        <v>Paper</v>
      </c>
      <c r="M146" s="10" t="str">
        <f>_xlfn.XLOOKUP(B146,DataSet!$N$2:$N$600,DataSet!$Q$2:$Q$600,0)</f>
        <v>Xerox 1911</v>
      </c>
      <c r="N146" s="16">
        <f>_xlfn.XLOOKUP(B146,DataSet!$N$2:$N$600,DataSet!$AA$2:$AA$600,0)</f>
        <v>143.69999999999999</v>
      </c>
      <c r="O146" s="10">
        <f>_xlfn.XLOOKUP(B146,DataSet!$N$2:$N$600,DataSet!$S$2:$S$600,0)</f>
        <v>3</v>
      </c>
      <c r="P146" s="15">
        <f>_xlfn.XLOOKUP(B146,DataSet!$N$2:$N$600,DataSet!$T$2:$T$600,0)</f>
        <v>0</v>
      </c>
      <c r="Q146" s="14">
        <f>_xlfn.XLOOKUP(B146,DataSet!$N$2:$N$600,DataSet!$U$2:$U$600,0)</f>
        <v>68.975999999999999</v>
      </c>
      <c r="R146" s="16">
        <f>_xlfn.XLOOKUP(B146,DataSet!$N$2:$N$600,DataSet!$AB$2:$AB$600,0)</f>
        <v>431.09999999999997</v>
      </c>
      <c r="S146" s="9">
        <f>_xlfn.XLOOKUP(B146,DataSet!$N$2:$N$600,DataSet!$AC$2:$AC$600,0)</f>
        <v>431.09999999999997</v>
      </c>
    </row>
    <row r="147" spans="1:19" s="12" customFormat="1" x14ac:dyDescent="0.3">
      <c r="A147" s="27">
        <v>145</v>
      </c>
      <c r="B147" s="10" t="s">
        <v>596</v>
      </c>
      <c r="C147" s="10" t="str">
        <f>_xlfn.XLOOKUP(B147,DataSet!$N$2:$N$600,DataSet!$AF$2:$AF$600,0)</f>
        <v>155376</v>
      </c>
      <c r="D147" s="10" t="str">
        <f>_xlfn.XLOOKUP(B147,DataSet!$N$2:$N$600,DataSet!$G$2:$G$600,0)</f>
        <v>Sandra Glassco</v>
      </c>
      <c r="E147" s="10" t="str">
        <f>_xlfn.XLOOKUP(B147,DataSet!$N$2:$N$600,DataSet!$F$2:$F$600,0)</f>
        <v>SG-20080</v>
      </c>
      <c r="F147" s="10" t="str">
        <f>_xlfn.XLOOKUP(B147,DataSet!$N$2:$N$600,DataSet!$W$2:$W$600,0)</f>
        <v>Consumer</v>
      </c>
      <c r="G147" s="13">
        <f>_xlfn.XLOOKUP(B147,DataSet!$N$2:$N$600,DataSet!$C$2:$C$600,0)</f>
        <v>43091</v>
      </c>
      <c r="H147" s="10" t="str">
        <f>_xlfn.XLOOKUP(B147,DataSet!$N$2:$N$600,DataSet!$I$2:$I$600,0)</f>
        <v>United States</v>
      </c>
      <c r="I147" s="10" t="str">
        <f>_xlfn.XLOOKUP(B147,DataSet!$N$2:$N$600,DataSet!$X$2:$X$600,0)</f>
        <v>Independence - Missouri</v>
      </c>
      <c r="J147" s="10" t="str">
        <f>_xlfn.XLOOKUP(B147,DataSet!$N$2:$N$600,DataSet!$M$2:$M$600,0)</f>
        <v>Central</v>
      </c>
      <c r="K147" s="10" t="str">
        <f>_xlfn.XLOOKUP(B147,DataSet!$N$2:$N$600,DataSet!$O$2:$O$600,0)</f>
        <v>Office Supplies</v>
      </c>
      <c r="L147" s="10" t="str">
        <f>_xlfn.XLOOKUP(B147,DataSet!$N$2:$N$600,DataSet!$Y$2:$Y$600,0)</f>
        <v>Appliances</v>
      </c>
      <c r="M147" s="10" t="str">
        <f>_xlfn.XLOOKUP(B147,DataSet!$N$2:$N$600,DataSet!$Q$2:$Q$600,0)</f>
        <v>Sanyo 2.5 Cubic Foot Mid-Size Office Refrigerators</v>
      </c>
      <c r="N147" s="16">
        <f>_xlfn.XLOOKUP(B147,DataSet!$N$2:$N$600,DataSet!$AA$2:$AA$600,0)</f>
        <v>839.43</v>
      </c>
      <c r="O147" s="10">
        <f>_xlfn.XLOOKUP(B147,DataSet!$N$2:$N$600,DataSet!$S$2:$S$600,0)</f>
        <v>3</v>
      </c>
      <c r="P147" s="15">
        <f>_xlfn.XLOOKUP(B147,DataSet!$N$2:$N$600,DataSet!$T$2:$T$600,0)</f>
        <v>0</v>
      </c>
      <c r="Q147" s="14">
        <f>_xlfn.XLOOKUP(B147,DataSet!$N$2:$N$600,DataSet!$U$2:$U$600,0)</f>
        <v>218.2518</v>
      </c>
      <c r="R147" s="16">
        <f>_xlfn.XLOOKUP(B147,DataSet!$N$2:$N$600,DataSet!$AB$2:$AB$600,0)</f>
        <v>2518.29</v>
      </c>
      <c r="S147" s="9">
        <f>_xlfn.XLOOKUP(B147,DataSet!$N$2:$N$600,DataSet!$AC$2:$AC$600,0)</f>
        <v>2518.29</v>
      </c>
    </row>
    <row r="148" spans="1:19" s="12" customFormat="1" x14ac:dyDescent="0.3">
      <c r="A148" s="27">
        <v>146</v>
      </c>
      <c r="B148" s="10" t="s">
        <v>377</v>
      </c>
      <c r="C148" s="10" t="str">
        <f>_xlfn.XLOOKUP(B148,DataSet!$N$2:$N$600,DataSet!$AF$2:$AF$600,0)</f>
        <v>119662</v>
      </c>
      <c r="D148" s="10" t="str">
        <f>_xlfn.XLOOKUP(B148,DataSet!$N$2:$N$600,DataSet!$G$2:$G$600,0)</f>
        <v>Christopher Schild</v>
      </c>
      <c r="E148" s="10" t="str">
        <f>_xlfn.XLOOKUP(B148,DataSet!$N$2:$N$600,DataSet!$F$2:$F$600,0)</f>
        <v>CS-12400</v>
      </c>
      <c r="F148" s="10" t="str">
        <f>_xlfn.XLOOKUP(B148,DataSet!$N$2:$N$600,DataSet!$W$2:$W$600,0)</f>
        <v>Home Office</v>
      </c>
      <c r="G148" s="13">
        <f>_xlfn.XLOOKUP(B148,DataSet!$N$2:$N$600,DataSet!$C$2:$C$600,0)</f>
        <v>43052</v>
      </c>
      <c r="H148" s="10" t="str">
        <f>_xlfn.XLOOKUP(B148,DataSet!$N$2:$N$600,DataSet!$I$2:$I$600,0)</f>
        <v>United States</v>
      </c>
      <c r="I148" s="10" t="str">
        <f>_xlfn.XLOOKUP(B148,DataSet!$N$2:$N$600,DataSet!$X$2:$X$600,0)</f>
        <v>Chicago - Illinois</v>
      </c>
      <c r="J148" s="10" t="str">
        <f>_xlfn.XLOOKUP(B148,DataSet!$N$2:$N$600,DataSet!$M$2:$M$600,0)</f>
        <v>Central</v>
      </c>
      <c r="K148" s="10" t="str">
        <f>_xlfn.XLOOKUP(B148,DataSet!$N$2:$N$600,DataSet!$O$2:$O$600,0)</f>
        <v>Office Supplies</v>
      </c>
      <c r="L148" s="10" t="str">
        <f>_xlfn.XLOOKUP(B148,DataSet!$N$2:$N$600,DataSet!$Y$2:$Y$600,0)</f>
        <v>Storage</v>
      </c>
      <c r="M148" s="10" t="str">
        <f>_xlfn.XLOOKUP(B148,DataSet!$N$2:$N$600,DataSet!$Q$2:$Q$600,0)</f>
        <v>Safco Industrial Wire Shelving</v>
      </c>
      <c r="N148" s="16">
        <f>_xlfn.XLOOKUP(B148,DataSet!$N$2:$N$600,DataSet!$AA$2:$AA$600,0)</f>
        <v>230.376</v>
      </c>
      <c r="O148" s="10">
        <f>_xlfn.XLOOKUP(B148,DataSet!$N$2:$N$600,DataSet!$S$2:$S$600,0)</f>
        <v>3</v>
      </c>
      <c r="P148" s="15">
        <f>_xlfn.XLOOKUP(B148,DataSet!$N$2:$N$600,DataSet!$T$2:$T$600,0)</f>
        <v>0.2</v>
      </c>
      <c r="Q148" s="14">
        <f>_xlfn.XLOOKUP(B148,DataSet!$N$2:$N$600,DataSet!$U$2:$U$600,0)</f>
        <v>-48.954900000000002</v>
      </c>
      <c r="R148" s="16">
        <f>_xlfn.XLOOKUP(B148,DataSet!$N$2:$N$600,DataSet!$AB$2:$AB$600,0)</f>
        <v>691.12800000000004</v>
      </c>
      <c r="S148" s="9">
        <f>_xlfn.XLOOKUP(B148,DataSet!$N$2:$N$600,DataSet!$AC$2:$AC$600,0)</f>
        <v>552.90240000000006</v>
      </c>
    </row>
    <row r="149" spans="1:19" s="12" customFormat="1" x14ac:dyDescent="0.3">
      <c r="A149" s="27">
        <v>147</v>
      </c>
      <c r="B149" s="10" t="s">
        <v>606</v>
      </c>
      <c r="C149" s="10" t="str">
        <f>_xlfn.XLOOKUP(B149,DataSet!$N$2:$N$600,DataSet!$AF$2:$AF$600,0)</f>
        <v>110072</v>
      </c>
      <c r="D149" s="10" t="str">
        <f>_xlfn.XLOOKUP(B149,DataSet!$N$2:$N$600,DataSet!$G$2:$G$600,0)</f>
        <v>Maureen Gastineau</v>
      </c>
      <c r="E149" s="10" t="str">
        <f>_xlfn.XLOOKUP(B149,DataSet!$N$2:$N$600,DataSet!$F$2:$F$600,0)</f>
        <v>MG-17680</v>
      </c>
      <c r="F149" s="10" t="str">
        <f>_xlfn.XLOOKUP(B149,DataSet!$N$2:$N$600,DataSet!$W$2:$W$600,0)</f>
        <v>Home Office</v>
      </c>
      <c r="G149" s="13">
        <f>_xlfn.XLOOKUP(B149,DataSet!$N$2:$N$600,DataSet!$C$2:$C$600,0)</f>
        <v>41934</v>
      </c>
      <c r="H149" s="10" t="str">
        <f>_xlfn.XLOOKUP(B149,DataSet!$N$2:$N$600,DataSet!$I$2:$I$600,0)</f>
        <v>United States</v>
      </c>
      <c r="I149" s="10" t="str">
        <f>_xlfn.XLOOKUP(B149,DataSet!$N$2:$N$600,DataSet!$X$2:$X$600,0)</f>
        <v>Newark - Ohio</v>
      </c>
      <c r="J149" s="10" t="str">
        <f>_xlfn.XLOOKUP(B149,DataSet!$N$2:$N$600,DataSet!$M$2:$M$600,0)</f>
        <v>East</v>
      </c>
      <c r="K149" s="10" t="str">
        <f>_xlfn.XLOOKUP(B149,DataSet!$N$2:$N$600,DataSet!$O$2:$O$600,0)</f>
        <v>Furniture</v>
      </c>
      <c r="L149" s="10" t="str">
        <f>_xlfn.XLOOKUP(B149,DataSet!$N$2:$N$600,DataSet!$Y$2:$Y$600,0)</f>
        <v>Furnishings</v>
      </c>
      <c r="M149" s="10" t="str">
        <f>_xlfn.XLOOKUP(B149,DataSet!$N$2:$N$600,DataSet!$Q$2:$Q$600,0)</f>
        <v>Seth Thomas 14" Putty-Colored Wall Clock</v>
      </c>
      <c r="N149" s="16">
        <f>_xlfn.XLOOKUP(B149,DataSet!$N$2:$N$600,DataSet!$AA$2:$AA$600,0)</f>
        <v>93.888000000000005</v>
      </c>
      <c r="O149" s="10">
        <f>_xlfn.XLOOKUP(B149,DataSet!$N$2:$N$600,DataSet!$S$2:$S$600,0)</f>
        <v>4</v>
      </c>
      <c r="P149" s="15">
        <f>_xlfn.XLOOKUP(B149,DataSet!$N$2:$N$600,DataSet!$T$2:$T$600,0)</f>
        <v>0.2</v>
      </c>
      <c r="Q149" s="14">
        <f>_xlfn.XLOOKUP(B149,DataSet!$N$2:$N$600,DataSet!$U$2:$U$600,0)</f>
        <v>12.909599999999999</v>
      </c>
      <c r="R149" s="16">
        <f>_xlfn.XLOOKUP(B149,DataSet!$N$2:$N$600,DataSet!$AB$2:$AB$600,0)</f>
        <v>375.55200000000002</v>
      </c>
      <c r="S149" s="9">
        <f>_xlfn.XLOOKUP(B149,DataSet!$N$2:$N$600,DataSet!$AC$2:$AC$600,0)</f>
        <v>300.44160000000005</v>
      </c>
    </row>
    <row r="150" spans="1:19" s="12" customFormat="1" x14ac:dyDescent="0.3">
      <c r="A150" s="27">
        <v>148</v>
      </c>
      <c r="B150" s="10" t="s">
        <v>612</v>
      </c>
      <c r="C150" s="10" t="str">
        <f>_xlfn.XLOOKUP(B150,DataSet!$N$2:$N$600,DataSet!$AF$2:$AF$600,0)</f>
        <v>114489</v>
      </c>
      <c r="D150" s="10" t="str">
        <f>_xlfn.XLOOKUP(B150,DataSet!$N$2:$N$600,DataSet!$G$2:$G$600,0)</f>
        <v>Justin Ellison</v>
      </c>
      <c r="E150" s="10" t="str">
        <f>_xlfn.XLOOKUP(B150,DataSet!$N$2:$N$600,DataSet!$F$2:$F$600,0)</f>
        <v>JE-16165</v>
      </c>
      <c r="F150" s="10" t="str">
        <f>_xlfn.XLOOKUP(B150,DataSet!$N$2:$N$600,DataSet!$W$2:$W$600,0)</f>
        <v>Corporate</v>
      </c>
      <c r="G150" s="13">
        <f>_xlfn.XLOOKUP(B150,DataSet!$N$2:$N$600,DataSet!$C$2:$C$600,0)</f>
        <v>42709</v>
      </c>
      <c r="H150" s="10" t="str">
        <f>_xlfn.XLOOKUP(B150,DataSet!$N$2:$N$600,DataSet!$I$2:$I$600,0)</f>
        <v>United States</v>
      </c>
      <c r="I150" s="10" t="str">
        <f>_xlfn.XLOOKUP(B150,DataSet!$N$2:$N$600,DataSet!$X$2:$X$600,0)</f>
        <v>Franklin - Wisconsin</v>
      </c>
      <c r="J150" s="10" t="str">
        <f>_xlfn.XLOOKUP(B150,DataSet!$N$2:$N$600,DataSet!$M$2:$M$600,0)</f>
        <v>Central</v>
      </c>
      <c r="K150" s="10" t="str">
        <f>_xlfn.XLOOKUP(B150,DataSet!$N$2:$N$600,DataSet!$O$2:$O$600,0)</f>
        <v>Technology</v>
      </c>
      <c r="L150" s="10" t="str">
        <f>_xlfn.XLOOKUP(B150,DataSet!$N$2:$N$600,DataSet!$Y$2:$Y$600,0)</f>
        <v>Phones</v>
      </c>
      <c r="M150" s="10" t="str">
        <f>_xlfn.XLOOKUP(B150,DataSet!$N$2:$N$600,DataSet!$Q$2:$Q$600,0)</f>
        <v>Plantronics Cordless Phone Headset with In-line Volume - M214C</v>
      </c>
      <c r="N150" s="16">
        <f>_xlfn.XLOOKUP(B150,DataSet!$N$2:$N$600,DataSet!$AA$2:$AA$600,0)</f>
        <v>384.45</v>
      </c>
      <c r="O150" s="10">
        <f>_xlfn.XLOOKUP(B150,DataSet!$N$2:$N$600,DataSet!$S$2:$S$600,0)</f>
        <v>11</v>
      </c>
      <c r="P150" s="15">
        <f>_xlfn.XLOOKUP(B150,DataSet!$N$2:$N$600,DataSet!$T$2:$T$600,0)</f>
        <v>0</v>
      </c>
      <c r="Q150" s="14">
        <f>_xlfn.XLOOKUP(B150,DataSet!$N$2:$N$600,DataSet!$U$2:$U$600,0)</f>
        <v>103.8015</v>
      </c>
      <c r="R150" s="16">
        <f>_xlfn.XLOOKUP(B150,DataSet!$N$2:$N$600,DataSet!$AB$2:$AB$600,0)</f>
        <v>4228.95</v>
      </c>
      <c r="S150" s="9">
        <f>_xlfn.XLOOKUP(B150,DataSet!$N$2:$N$600,DataSet!$AC$2:$AC$600,0)</f>
        <v>4228.95</v>
      </c>
    </row>
    <row r="151" spans="1:19" s="12" customFormat="1" x14ac:dyDescent="0.3">
      <c r="A151" s="27">
        <v>149</v>
      </c>
      <c r="B151" s="10" t="s">
        <v>614</v>
      </c>
      <c r="C151" s="10" t="str">
        <f>_xlfn.XLOOKUP(B151,DataSet!$N$2:$N$600,DataSet!$AF$2:$AF$600,0)</f>
        <v>114489</v>
      </c>
      <c r="D151" s="10" t="str">
        <f>_xlfn.XLOOKUP(B151,DataSet!$N$2:$N$600,DataSet!$G$2:$G$600,0)</f>
        <v>Justin Ellison</v>
      </c>
      <c r="E151" s="10" t="str">
        <f>_xlfn.XLOOKUP(B151,DataSet!$N$2:$N$600,DataSet!$F$2:$F$600,0)</f>
        <v>JE-16165</v>
      </c>
      <c r="F151" s="10" t="str">
        <f>_xlfn.XLOOKUP(B151,DataSet!$N$2:$N$600,DataSet!$W$2:$W$600,0)</f>
        <v>Corporate</v>
      </c>
      <c r="G151" s="13">
        <f>_xlfn.XLOOKUP(B151,DataSet!$N$2:$N$600,DataSet!$C$2:$C$600,0)</f>
        <v>42709</v>
      </c>
      <c r="H151" s="10" t="str">
        <f>_xlfn.XLOOKUP(B151,DataSet!$N$2:$N$600,DataSet!$I$2:$I$600,0)</f>
        <v>United States</v>
      </c>
      <c r="I151" s="10" t="str">
        <f>_xlfn.XLOOKUP(B151,DataSet!$N$2:$N$600,DataSet!$X$2:$X$600,0)</f>
        <v>Franklin - Wisconsin</v>
      </c>
      <c r="J151" s="10" t="str">
        <f>_xlfn.XLOOKUP(B151,DataSet!$N$2:$N$600,DataSet!$M$2:$M$600,0)</f>
        <v>Central</v>
      </c>
      <c r="K151" s="10" t="str">
        <f>_xlfn.XLOOKUP(B151,DataSet!$N$2:$N$600,DataSet!$O$2:$O$600,0)</f>
        <v>Technology</v>
      </c>
      <c r="L151" s="10" t="str">
        <f>_xlfn.XLOOKUP(B151,DataSet!$N$2:$N$600,DataSet!$Y$2:$Y$600,0)</f>
        <v>Phones</v>
      </c>
      <c r="M151" s="10" t="str">
        <f>_xlfn.XLOOKUP(B151,DataSet!$N$2:$N$600,DataSet!$Q$2:$Q$600,0)</f>
        <v>Anker Astro 15000mAh USB Portable Charger</v>
      </c>
      <c r="N151" s="16">
        <f>_xlfn.XLOOKUP(B151,DataSet!$N$2:$N$600,DataSet!$AA$2:$AA$600,0)</f>
        <v>149.97</v>
      </c>
      <c r="O151" s="10">
        <f>_xlfn.XLOOKUP(B151,DataSet!$N$2:$N$600,DataSet!$S$2:$S$600,0)</f>
        <v>3</v>
      </c>
      <c r="P151" s="15">
        <f>_xlfn.XLOOKUP(B151,DataSet!$N$2:$N$600,DataSet!$T$2:$T$600,0)</f>
        <v>0</v>
      </c>
      <c r="Q151" s="14">
        <f>_xlfn.XLOOKUP(B151,DataSet!$N$2:$N$600,DataSet!$U$2:$U$600,0)</f>
        <v>5.9988000000000001</v>
      </c>
      <c r="R151" s="16">
        <f>_xlfn.XLOOKUP(B151,DataSet!$N$2:$N$600,DataSet!$AB$2:$AB$600,0)</f>
        <v>449.90999999999997</v>
      </c>
      <c r="S151" s="9">
        <f>_xlfn.XLOOKUP(B151,DataSet!$N$2:$N$600,DataSet!$AC$2:$AC$600,0)</f>
        <v>449.90999999999997</v>
      </c>
    </row>
    <row r="152" spans="1:19" s="12" customFormat="1" x14ac:dyDescent="0.3">
      <c r="A152" s="27">
        <v>150</v>
      </c>
      <c r="B152" s="10" t="s">
        <v>33</v>
      </c>
      <c r="C152" s="10" t="str">
        <f>_xlfn.XLOOKUP(B152,DataSet!$N$2:$N$600,DataSet!$AF$2:$AF$600,0)</f>
        <v>152156</v>
      </c>
      <c r="D152" s="10" t="str">
        <f>_xlfn.XLOOKUP(B152,DataSet!$N$2:$N$600,DataSet!$G$2:$G$600,0)</f>
        <v>Claire Gute</v>
      </c>
      <c r="E152" s="10" t="str">
        <f>_xlfn.XLOOKUP(B152,DataSet!$N$2:$N$600,DataSet!$F$2:$F$600,0)</f>
        <v>CG-12520</v>
      </c>
      <c r="F152" s="10" t="str">
        <f>_xlfn.XLOOKUP(B152,DataSet!$N$2:$N$600,DataSet!$W$2:$W$600,0)</f>
        <v>Consumer</v>
      </c>
      <c r="G152" s="13">
        <f>_xlfn.XLOOKUP(B152,DataSet!$N$2:$N$600,DataSet!$C$2:$C$600,0)</f>
        <v>42682</v>
      </c>
      <c r="H152" s="10" t="str">
        <f>_xlfn.XLOOKUP(B152,DataSet!$N$2:$N$600,DataSet!$I$2:$I$600,0)</f>
        <v>United States</v>
      </c>
      <c r="I152" s="10" t="str">
        <f>_xlfn.XLOOKUP(B152,DataSet!$N$2:$N$600,DataSet!$X$2:$X$600,0)</f>
        <v>Henderson - Kentucky</v>
      </c>
      <c r="J152" s="10" t="str">
        <f>_xlfn.XLOOKUP(B152,DataSet!$N$2:$N$600,DataSet!$M$2:$M$600,0)</f>
        <v>South</v>
      </c>
      <c r="K152" s="10" t="str">
        <f>_xlfn.XLOOKUP(B152,DataSet!$N$2:$N$600,DataSet!$O$2:$O$600,0)</f>
        <v>Furniture</v>
      </c>
      <c r="L152" s="10" t="str">
        <f>_xlfn.XLOOKUP(B152,DataSet!$N$2:$N$600,DataSet!$Y$2:$Y$600,0)</f>
        <v>Chairs</v>
      </c>
      <c r="M152" s="10" t="str">
        <f>_xlfn.XLOOKUP(B152,DataSet!$N$2:$N$600,DataSet!$Q$2:$Q$600,0)</f>
        <v>Hon Deluxe Fabric Upholstered Stacking Chairs, Rounded Back</v>
      </c>
      <c r="N152" s="16">
        <f>_xlfn.XLOOKUP(B152,DataSet!$N$2:$N$600,DataSet!$AA$2:$AA$600,0)</f>
        <v>731.94</v>
      </c>
      <c r="O152" s="10">
        <f>_xlfn.XLOOKUP(B152,DataSet!$N$2:$N$600,DataSet!$S$2:$S$600,0)</f>
        <v>3</v>
      </c>
      <c r="P152" s="15">
        <f>_xlfn.XLOOKUP(B152,DataSet!$N$2:$N$600,DataSet!$T$2:$T$600,0)</f>
        <v>0</v>
      </c>
      <c r="Q152" s="14">
        <f>_xlfn.XLOOKUP(B152,DataSet!$N$2:$N$600,DataSet!$U$2:$U$600,0)</f>
        <v>219.58199999999999</v>
      </c>
      <c r="R152" s="16">
        <f>_xlfn.XLOOKUP(B152,DataSet!$N$2:$N$600,DataSet!$AB$2:$AB$600,0)</f>
        <v>2195.8200000000002</v>
      </c>
      <c r="S152" s="9">
        <f>_xlfn.XLOOKUP(B152,DataSet!$N$2:$N$600,DataSet!$AC$2:$AC$600,0)</f>
        <v>2195.8200000000002</v>
      </c>
    </row>
    <row r="153" spans="1:19" s="12" customFormat="1" x14ac:dyDescent="0.3">
      <c r="A153" s="27">
        <v>151</v>
      </c>
      <c r="B153" s="10" t="s">
        <v>616</v>
      </c>
      <c r="C153" s="10" t="str">
        <f>_xlfn.XLOOKUP(B153,DataSet!$N$2:$N$600,DataSet!$AF$2:$AF$600,0)</f>
        <v>114489</v>
      </c>
      <c r="D153" s="10" t="str">
        <f>_xlfn.XLOOKUP(B153,DataSet!$N$2:$N$600,DataSet!$G$2:$G$600,0)</f>
        <v>Justin Ellison</v>
      </c>
      <c r="E153" s="10" t="str">
        <f>_xlfn.XLOOKUP(B153,DataSet!$N$2:$N$600,DataSet!$F$2:$F$600,0)</f>
        <v>JE-16165</v>
      </c>
      <c r="F153" s="10" t="str">
        <f>_xlfn.XLOOKUP(B153,DataSet!$N$2:$N$600,DataSet!$W$2:$W$600,0)</f>
        <v>Corporate</v>
      </c>
      <c r="G153" s="13">
        <f>_xlfn.XLOOKUP(B153,DataSet!$N$2:$N$600,DataSet!$C$2:$C$600,0)</f>
        <v>42709</v>
      </c>
      <c r="H153" s="10" t="str">
        <f>_xlfn.XLOOKUP(B153,DataSet!$N$2:$N$600,DataSet!$I$2:$I$600,0)</f>
        <v>United States</v>
      </c>
      <c r="I153" s="10" t="str">
        <f>_xlfn.XLOOKUP(B153,DataSet!$N$2:$N$600,DataSet!$X$2:$X$600,0)</f>
        <v>Franklin - Wisconsin</v>
      </c>
      <c r="J153" s="10" t="str">
        <f>_xlfn.XLOOKUP(B153,DataSet!$N$2:$N$600,DataSet!$M$2:$M$600,0)</f>
        <v>Central</v>
      </c>
      <c r="K153" s="10" t="str">
        <f>_xlfn.XLOOKUP(B153,DataSet!$N$2:$N$600,DataSet!$O$2:$O$600,0)</f>
        <v>Office Supplies</v>
      </c>
      <c r="L153" s="10" t="str">
        <f>_xlfn.XLOOKUP(B153,DataSet!$N$2:$N$600,DataSet!$Y$2:$Y$600,0)</f>
        <v>Binders</v>
      </c>
      <c r="M153" s="10" t="str">
        <f>_xlfn.XLOOKUP(B153,DataSet!$N$2:$N$600,DataSet!$Q$2:$Q$600,0)</f>
        <v>GBC Prestige Therm-A-Bind Covers</v>
      </c>
      <c r="N153" s="16">
        <f>_xlfn.XLOOKUP(B153,DataSet!$N$2:$N$600,DataSet!$AA$2:$AA$600,0)</f>
        <v>171.55</v>
      </c>
      <c r="O153" s="10">
        <f>_xlfn.XLOOKUP(B153,DataSet!$N$2:$N$600,DataSet!$S$2:$S$600,0)</f>
        <v>5</v>
      </c>
      <c r="P153" s="15">
        <f>_xlfn.XLOOKUP(B153,DataSet!$N$2:$N$600,DataSet!$T$2:$T$600,0)</f>
        <v>0</v>
      </c>
      <c r="Q153" s="14">
        <f>_xlfn.XLOOKUP(B153,DataSet!$N$2:$N$600,DataSet!$U$2:$U$600,0)</f>
        <v>80.628500000000003</v>
      </c>
      <c r="R153" s="16">
        <f>_xlfn.XLOOKUP(B153,DataSet!$N$2:$N$600,DataSet!$AB$2:$AB$600,0)</f>
        <v>857.75</v>
      </c>
      <c r="S153" s="9">
        <f>_xlfn.XLOOKUP(B153,DataSet!$N$2:$N$600,DataSet!$AC$2:$AC$600,0)</f>
        <v>857.75</v>
      </c>
    </row>
    <row r="154" spans="1:19" s="12" customFormat="1" x14ac:dyDescent="0.3">
      <c r="A154" s="27">
        <v>152</v>
      </c>
      <c r="B154" s="10" t="s">
        <v>622</v>
      </c>
      <c r="C154" s="10" t="str">
        <f>_xlfn.XLOOKUP(B154,DataSet!$N$2:$N$600,DataSet!$AF$2:$AF$600,0)</f>
        <v>158834</v>
      </c>
      <c r="D154" s="10" t="str">
        <f>_xlfn.XLOOKUP(B154,DataSet!$N$2:$N$600,DataSet!$G$2:$G$600,0)</f>
        <v>Tamara Willingham</v>
      </c>
      <c r="E154" s="10" t="str">
        <f>_xlfn.XLOOKUP(B154,DataSet!$N$2:$N$600,DataSet!$F$2:$F$600,0)</f>
        <v>TW-21025</v>
      </c>
      <c r="F154" s="10" t="str">
        <f>_xlfn.XLOOKUP(B154,DataSet!$N$2:$N$600,DataSet!$W$2:$W$600,0)</f>
        <v>Home Office</v>
      </c>
      <c r="G154" s="13">
        <f>_xlfn.XLOOKUP(B154,DataSet!$N$2:$N$600,DataSet!$C$2:$C$600,0)</f>
        <v>42442</v>
      </c>
      <c r="H154" s="10" t="str">
        <f>_xlfn.XLOOKUP(B154,DataSet!$N$2:$N$600,DataSet!$I$2:$I$600,0)</f>
        <v>United States</v>
      </c>
      <c r="I154" s="10" t="str">
        <f>_xlfn.XLOOKUP(B154,DataSet!$N$2:$N$600,DataSet!$X$2:$X$600,0)</f>
        <v>Scottsdale - Arizona</v>
      </c>
      <c r="J154" s="10" t="str">
        <f>_xlfn.XLOOKUP(B154,DataSet!$N$2:$N$600,DataSet!$M$2:$M$600,0)</f>
        <v>West</v>
      </c>
      <c r="K154" s="10" t="str">
        <f>_xlfn.XLOOKUP(B154,DataSet!$N$2:$N$600,DataSet!$O$2:$O$600,0)</f>
        <v>Office Supplies</v>
      </c>
      <c r="L154" s="10" t="str">
        <f>_xlfn.XLOOKUP(B154,DataSet!$N$2:$N$600,DataSet!$Y$2:$Y$600,0)</f>
        <v>Appliances</v>
      </c>
      <c r="M154" s="10" t="str">
        <f>_xlfn.XLOOKUP(B154,DataSet!$N$2:$N$600,DataSet!$Q$2:$Q$600,0)</f>
        <v>Belkin 7 Outlet SurgeMaster Surge Protector with Phone Protection</v>
      </c>
      <c r="N154" s="16">
        <f>_xlfn.XLOOKUP(B154,DataSet!$N$2:$N$600,DataSet!$AA$2:$AA$600,0)</f>
        <v>157.91999999999999</v>
      </c>
      <c r="O154" s="10">
        <f>_xlfn.XLOOKUP(B154,DataSet!$N$2:$N$600,DataSet!$S$2:$S$600,0)</f>
        <v>5</v>
      </c>
      <c r="P154" s="15">
        <f>_xlfn.XLOOKUP(B154,DataSet!$N$2:$N$600,DataSet!$T$2:$T$600,0)</f>
        <v>0.2</v>
      </c>
      <c r="Q154" s="14">
        <f>_xlfn.XLOOKUP(B154,DataSet!$N$2:$N$600,DataSet!$U$2:$U$600,0)</f>
        <v>17.765999999999998</v>
      </c>
      <c r="R154" s="16">
        <f>_xlfn.XLOOKUP(B154,DataSet!$N$2:$N$600,DataSet!$AB$2:$AB$600,0)</f>
        <v>789.59999999999991</v>
      </c>
      <c r="S154" s="9">
        <f>_xlfn.XLOOKUP(B154,DataSet!$N$2:$N$600,DataSet!$AC$2:$AC$600,0)</f>
        <v>631.67999999999995</v>
      </c>
    </row>
    <row r="155" spans="1:19" s="12" customFormat="1" x14ac:dyDescent="0.3">
      <c r="A155" s="27">
        <v>153</v>
      </c>
      <c r="B155" s="10" t="s">
        <v>624</v>
      </c>
      <c r="C155" s="10" t="str">
        <f>_xlfn.XLOOKUP(B155,DataSet!$N$2:$N$600,DataSet!$AF$2:$AF$600,0)</f>
        <v>158834</v>
      </c>
      <c r="D155" s="10" t="str">
        <f>_xlfn.XLOOKUP(B155,DataSet!$N$2:$N$600,DataSet!$G$2:$G$600,0)</f>
        <v>Tamara Willingham</v>
      </c>
      <c r="E155" s="10" t="str">
        <f>_xlfn.XLOOKUP(B155,DataSet!$N$2:$N$600,DataSet!$F$2:$F$600,0)</f>
        <v>TW-21025</v>
      </c>
      <c r="F155" s="10" t="str">
        <f>_xlfn.XLOOKUP(B155,DataSet!$N$2:$N$600,DataSet!$W$2:$W$600,0)</f>
        <v>Home Office</v>
      </c>
      <c r="G155" s="13">
        <f>_xlfn.XLOOKUP(B155,DataSet!$N$2:$N$600,DataSet!$C$2:$C$600,0)</f>
        <v>42442</v>
      </c>
      <c r="H155" s="10" t="str">
        <f>_xlfn.XLOOKUP(B155,DataSet!$N$2:$N$600,DataSet!$I$2:$I$600,0)</f>
        <v>United States</v>
      </c>
      <c r="I155" s="10" t="str">
        <f>_xlfn.XLOOKUP(B155,DataSet!$N$2:$N$600,DataSet!$X$2:$X$600,0)</f>
        <v>Scottsdale - Arizona</v>
      </c>
      <c r="J155" s="10" t="str">
        <f>_xlfn.XLOOKUP(B155,DataSet!$N$2:$N$600,DataSet!$M$2:$M$600,0)</f>
        <v>West</v>
      </c>
      <c r="K155" s="10" t="str">
        <f>_xlfn.XLOOKUP(B155,DataSet!$N$2:$N$600,DataSet!$O$2:$O$600,0)</f>
        <v>Technology</v>
      </c>
      <c r="L155" s="10" t="str">
        <f>_xlfn.XLOOKUP(B155,DataSet!$N$2:$N$600,DataSet!$Y$2:$Y$600,0)</f>
        <v>Phones</v>
      </c>
      <c r="M155" s="10" t="str">
        <f>_xlfn.XLOOKUP(B155,DataSet!$N$2:$N$600,DataSet!$Q$2:$Q$600,0)</f>
        <v>Jabra BIZ 2300 Duo QD Duo Corded Headset</v>
      </c>
      <c r="N155" s="16">
        <f>_xlfn.XLOOKUP(B155,DataSet!$N$2:$N$600,DataSet!$AA$2:$AA$600,0)</f>
        <v>203.184</v>
      </c>
      <c r="O155" s="10">
        <f>_xlfn.XLOOKUP(B155,DataSet!$N$2:$N$600,DataSet!$S$2:$S$600,0)</f>
        <v>2</v>
      </c>
      <c r="P155" s="15">
        <f>_xlfn.XLOOKUP(B155,DataSet!$N$2:$N$600,DataSet!$T$2:$T$600,0)</f>
        <v>0.2</v>
      </c>
      <c r="Q155" s="14">
        <f>_xlfn.XLOOKUP(B155,DataSet!$N$2:$N$600,DataSet!$U$2:$U$600,0)</f>
        <v>15.238799999999999</v>
      </c>
      <c r="R155" s="16">
        <f>_xlfn.XLOOKUP(B155,DataSet!$N$2:$N$600,DataSet!$AB$2:$AB$600,0)</f>
        <v>406.36799999999999</v>
      </c>
      <c r="S155" s="9">
        <f>_xlfn.XLOOKUP(B155,DataSet!$N$2:$N$600,DataSet!$AC$2:$AC$600,0)</f>
        <v>325.09440000000001</v>
      </c>
    </row>
    <row r="156" spans="1:19" s="12" customFormat="1" x14ac:dyDescent="0.3">
      <c r="A156" s="27">
        <v>154</v>
      </c>
      <c r="B156" s="10" t="s">
        <v>630</v>
      </c>
      <c r="C156" s="10" t="str">
        <f>_xlfn.XLOOKUP(B156,DataSet!$N$2:$N$600,DataSet!$AF$2:$AF$600,0)</f>
        <v>124919</v>
      </c>
      <c r="D156" s="10" t="str">
        <f>_xlfn.XLOOKUP(B156,DataSet!$N$2:$N$600,DataSet!$G$2:$G$600,0)</f>
        <v>Stephanie Phelps</v>
      </c>
      <c r="E156" s="10" t="str">
        <f>_xlfn.XLOOKUP(B156,DataSet!$N$2:$N$600,DataSet!$F$2:$F$600,0)</f>
        <v>SP-20650</v>
      </c>
      <c r="F156" s="10" t="str">
        <f>_xlfn.XLOOKUP(B156,DataSet!$N$2:$N$600,DataSet!$W$2:$W$600,0)</f>
        <v>Corporate</v>
      </c>
      <c r="G156" s="13">
        <f>_xlfn.XLOOKUP(B156,DataSet!$N$2:$N$600,DataSet!$C$2:$C$600,0)</f>
        <v>42155</v>
      </c>
      <c r="H156" s="10" t="str">
        <f>_xlfn.XLOOKUP(B156,DataSet!$N$2:$N$600,DataSet!$I$2:$I$600,0)</f>
        <v>United States</v>
      </c>
      <c r="I156" s="10" t="str">
        <f>_xlfn.XLOOKUP(B156,DataSet!$N$2:$N$600,DataSet!$X$2:$X$600,0)</f>
        <v>San Jose - California</v>
      </c>
      <c r="J156" s="10" t="str">
        <f>_xlfn.XLOOKUP(B156,DataSet!$N$2:$N$600,DataSet!$M$2:$M$600,0)</f>
        <v>West</v>
      </c>
      <c r="K156" s="10" t="str">
        <f>_xlfn.XLOOKUP(B156,DataSet!$N$2:$N$600,DataSet!$O$2:$O$600,0)</f>
        <v>Office Supplies</v>
      </c>
      <c r="L156" s="10" t="str">
        <f>_xlfn.XLOOKUP(B156,DataSet!$N$2:$N$600,DataSet!$Y$2:$Y$600,0)</f>
        <v>Paper</v>
      </c>
      <c r="M156" s="10" t="str">
        <f>_xlfn.XLOOKUP(B156,DataSet!$N$2:$N$600,DataSet!$Q$2:$Q$600,0)</f>
        <v>Southworth 25% Cotton Antique Laid Paper &amp; Envelopes</v>
      </c>
      <c r="N156" s="16">
        <f>_xlfn.XLOOKUP(B156,DataSet!$N$2:$N$600,DataSet!$AA$2:$AA$600,0)</f>
        <v>58.38</v>
      </c>
      <c r="O156" s="10">
        <f>_xlfn.XLOOKUP(B156,DataSet!$N$2:$N$600,DataSet!$S$2:$S$600,0)</f>
        <v>7</v>
      </c>
      <c r="P156" s="15">
        <f>_xlfn.XLOOKUP(B156,DataSet!$N$2:$N$600,DataSet!$T$2:$T$600,0)</f>
        <v>0</v>
      </c>
      <c r="Q156" s="14">
        <f>_xlfn.XLOOKUP(B156,DataSet!$N$2:$N$600,DataSet!$U$2:$U$600,0)</f>
        <v>26.271000000000001</v>
      </c>
      <c r="R156" s="16">
        <f>_xlfn.XLOOKUP(B156,DataSet!$N$2:$N$600,DataSet!$AB$2:$AB$600,0)</f>
        <v>408.66</v>
      </c>
      <c r="S156" s="9">
        <f>_xlfn.XLOOKUP(B156,DataSet!$N$2:$N$600,DataSet!$AC$2:$AC$600,0)</f>
        <v>408.66</v>
      </c>
    </row>
    <row r="157" spans="1:19" s="12" customFormat="1" x14ac:dyDescent="0.3">
      <c r="A157" s="27">
        <v>155</v>
      </c>
      <c r="B157" s="10" t="s">
        <v>632</v>
      </c>
      <c r="C157" s="10" t="str">
        <f>_xlfn.XLOOKUP(B157,DataSet!$N$2:$N$600,DataSet!$AF$2:$AF$600,0)</f>
        <v>124919</v>
      </c>
      <c r="D157" s="10" t="str">
        <f>_xlfn.XLOOKUP(B157,DataSet!$N$2:$N$600,DataSet!$G$2:$G$600,0)</f>
        <v>Stephanie Phelps</v>
      </c>
      <c r="E157" s="10" t="str">
        <f>_xlfn.XLOOKUP(B157,DataSet!$N$2:$N$600,DataSet!$F$2:$F$600,0)</f>
        <v>SP-20650</v>
      </c>
      <c r="F157" s="10" t="str">
        <f>_xlfn.XLOOKUP(B157,DataSet!$N$2:$N$600,DataSet!$W$2:$W$600,0)</f>
        <v>Corporate</v>
      </c>
      <c r="G157" s="13">
        <f>_xlfn.XLOOKUP(B157,DataSet!$N$2:$N$600,DataSet!$C$2:$C$600,0)</f>
        <v>42155</v>
      </c>
      <c r="H157" s="10" t="str">
        <f>_xlfn.XLOOKUP(B157,DataSet!$N$2:$N$600,DataSet!$I$2:$I$600,0)</f>
        <v>United States</v>
      </c>
      <c r="I157" s="10" t="str">
        <f>_xlfn.XLOOKUP(B157,DataSet!$N$2:$N$600,DataSet!$X$2:$X$600,0)</f>
        <v>San Jose - California</v>
      </c>
      <c r="J157" s="10" t="str">
        <f>_xlfn.XLOOKUP(B157,DataSet!$N$2:$N$600,DataSet!$M$2:$M$600,0)</f>
        <v>West</v>
      </c>
      <c r="K157" s="10" t="str">
        <f>_xlfn.XLOOKUP(B157,DataSet!$N$2:$N$600,DataSet!$O$2:$O$600,0)</f>
        <v>Office Supplies</v>
      </c>
      <c r="L157" s="10" t="str">
        <f>_xlfn.XLOOKUP(B157,DataSet!$N$2:$N$600,DataSet!$Y$2:$Y$600,0)</f>
        <v>Paper</v>
      </c>
      <c r="M157" s="10" t="str">
        <f>_xlfn.XLOOKUP(B157,DataSet!$N$2:$N$600,DataSet!$Q$2:$Q$600,0)</f>
        <v>Xerox 1883</v>
      </c>
      <c r="N157" s="16">
        <f>_xlfn.XLOOKUP(B157,DataSet!$N$2:$N$600,DataSet!$AA$2:$AA$600,0)</f>
        <v>105.52</v>
      </c>
      <c r="O157" s="10">
        <f>_xlfn.XLOOKUP(B157,DataSet!$N$2:$N$600,DataSet!$S$2:$S$600,0)</f>
        <v>4</v>
      </c>
      <c r="P157" s="15">
        <f>_xlfn.XLOOKUP(B157,DataSet!$N$2:$N$600,DataSet!$T$2:$T$600,0)</f>
        <v>0</v>
      </c>
      <c r="Q157" s="14">
        <f>_xlfn.XLOOKUP(B157,DataSet!$N$2:$N$600,DataSet!$U$2:$U$600,0)</f>
        <v>48.539200000000001</v>
      </c>
      <c r="R157" s="16">
        <f>_xlfn.XLOOKUP(B157,DataSet!$N$2:$N$600,DataSet!$AB$2:$AB$600,0)</f>
        <v>422.08</v>
      </c>
      <c r="S157" s="9">
        <f>_xlfn.XLOOKUP(B157,DataSet!$N$2:$N$600,DataSet!$AC$2:$AC$600,0)</f>
        <v>422.08</v>
      </c>
    </row>
    <row r="158" spans="1:19" s="12" customFormat="1" x14ac:dyDescent="0.3">
      <c r="A158" s="27">
        <v>156</v>
      </c>
      <c r="B158" s="10" t="s">
        <v>634</v>
      </c>
      <c r="C158" s="10" t="str">
        <f>_xlfn.XLOOKUP(B158,DataSet!$N$2:$N$600,DataSet!$AF$2:$AF$600,0)</f>
        <v>124919</v>
      </c>
      <c r="D158" s="10" t="str">
        <f>_xlfn.XLOOKUP(B158,DataSet!$N$2:$N$600,DataSet!$G$2:$G$600,0)</f>
        <v>Stephanie Phelps</v>
      </c>
      <c r="E158" s="10" t="str">
        <f>_xlfn.XLOOKUP(B158,DataSet!$N$2:$N$600,DataSet!$F$2:$F$600,0)</f>
        <v>SP-20650</v>
      </c>
      <c r="F158" s="10" t="str">
        <f>_xlfn.XLOOKUP(B158,DataSet!$N$2:$N$600,DataSet!$W$2:$W$600,0)</f>
        <v>Corporate</v>
      </c>
      <c r="G158" s="13">
        <f>_xlfn.XLOOKUP(B158,DataSet!$N$2:$N$600,DataSet!$C$2:$C$600,0)</f>
        <v>42155</v>
      </c>
      <c r="H158" s="10" t="str">
        <f>_xlfn.XLOOKUP(B158,DataSet!$N$2:$N$600,DataSet!$I$2:$I$600,0)</f>
        <v>United States</v>
      </c>
      <c r="I158" s="10" t="str">
        <f>_xlfn.XLOOKUP(B158,DataSet!$N$2:$N$600,DataSet!$X$2:$X$600,0)</f>
        <v>San Jose - California</v>
      </c>
      <c r="J158" s="10" t="str">
        <f>_xlfn.XLOOKUP(B158,DataSet!$N$2:$N$600,DataSet!$M$2:$M$600,0)</f>
        <v>West</v>
      </c>
      <c r="K158" s="10" t="str">
        <f>_xlfn.XLOOKUP(B158,DataSet!$N$2:$N$600,DataSet!$O$2:$O$600,0)</f>
        <v>Office Supplies</v>
      </c>
      <c r="L158" s="10" t="str">
        <f>_xlfn.XLOOKUP(B158,DataSet!$N$2:$N$600,DataSet!$Y$2:$Y$600,0)</f>
        <v>Storage</v>
      </c>
      <c r="M158" s="10" t="str">
        <f>_xlfn.XLOOKUP(B158,DataSet!$N$2:$N$600,DataSet!$Q$2:$Q$600,0)</f>
        <v>Tenex Personal Project File with Scoop Front Design, Black</v>
      </c>
      <c r="N158" s="16">
        <f>_xlfn.XLOOKUP(B158,DataSet!$N$2:$N$600,DataSet!$AA$2:$AA$600,0)</f>
        <v>80.88</v>
      </c>
      <c r="O158" s="10">
        <f>_xlfn.XLOOKUP(B158,DataSet!$N$2:$N$600,DataSet!$S$2:$S$600,0)</f>
        <v>6</v>
      </c>
      <c r="P158" s="15">
        <f>_xlfn.XLOOKUP(B158,DataSet!$N$2:$N$600,DataSet!$T$2:$T$600,0)</f>
        <v>0</v>
      </c>
      <c r="Q158" s="14">
        <f>_xlfn.XLOOKUP(B158,DataSet!$N$2:$N$600,DataSet!$U$2:$U$600,0)</f>
        <v>21.0288</v>
      </c>
      <c r="R158" s="16">
        <f>_xlfn.XLOOKUP(B158,DataSet!$N$2:$N$600,DataSet!$AB$2:$AB$600,0)</f>
        <v>485.28</v>
      </c>
      <c r="S158" s="9">
        <f>_xlfn.XLOOKUP(B158,DataSet!$N$2:$N$600,DataSet!$AC$2:$AC$600,0)</f>
        <v>485.28</v>
      </c>
    </row>
    <row r="159" spans="1:19" s="12" customFormat="1" x14ac:dyDescent="0.3">
      <c r="A159" s="27">
        <v>157</v>
      </c>
      <c r="B159" s="10" t="s">
        <v>639</v>
      </c>
      <c r="C159" s="10" t="str">
        <f>_xlfn.XLOOKUP(B159,DataSet!$N$2:$N$600,DataSet!$AF$2:$AF$600,0)</f>
        <v>118948</v>
      </c>
      <c r="D159" s="10" t="str">
        <f>_xlfn.XLOOKUP(B159,DataSet!$N$2:$N$600,DataSet!$G$2:$G$600,0)</f>
        <v>Neil Knudson</v>
      </c>
      <c r="E159" s="10" t="str">
        <f>_xlfn.XLOOKUP(B159,DataSet!$N$2:$N$600,DataSet!$F$2:$F$600,0)</f>
        <v>NK-18490</v>
      </c>
      <c r="F159" s="10" t="str">
        <f>_xlfn.XLOOKUP(B159,DataSet!$N$2:$N$600,DataSet!$W$2:$W$600,0)</f>
        <v>Home Office</v>
      </c>
      <c r="G159" s="13">
        <f>_xlfn.XLOOKUP(B159,DataSet!$N$2:$N$600,DataSet!$C$2:$C$600,0)</f>
        <v>42152</v>
      </c>
      <c r="H159" s="10" t="str">
        <f>_xlfn.XLOOKUP(B159,DataSet!$N$2:$N$600,DataSet!$I$2:$I$600,0)</f>
        <v>United States</v>
      </c>
      <c r="I159" s="10" t="str">
        <f>_xlfn.XLOOKUP(B159,DataSet!$N$2:$N$600,DataSet!$X$2:$X$600,0)</f>
        <v>Seattle - Washington</v>
      </c>
      <c r="J159" s="10" t="str">
        <f>_xlfn.XLOOKUP(B159,DataSet!$N$2:$N$600,DataSet!$M$2:$M$600,0)</f>
        <v>West</v>
      </c>
      <c r="K159" s="10" t="str">
        <f>_xlfn.XLOOKUP(B159,DataSet!$N$2:$N$600,DataSet!$O$2:$O$600,0)</f>
        <v>Office Supplies</v>
      </c>
      <c r="L159" s="10" t="str">
        <f>_xlfn.XLOOKUP(B159,DataSet!$N$2:$N$600,DataSet!$Y$2:$Y$600,0)</f>
        <v>Art</v>
      </c>
      <c r="M159" s="10" t="str">
        <f>_xlfn.XLOOKUP(B159,DataSet!$N$2:$N$600,DataSet!$Q$2:$Q$600,0)</f>
        <v>Newell 311</v>
      </c>
      <c r="N159" s="16">
        <f>_xlfn.XLOOKUP(B159,DataSet!$N$2:$N$600,DataSet!$AA$2:$AA$600,0)</f>
        <v>6.63</v>
      </c>
      <c r="O159" s="10">
        <f>_xlfn.XLOOKUP(B159,DataSet!$N$2:$N$600,DataSet!$S$2:$S$600,0)</f>
        <v>3</v>
      </c>
      <c r="P159" s="15">
        <f>_xlfn.XLOOKUP(B159,DataSet!$N$2:$N$600,DataSet!$T$2:$T$600,0)</f>
        <v>0</v>
      </c>
      <c r="Q159" s="14">
        <f>_xlfn.XLOOKUP(B159,DataSet!$N$2:$N$600,DataSet!$U$2:$U$600,0)</f>
        <v>1.7901</v>
      </c>
      <c r="R159" s="16">
        <f>_xlfn.XLOOKUP(B159,DataSet!$N$2:$N$600,DataSet!$AB$2:$AB$600,0)</f>
        <v>19.89</v>
      </c>
      <c r="S159" s="9">
        <f>_xlfn.XLOOKUP(B159,DataSet!$N$2:$N$600,DataSet!$AC$2:$AC$600,0)</f>
        <v>19.89</v>
      </c>
    </row>
    <row r="160" spans="1:19" s="12" customFormat="1" x14ac:dyDescent="0.3">
      <c r="A160" s="27">
        <v>158</v>
      </c>
      <c r="B160" s="10" t="s">
        <v>531</v>
      </c>
      <c r="C160" s="10" t="str">
        <f>_xlfn.XLOOKUP(B160,DataSet!$N$2:$N$600,DataSet!$AF$2:$AF$600,0)</f>
        <v>152030</v>
      </c>
      <c r="D160" s="10" t="str">
        <f>_xlfn.XLOOKUP(B160,DataSet!$N$2:$N$600,DataSet!$G$2:$G$600,0)</f>
        <v>Alan Dominguez</v>
      </c>
      <c r="E160" s="10" t="str">
        <f>_xlfn.XLOOKUP(B160,DataSet!$N$2:$N$600,DataSet!$F$2:$F$600,0)</f>
        <v>AD-10180</v>
      </c>
      <c r="F160" s="10" t="str">
        <f>_xlfn.XLOOKUP(B160,DataSet!$N$2:$N$600,DataSet!$W$2:$W$600,0)</f>
        <v>Home Office</v>
      </c>
      <c r="G160" s="13">
        <f>_xlfn.XLOOKUP(B160,DataSet!$N$2:$N$600,DataSet!$C$2:$C$600,0)</f>
        <v>41999</v>
      </c>
      <c r="H160" s="10" t="str">
        <f>_xlfn.XLOOKUP(B160,DataSet!$N$2:$N$600,DataSet!$I$2:$I$600,0)</f>
        <v>United States</v>
      </c>
      <c r="I160" s="10" t="str">
        <f>_xlfn.XLOOKUP(B160,DataSet!$N$2:$N$600,DataSet!$X$2:$X$600,0)</f>
        <v>Houston - Texas</v>
      </c>
      <c r="J160" s="10" t="str">
        <f>_xlfn.XLOOKUP(B160,DataSet!$N$2:$N$600,DataSet!$M$2:$M$600,0)</f>
        <v>Central</v>
      </c>
      <c r="K160" s="10" t="str">
        <f>_xlfn.XLOOKUP(B160,DataSet!$N$2:$N$600,DataSet!$O$2:$O$600,0)</f>
        <v>Furniture</v>
      </c>
      <c r="L160" s="10" t="str">
        <f>_xlfn.XLOOKUP(B160,DataSet!$N$2:$N$600,DataSet!$Y$2:$Y$600,0)</f>
        <v>Chairs</v>
      </c>
      <c r="M160" s="10" t="str">
        <f>_xlfn.XLOOKUP(B160,DataSet!$N$2:$N$600,DataSet!$Q$2:$Q$600,0)</f>
        <v>Global Deluxe High-Back Manager's Chair</v>
      </c>
      <c r="N160" s="16">
        <f ca="1">_xlfn.XLOOKUP(B160,DataSet!$N$2:$N$600,DataSet!$AA$2:$AA$600,0)</f>
        <v>503</v>
      </c>
      <c r="O160" s="10">
        <f>_xlfn.XLOOKUP(B160,DataSet!$N$2:$N$600,DataSet!$S$2:$S$600,0)</f>
        <v>3</v>
      </c>
      <c r="P160" s="15">
        <f>_xlfn.XLOOKUP(B160,DataSet!$N$2:$N$600,DataSet!$T$2:$T$600,0)</f>
        <v>0.3</v>
      </c>
      <c r="Q160" s="14">
        <f>_xlfn.XLOOKUP(B160,DataSet!$N$2:$N$600,DataSet!$U$2:$U$600,0)</f>
        <v>-8.5793999999999997</v>
      </c>
      <c r="R160" s="16">
        <f ca="1">_xlfn.XLOOKUP(B160,DataSet!$N$2:$N$600,DataSet!$AB$2:$AB$600,0)</f>
        <v>1509</v>
      </c>
      <c r="S160" s="9">
        <f ca="1">_xlfn.XLOOKUP(B160,DataSet!$N$2:$N$600,DataSet!$AC$2:$AC$600,0)</f>
        <v>1056.3</v>
      </c>
    </row>
    <row r="161" spans="1:19" s="12" customFormat="1" x14ac:dyDescent="0.3">
      <c r="A161" s="27">
        <v>159</v>
      </c>
      <c r="B161" s="10" t="s">
        <v>649</v>
      </c>
      <c r="C161" s="10" t="str">
        <f>_xlfn.XLOOKUP(B161,DataSet!$N$2:$N$600,DataSet!$AF$2:$AF$600,0)</f>
        <v>114104</v>
      </c>
      <c r="D161" s="10" t="str">
        <f>_xlfn.XLOOKUP(B161,DataSet!$N$2:$N$600,DataSet!$G$2:$G$600,0)</f>
        <v>Nora Paige</v>
      </c>
      <c r="E161" s="10" t="str">
        <f>_xlfn.XLOOKUP(B161,DataSet!$N$2:$N$600,DataSet!$F$2:$F$600,0)</f>
        <v>NP-18670</v>
      </c>
      <c r="F161" s="10" t="str">
        <f>_xlfn.XLOOKUP(B161,DataSet!$N$2:$N$600,DataSet!$W$2:$W$600,0)</f>
        <v>Consumer</v>
      </c>
      <c r="G161" s="13">
        <f>_xlfn.XLOOKUP(B161,DataSet!$N$2:$N$600,DataSet!$C$2:$C$600,0)</f>
        <v>42694</v>
      </c>
      <c r="H161" s="10" t="str">
        <f>_xlfn.XLOOKUP(B161,DataSet!$N$2:$N$600,DataSet!$I$2:$I$600,0)</f>
        <v>United States</v>
      </c>
      <c r="I161" s="10" t="str">
        <f>_xlfn.XLOOKUP(B161,DataSet!$N$2:$N$600,DataSet!$X$2:$X$600,0)</f>
        <v>Edmond - Oklahoma</v>
      </c>
      <c r="J161" s="10" t="str">
        <f>_xlfn.XLOOKUP(B161,DataSet!$N$2:$N$600,DataSet!$M$2:$M$600,0)</f>
        <v>Central</v>
      </c>
      <c r="K161" s="10" t="str">
        <f>_xlfn.XLOOKUP(B161,DataSet!$N$2:$N$600,DataSet!$O$2:$O$600,0)</f>
        <v>Office Supplies</v>
      </c>
      <c r="L161" s="10" t="str">
        <f>_xlfn.XLOOKUP(B161,DataSet!$N$2:$N$600,DataSet!$Y$2:$Y$600,0)</f>
        <v>Labels</v>
      </c>
      <c r="M161" s="10" t="str">
        <f>_xlfn.XLOOKUP(B161,DataSet!$N$2:$N$600,DataSet!$Q$2:$Q$600,0)</f>
        <v>Avery 519</v>
      </c>
      <c r="N161" s="16">
        <f>_xlfn.XLOOKUP(B161,DataSet!$N$2:$N$600,DataSet!$AA$2:$AA$600,0)</f>
        <v>14.62</v>
      </c>
      <c r="O161" s="10">
        <f>_xlfn.XLOOKUP(B161,DataSet!$N$2:$N$600,DataSet!$S$2:$S$600,0)</f>
        <v>2</v>
      </c>
      <c r="P161" s="15">
        <f>_xlfn.XLOOKUP(B161,DataSet!$N$2:$N$600,DataSet!$T$2:$T$600,0)</f>
        <v>0</v>
      </c>
      <c r="Q161" s="14">
        <f>_xlfn.XLOOKUP(B161,DataSet!$N$2:$N$600,DataSet!$U$2:$U$600,0)</f>
        <v>6.8714000000000004</v>
      </c>
      <c r="R161" s="16">
        <f>_xlfn.XLOOKUP(B161,DataSet!$N$2:$N$600,DataSet!$AB$2:$AB$600,0)</f>
        <v>29.24</v>
      </c>
      <c r="S161" s="9">
        <f>_xlfn.XLOOKUP(B161,DataSet!$N$2:$N$600,DataSet!$AC$2:$AC$600,0)</f>
        <v>29.24</v>
      </c>
    </row>
    <row r="162" spans="1:19" s="12" customFormat="1" x14ac:dyDescent="0.3">
      <c r="A162" s="27">
        <v>160</v>
      </c>
      <c r="B162" s="10" t="s">
        <v>651</v>
      </c>
      <c r="C162" s="10" t="str">
        <f>_xlfn.XLOOKUP(B162,DataSet!$N$2:$N$600,DataSet!$AF$2:$AF$600,0)</f>
        <v>114104</v>
      </c>
      <c r="D162" s="10" t="str">
        <f>_xlfn.XLOOKUP(B162,DataSet!$N$2:$N$600,DataSet!$G$2:$G$600,0)</f>
        <v>Nora Paige</v>
      </c>
      <c r="E162" s="10" t="str">
        <f>_xlfn.XLOOKUP(B162,DataSet!$N$2:$N$600,DataSet!$F$2:$F$600,0)</f>
        <v>NP-18670</v>
      </c>
      <c r="F162" s="10" t="str">
        <f>_xlfn.XLOOKUP(B162,DataSet!$N$2:$N$600,DataSet!$W$2:$W$600,0)</f>
        <v>Consumer</v>
      </c>
      <c r="G162" s="13">
        <f>_xlfn.XLOOKUP(B162,DataSet!$N$2:$N$600,DataSet!$C$2:$C$600,0)</f>
        <v>42694</v>
      </c>
      <c r="H162" s="10" t="str">
        <f>_xlfn.XLOOKUP(B162,DataSet!$N$2:$N$600,DataSet!$I$2:$I$600,0)</f>
        <v>United States</v>
      </c>
      <c r="I162" s="10" t="str">
        <f>_xlfn.XLOOKUP(B162,DataSet!$N$2:$N$600,DataSet!$X$2:$X$600,0)</f>
        <v>Edmond - Oklahoma</v>
      </c>
      <c r="J162" s="10" t="str">
        <f>_xlfn.XLOOKUP(B162,DataSet!$N$2:$N$600,DataSet!$M$2:$M$600,0)</f>
        <v>Central</v>
      </c>
      <c r="K162" s="10" t="str">
        <f>_xlfn.XLOOKUP(B162,DataSet!$N$2:$N$600,DataSet!$O$2:$O$600,0)</f>
        <v>Technology</v>
      </c>
      <c r="L162" s="10" t="str">
        <f>_xlfn.XLOOKUP(B162,DataSet!$N$2:$N$600,DataSet!$Y$2:$Y$600,0)</f>
        <v>Phones</v>
      </c>
      <c r="M162" s="10" t="str">
        <f>_xlfn.XLOOKUP(B162,DataSet!$N$2:$N$600,DataSet!$Q$2:$Q$600,0)</f>
        <v>Avaya 5420 Digital phone</v>
      </c>
      <c r="N162" s="16">
        <f>_xlfn.XLOOKUP(B162,DataSet!$N$2:$N$600,DataSet!$AA$2:$AA$600,0)</f>
        <v>944.93</v>
      </c>
      <c r="O162" s="10">
        <f>_xlfn.XLOOKUP(B162,DataSet!$N$2:$N$600,DataSet!$S$2:$S$600,0)</f>
        <v>7</v>
      </c>
      <c r="P162" s="15">
        <f>_xlfn.XLOOKUP(B162,DataSet!$N$2:$N$600,DataSet!$T$2:$T$600,0)</f>
        <v>0</v>
      </c>
      <c r="Q162" s="14">
        <f>_xlfn.XLOOKUP(B162,DataSet!$N$2:$N$600,DataSet!$U$2:$U$600,0)</f>
        <v>236.23249999999999</v>
      </c>
      <c r="R162" s="16">
        <f>_xlfn.XLOOKUP(B162,DataSet!$N$2:$N$600,DataSet!$AB$2:$AB$600,0)</f>
        <v>6614.5099999999993</v>
      </c>
      <c r="S162" s="9">
        <f>_xlfn.XLOOKUP(B162,DataSet!$N$2:$N$600,DataSet!$AC$2:$AC$600,0)</f>
        <v>6614.5099999999993</v>
      </c>
    </row>
    <row r="163" spans="1:19" s="12" customFormat="1" x14ac:dyDescent="0.3">
      <c r="A163" s="27">
        <v>161</v>
      </c>
      <c r="B163" s="10" t="s">
        <v>656</v>
      </c>
      <c r="C163" s="10" t="str">
        <f>_xlfn.XLOOKUP(B163,DataSet!$N$2:$N$600,DataSet!$AF$2:$AF$600,0)</f>
        <v>162733</v>
      </c>
      <c r="D163" s="10" t="str">
        <f>_xlfn.XLOOKUP(B163,DataSet!$N$2:$N$600,DataSet!$G$2:$G$600,0)</f>
        <v>Ted Trevino</v>
      </c>
      <c r="E163" s="10" t="str">
        <f>_xlfn.XLOOKUP(B163,DataSet!$N$2:$N$600,DataSet!$F$2:$F$600,0)</f>
        <v>TT-21070</v>
      </c>
      <c r="F163" s="10" t="str">
        <f>_xlfn.XLOOKUP(B163,DataSet!$N$2:$N$600,DataSet!$W$2:$W$600,0)</f>
        <v>Consumer</v>
      </c>
      <c r="G163" s="13">
        <f>_xlfn.XLOOKUP(B163,DataSet!$N$2:$N$600,DataSet!$C$2:$C$600,0)</f>
        <v>42501</v>
      </c>
      <c r="H163" s="10" t="str">
        <f>_xlfn.XLOOKUP(B163,DataSet!$N$2:$N$600,DataSet!$I$2:$I$600,0)</f>
        <v>United States</v>
      </c>
      <c r="I163" s="10" t="str">
        <f>_xlfn.XLOOKUP(B163,DataSet!$N$2:$N$600,DataSet!$X$2:$X$600,0)</f>
        <v>Los Angeles - California</v>
      </c>
      <c r="J163" s="10" t="str">
        <f>_xlfn.XLOOKUP(B163,DataSet!$N$2:$N$600,DataSet!$M$2:$M$600,0)</f>
        <v>West</v>
      </c>
      <c r="K163" s="10" t="str">
        <f>_xlfn.XLOOKUP(B163,DataSet!$N$2:$N$600,DataSet!$O$2:$O$600,0)</f>
        <v>Office Supplies</v>
      </c>
      <c r="L163" s="10" t="str">
        <f>_xlfn.XLOOKUP(B163,DataSet!$N$2:$N$600,DataSet!$Y$2:$Y$600,0)</f>
        <v>Paper</v>
      </c>
      <c r="M163" s="10" t="str">
        <f>_xlfn.XLOOKUP(B163,DataSet!$N$2:$N$600,DataSet!$Q$2:$Q$600,0)</f>
        <v>Xerox 1920</v>
      </c>
      <c r="N163" s="16">
        <f>_xlfn.XLOOKUP(B163,DataSet!$N$2:$N$600,DataSet!$AA$2:$AA$600,0)</f>
        <v>5.98</v>
      </c>
      <c r="O163" s="10">
        <f>_xlfn.XLOOKUP(B163,DataSet!$N$2:$N$600,DataSet!$S$2:$S$600,0)</f>
        <v>1</v>
      </c>
      <c r="P163" s="15">
        <f>_xlfn.XLOOKUP(B163,DataSet!$N$2:$N$600,DataSet!$T$2:$T$600,0)</f>
        <v>0</v>
      </c>
      <c r="Q163" s="14">
        <f>_xlfn.XLOOKUP(B163,DataSet!$N$2:$N$600,DataSet!$U$2:$U$600,0)</f>
        <v>2.6909999999999998</v>
      </c>
      <c r="R163" s="16">
        <f>_xlfn.XLOOKUP(B163,DataSet!$N$2:$N$600,DataSet!$AB$2:$AB$600,0)</f>
        <v>5.98</v>
      </c>
      <c r="S163" s="9">
        <f>_xlfn.XLOOKUP(B163,DataSet!$N$2:$N$600,DataSet!$AC$2:$AC$600,0)</f>
        <v>5.98</v>
      </c>
    </row>
    <row r="164" spans="1:19" s="12" customFormat="1" x14ac:dyDescent="0.3">
      <c r="A164" s="27">
        <v>162</v>
      </c>
      <c r="B164" s="10" t="s">
        <v>661</v>
      </c>
      <c r="C164" s="10" t="str">
        <f>_xlfn.XLOOKUP(B164,DataSet!$N$2:$N$600,DataSet!$AF$2:$AF$600,0)</f>
        <v>119697</v>
      </c>
      <c r="D164" s="10" t="str">
        <f>_xlfn.XLOOKUP(B164,DataSet!$N$2:$N$600,DataSet!$G$2:$G$600,0)</f>
        <v>Eric Murdock</v>
      </c>
      <c r="E164" s="10" t="str">
        <f>_xlfn.XLOOKUP(B164,DataSet!$N$2:$N$600,DataSet!$F$2:$F$600,0)</f>
        <v>EM-13960</v>
      </c>
      <c r="F164" s="10" t="str">
        <f>_xlfn.XLOOKUP(B164,DataSet!$N$2:$N$600,DataSet!$W$2:$W$600,0)</f>
        <v>Consumer</v>
      </c>
      <c r="G164" s="13">
        <f>_xlfn.XLOOKUP(B164,DataSet!$N$2:$N$600,DataSet!$C$2:$C$600,0)</f>
        <v>42366</v>
      </c>
      <c r="H164" s="10" t="str">
        <f>_xlfn.XLOOKUP(B164,DataSet!$N$2:$N$600,DataSet!$I$2:$I$600,0)</f>
        <v>United States</v>
      </c>
      <c r="I164" s="10" t="str">
        <f>_xlfn.XLOOKUP(B164,DataSet!$N$2:$N$600,DataSet!$X$2:$X$600,0)</f>
        <v>Philadelphia - Pennsylvania</v>
      </c>
      <c r="J164" s="10" t="str">
        <f>_xlfn.XLOOKUP(B164,DataSet!$N$2:$N$600,DataSet!$M$2:$M$600,0)</f>
        <v>East</v>
      </c>
      <c r="K164" s="10" t="str">
        <f>_xlfn.XLOOKUP(B164,DataSet!$N$2:$N$600,DataSet!$O$2:$O$600,0)</f>
        <v>Technology</v>
      </c>
      <c r="L164" s="10" t="str">
        <f>_xlfn.XLOOKUP(B164,DataSet!$N$2:$N$600,DataSet!$Y$2:$Y$600,0)</f>
        <v>Accessories</v>
      </c>
      <c r="M164" s="10" t="str">
        <f>_xlfn.XLOOKUP(B164,DataSet!$N$2:$N$600,DataSet!$Q$2:$Q$600,0)</f>
        <v>Lenovo 17-Key USB Numeric Keypad</v>
      </c>
      <c r="N164" s="16">
        <f>_xlfn.XLOOKUP(B164,DataSet!$N$2:$N$600,DataSet!$AA$2:$AA$600,0)</f>
        <v>54.384</v>
      </c>
      <c r="O164" s="10">
        <f>_xlfn.XLOOKUP(B164,DataSet!$N$2:$N$600,DataSet!$S$2:$S$600,0)</f>
        <v>2</v>
      </c>
      <c r="P164" s="15">
        <f>_xlfn.XLOOKUP(B164,DataSet!$N$2:$N$600,DataSet!$T$2:$T$600,0)</f>
        <v>0.2</v>
      </c>
      <c r="Q164" s="14">
        <f>_xlfn.XLOOKUP(B164,DataSet!$N$2:$N$600,DataSet!$U$2:$U$600,0)</f>
        <v>1.3595999999999999</v>
      </c>
      <c r="R164" s="16">
        <f>_xlfn.XLOOKUP(B164,DataSet!$N$2:$N$600,DataSet!$AB$2:$AB$600,0)</f>
        <v>108.768</v>
      </c>
      <c r="S164" s="9">
        <f>_xlfn.XLOOKUP(B164,DataSet!$N$2:$N$600,DataSet!$AC$2:$AC$600,0)</f>
        <v>87.014400000000009</v>
      </c>
    </row>
    <row r="165" spans="1:19" s="12" customFormat="1" x14ac:dyDescent="0.3">
      <c r="A165" s="27">
        <v>163</v>
      </c>
      <c r="B165" s="10" t="s">
        <v>668</v>
      </c>
      <c r="C165" s="10" t="str">
        <f>_xlfn.XLOOKUP(B165,DataSet!$N$2:$N$600,DataSet!$AF$2:$AF$600,0)</f>
        <v>154508</v>
      </c>
      <c r="D165" s="10" t="str">
        <f>_xlfn.XLOOKUP(B165,DataSet!$N$2:$N$600,DataSet!$G$2:$G$600,0)</f>
        <v>Ruben Dartt</v>
      </c>
      <c r="E165" s="10" t="str">
        <f>_xlfn.XLOOKUP(B165,DataSet!$N$2:$N$600,DataSet!$F$2:$F$600,0)</f>
        <v>RD-19900</v>
      </c>
      <c r="F165" s="10" t="str">
        <f>_xlfn.XLOOKUP(B165,DataSet!$N$2:$N$600,DataSet!$W$2:$W$600,0)</f>
        <v>Consumer</v>
      </c>
      <c r="G165" s="13">
        <f>_xlfn.XLOOKUP(B165,DataSet!$N$2:$N$600,DataSet!$C$2:$C$600,0)</f>
        <v>42690</v>
      </c>
      <c r="H165" s="10" t="str">
        <f>_xlfn.XLOOKUP(B165,DataSet!$N$2:$N$600,DataSet!$I$2:$I$600,0)</f>
        <v>United States</v>
      </c>
      <c r="I165" s="10" t="str">
        <f>_xlfn.XLOOKUP(B165,DataSet!$N$2:$N$600,DataSet!$X$2:$X$600,0)</f>
        <v>Carlsbad - New Mexico</v>
      </c>
      <c r="J165" s="10" t="str">
        <f>_xlfn.XLOOKUP(B165,DataSet!$N$2:$N$600,DataSet!$M$2:$M$600,0)</f>
        <v>West</v>
      </c>
      <c r="K165" s="10" t="str">
        <f>_xlfn.XLOOKUP(B165,DataSet!$N$2:$N$600,DataSet!$O$2:$O$600,0)</f>
        <v>Office Supplies</v>
      </c>
      <c r="L165" s="10" t="str">
        <f>_xlfn.XLOOKUP(B165,DataSet!$N$2:$N$600,DataSet!$Y$2:$Y$600,0)</f>
        <v>Envelopes</v>
      </c>
      <c r="M165" s="10" t="str">
        <f>_xlfn.XLOOKUP(B165,DataSet!$N$2:$N$600,DataSet!$Q$2:$Q$600,0)</f>
        <v>Staple envelope</v>
      </c>
      <c r="N165" s="16">
        <f>_xlfn.XLOOKUP(B165,DataSet!$N$2:$N$600,DataSet!$AA$2:$AA$600,0)</f>
        <v>28.4</v>
      </c>
      <c r="O165" s="10">
        <f>_xlfn.XLOOKUP(B165,DataSet!$N$2:$N$600,DataSet!$S$2:$S$600,0)</f>
        <v>5</v>
      </c>
      <c r="P165" s="15">
        <f>_xlfn.XLOOKUP(B165,DataSet!$N$2:$N$600,DataSet!$T$2:$T$600,0)</f>
        <v>0</v>
      </c>
      <c r="Q165" s="14">
        <f>_xlfn.XLOOKUP(B165,DataSet!$N$2:$N$600,DataSet!$U$2:$U$600,0)</f>
        <v>13.348000000000001</v>
      </c>
      <c r="R165" s="16">
        <f>_xlfn.XLOOKUP(B165,DataSet!$N$2:$N$600,DataSet!$AB$2:$AB$600,0)</f>
        <v>142</v>
      </c>
      <c r="S165" s="9">
        <f>_xlfn.XLOOKUP(B165,DataSet!$N$2:$N$600,DataSet!$AC$2:$AC$600,0)</f>
        <v>142</v>
      </c>
    </row>
    <row r="166" spans="1:19" s="12" customFormat="1" x14ac:dyDescent="0.3">
      <c r="A166" s="27">
        <v>164</v>
      </c>
      <c r="B166" s="10" t="s">
        <v>673</v>
      </c>
      <c r="C166" s="10" t="str">
        <f>_xlfn.XLOOKUP(B166,DataSet!$N$2:$N$600,DataSet!$AF$2:$AF$600,0)</f>
        <v>113817</v>
      </c>
      <c r="D166" s="10" t="str">
        <f>_xlfn.XLOOKUP(B166,DataSet!$N$2:$N$600,DataSet!$G$2:$G$600,0)</f>
        <v>Max Jones</v>
      </c>
      <c r="E166" s="10" t="str">
        <f>_xlfn.XLOOKUP(B166,DataSet!$N$2:$N$600,DataSet!$F$2:$F$600,0)</f>
        <v>MJ-17740</v>
      </c>
      <c r="F166" s="10" t="str">
        <f>_xlfn.XLOOKUP(B166,DataSet!$N$2:$N$600,DataSet!$W$2:$W$600,0)</f>
        <v>Consumer</v>
      </c>
      <c r="G166" s="13">
        <f>_xlfn.XLOOKUP(B166,DataSet!$N$2:$N$600,DataSet!$C$2:$C$600,0)</f>
        <v>42681</v>
      </c>
      <c r="H166" s="10" t="str">
        <f>_xlfn.XLOOKUP(B166,DataSet!$N$2:$N$600,DataSet!$I$2:$I$600,0)</f>
        <v>United States</v>
      </c>
      <c r="I166" s="10" t="str">
        <f>_xlfn.XLOOKUP(B166,DataSet!$N$2:$N$600,DataSet!$X$2:$X$600,0)</f>
        <v>Seattle - Washington</v>
      </c>
      <c r="J166" s="10" t="str">
        <f>_xlfn.XLOOKUP(B166,DataSet!$N$2:$N$600,DataSet!$M$2:$M$600,0)</f>
        <v>West</v>
      </c>
      <c r="K166" s="10" t="str">
        <f>_xlfn.XLOOKUP(B166,DataSet!$N$2:$N$600,DataSet!$O$2:$O$600,0)</f>
        <v>Office Supplies</v>
      </c>
      <c r="L166" s="10" t="str">
        <f>_xlfn.XLOOKUP(B166,DataSet!$N$2:$N$600,DataSet!$Y$2:$Y$600,0)</f>
        <v>Binders</v>
      </c>
      <c r="M166" s="10" t="str">
        <f>_xlfn.XLOOKUP(B166,DataSet!$N$2:$N$600,DataSet!$Q$2:$Q$600,0)</f>
        <v>Wilson Jones International Size A4 Ring Binders</v>
      </c>
      <c r="N166" s="16">
        <f>_xlfn.XLOOKUP(B166,DataSet!$N$2:$N$600,DataSet!$AA$2:$AA$600,0)</f>
        <v>27.68</v>
      </c>
      <c r="O166" s="10">
        <f>_xlfn.XLOOKUP(B166,DataSet!$N$2:$N$600,DataSet!$S$2:$S$600,0)</f>
        <v>2</v>
      </c>
      <c r="P166" s="15">
        <f>_xlfn.XLOOKUP(B166,DataSet!$N$2:$N$600,DataSet!$T$2:$T$600,0)</f>
        <v>0.2</v>
      </c>
      <c r="Q166" s="14">
        <f>_xlfn.XLOOKUP(B166,DataSet!$N$2:$N$600,DataSet!$U$2:$U$600,0)</f>
        <v>9.6880000000000006</v>
      </c>
      <c r="R166" s="16">
        <f>_xlfn.XLOOKUP(B166,DataSet!$N$2:$N$600,DataSet!$AB$2:$AB$600,0)</f>
        <v>55.36</v>
      </c>
      <c r="S166" s="9">
        <f>_xlfn.XLOOKUP(B166,DataSet!$N$2:$N$600,DataSet!$AC$2:$AC$600,0)</f>
        <v>44.288000000000004</v>
      </c>
    </row>
    <row r="167" spans="1:19" s="12" customFormat="1" x14ac:dyDescent="0.3">
      <c r="A167" s="27">
        <v>165</v>
      </c>
      <c r="B167" s="10" t="s">
        <v>679</v>
      </c>
      <c r="C167" s="10" t="str">
        <f>_xlfn.XLOOKUP(B167,DataSet!$N$2:$N$600,DataSet!$AF$2:$AF$600,0)</f>
        <v>139892</v>
      </c>
      <c r="D167" s="10" t="str">
        <f>_xlfn.XLOOKUP(B167,DataSet!$N$2:$N$600,DataSet!$G$2:$G$600,0)</f>
        <v>Becky Martin</v>
      </c>
      <c r="E167" s="10" t="str">
        <f>_xlfn.XLOOKUP(B167,DataSet!$N$2:$N$600,DataSet!$F$2:$F$600,0)</f>
        <v>BM-11140</v>
      </c>
      <c r="F167" s="10" t="str">
        <f>_xlfn.XLOOKUP(B167,DataSet!$N$2:$N$600,DataSet!$W$2:$W$600,0)</f>
        <v>Consumer</v>
      </c>
      <c r="G167" s="13">
        <f>_xlfn.XLOOKUP(B167,DataSet!$N$2:$N$600,DataSet!$C$2:$C$600,0)</f>
        <v>41890</v>
      </c>
      <c r="H167" s="10" t="str">
        <f>_xlfn.XLOOKUP(B167,DataSet!$N$2:$N$600,DataSet!$I$2:$I$600,0)</f>
        <v>United States</v>
      </c>
      <c r="I167" s="10" t="str">
        <f>_xlfn.XLOOKUP(B167,DataSet!$N$2:$N$600,DataSet!$X$2:$X$600,0)</f>
        <v>San Antonio - Texas</v>
      </c>
      <c r="J167" s="10" t="str">
        <f>_xlfn.XLOOKUP(B167,DataSet!$N$2:$N$600,DataSet!$M$2:$M$600,0)</f>
        <v>Central</v>
      </c>
      <c r="K167" s="10" t="str">
        <f>_xlfn.XLOOKUP(B167,DataSet!$N$2:$N$600,DataSet!$O$2:$O$600,0)</f>
        <v>Office Supplies</v>
      </c>
      <c r="L167" s="10" t="str">
        <f>_xlfn.XLOOKUP(B167,DataSet!$N$2:$N$600,DataSet!$Y$2:$Y$600,0)</f>
        <v>Art</v>
      </c>
      <c r="M167" s="10" t="str">
        <f>_xlfn.XLOOKUP(B167,DataSet!$N$2:$N$600,DataSet!$Q$2:$Q$600,0)</f>
        <v>BIC Brite Liner Highlighters</v>
      </c>
      <c r="N167" s="16">
        <f>_xlfn.XLOOKUP(B167,DataSet!$N$2:$N$600,DataSet!$AA$2:$AA$600,0)</f>
        <v>9.9359999999999999</v>
      </c>
      <c r="O167" s="10">
        <f>_xlfn.XLOOKUP(B167,DataSet!$N$2:$N$600,DataSet!$S$2:$S$600,0)</f>
        <v>3</v>
      </c>
      <c r="P167" s="15">
        <f>_xlfn.XLOOKUP(B167,DataSet!$N$2:$N$600,DataSet!$T$2:$T$600,0)</f>
        <v>0.2</v>
      </c>
      <c r="Q167" s="14">
        <f>_xlfn.XLOOKUP(B167,DataSet!$N$2:$N$600,DataSet!$U$2:$U$600,0)</f>
        <v>2.7324000000000002</v>
      </c>
      <c r="R167" s="16">
        <f>_xlfn.XLOOKUP(B167,DataSet!$N$2:$N$600,DataSet!$AB$2:$AB$600,0)</f>
        <v>29.808</v>
      </c>
      <c r="S167" s="9">
        <f>_xlfn.XLOOKUP(B167,DataSet!$N$2:$N$600,DataSet!$AC$2:$AC$600,0)</f>
        <v>23.846400000000003</v>
      </c>
    </row>
    <row r="168" spans="1:19" s="12" customFormat="1" x14ac:dyDescent="0.3">
      <c r="A168" s="27">
        <v>166</v>
      </c>
      <c r="B168" s="10" t="s">
        <v>681</v>
      </c>
      <c r="C168" s="10" t="str">
        <f>_xlfn.XLOOKUP(B168,DataSet!$N$2:$N$600,DataSet!$AF$2:$AF$600,0)</f>
        <v>139892</v>
      </c>
      <c r="D168" s="10" t="str">
        <f>_xlfn.XLOOKUP(B168,DataSet!$N$2:$N$600,DataSet!$G$2:$G$600,0)</f>
        <v>Becky Martin</v>
      </c>
      <c r="E168" s="10" t="str">
        <f>_xlfn.XLOOKUP(B168,DataSet!$N$2:$N$600,DataSet!$F$2:$F$600,0)</f>
        <v>BM-11140</v>
      </c>
      <c r="F168" s="10" t="str">
        <f>_xlfn.XLOOKUP(B168,DataSet!$N$2:$N$600,DataSet!$W$2:$W$600,0)</f>
        <v>Consumer</v>
      </c>
      <c r="G168" s="13">
        <f>_xlfn.XLOOKUP(B168,DataSet!$N$2:$N$600,DataSet!$C$2:$C$600,0)</f>
        <v>41890</v>
      </c>
      <c r="H168" s="10" t="str">
        <f>_xlfn.XLOOKUP(B168,DataSet!$N$2:$N$600,DataSet!$I$2:$I$600,0)</f>
        <v>United States</v>
      </c>
      <c r="I168" s="10" t="str">
        <f>_xlfn.XLOOKUP(B168,DataSet!$N$2:$N$600,DataSet!$X$2:$X$600,0)</f>
        <v>San Antonio - Texas</v>
      </c>
      <c r="J168" s="10" t="str">
        <f>_xlfn.XLOOKUP(B168,DataSet!$N$2:$N$600,DataSet!$M$2:$M$600,0)</f>
        <v>Central</v>
      </c>
      <c r="K168" s="10" t="str">
        <f>_xlfn.XLOOKUP(B168,DataSet!$N$2:$N$600,DataSet!$O$2:$O$600,0)</f>
        <v>Technology</v>
      </c>
      <c r="L168" s="10" t="str">
        <f>_xlfn.XLOOKUP(B168,DataSet!$N$2:$N$600,DataSet!$Y$2:$Y$600,0)</f>
        <v>Machines</v>
      </c>
      <c r="M168" s="10" t="str">
        <f>_xlfn.XLOOKUP(B168,DataSet!$N$2:$N$600,DataSet!$Q$2:$Q$600,0)</f>
        <v>Lexmark MX611dhe Monochrome Laser Printer</v>
      </c>
      <c r="N168" s="16">
        <f>_xlfn.XLOOKUP(B168,DataSet!$N$2:$N$600,DataSet!$AA$2:$AA$600,0)</f>
        <v>8159.9520000000002</v>
      </c>
      <c r="O168" s="10">
        <f>_xlfn.XLOOKUP(B168,DataSet!$N$2:$N$600,DataSet!$S$2:$S$600,0)</f>
        <v>8</v>
      </c>
      <c r="P168" s="15">
        <f>_xlfn.XLOOKUP(B168,DataSet!$N$2:$N$600,DataSet!$T$2:$T$600,0)</f>
        <v>0.4</v>
      </c>
      <c r="Q168" s="14">
        <f>_xlfn.XLOOKUP(B168,DataSet!$N$2:$N$600,DataSet!$U$2:$U$600,0)</f>
        <v>-1359.992</v>
      </c>
      <c r="R168" s="16">
        <f>_xlfn.XLOOKUP(B168,DataSet!$N$2:$N$600,DataSet!$AB$2:$AB$600,0)</f>
        <v>65279.616000000002</v>
      </c>
      <c r="S168" s="9">
        <f>_xlfn.XLOOKUP(B168,DataSet!$N$2:$N$600,DataSet!$AC$2:$AC$600,0)</f>
        <v>39167.7696</v>
      </c>
    </row>
    <row r="169" spans="1:19" s="12" customFormat="1" x14ac:dyDescent="0.3">
      <c r="A169" s="27">
        <v>167</v>
      </c>
      <c r="B169" s="10" t="s">
        <v>684</v>
      </c>
      <c r="C169" s="10" t="str">
        <f>_xlfn.XLOOKUP(B169,DataSet!$N$2:$N$600,DataSet!$AF$2:$AF$600,0)</f>
        <v>139892</v>
      </c>
      <c r="D169" s="10" t="str">
        <f>_xlfn.XLOOKUP(B169,DataSet!$N$2:$N$600,DataSet!$G$2:$G$600,0)</f>
        <v>Becky Martin</v>
      </c>
      <c r="E169" s="10" t="str">
        <f>_xlfn.XLOOKUP(B169,DataSet!$N$2:$N$600,DataSet!$F$2:$F$600,0)</f>
        <v>BM-11140</v>
      </c>
      <c r="F169" s="10" t="str">
        <f>_xlfn.XLOOKUP(B169,DataSet!$N$2:$N$600,DataSet!$W$2:$W$600,0)</f>
        <v>Consumer</v>
      </c>
      <c r="G169" s="13">
        <f>_xlfn.XLOOKUP(B169,DataSet!$N$2:$N$600,DataSet!$C$2:$C$600,0)</f>
        <v>41890</v>
      </c>
      <c r="H169" s="10" t="str">
        <f>_xlfn.XLOOKUP(B169,DataSet!$N$2:$N$600,DataSet!$I$2:$I$600,0)</f>
        <v>United States</v>
      </c>
      <c r="I169" s="10" t="str">
        <f>_xlfn.XLOOKUP(B169,DataSet!$N$2:$N$600,DataSet!$X$2:$X$600,0)</f>
        <v>San Antonio - Texas</v>
      </c>
      <c r="J169" s="10" t="str">
        <f>_xlfn.XLOOKUP(B169,DataSet!$N$2:$N$600,DataSet!$M$2:$M$600,0)</f>
        <v>Central</v>
      </c>
      <c r="K169" s="10" t="str">
        <f>_xlfn.XLOOKUP(B169,DataSet!$N$2:$N$600,DataSet!$O$2:$O$600,0)</f>
        <v>Office Supplies</v>
      </c>
      <c r="L169" s="10" t="str">
        <f>_xlfn.XLOOKUP(B169,DataSet!$N$2:$N$600,DataSet!$Y$2:$Y$600,0)</f>
        <v>Storage</v>
      </c>
      <c r="M169" s="10" t="str">
        <f>_xlfn.XLOOKUP(B169,DataSet!$N$2:$N$600,DataSet!$Q$2:$Q$600,0)</f>
        <v>Space Solutions HD Industrial Steel Shelving.</v>
      </c>
      <c r="N169" s="16">
        <f>_xlfn.XLOOKUP(B169,DataSet!$N$2:$N$600,DataSet!$AA$2:$AA$600,0)</f>
        <v>275.928</v>
      </c>
      <c r="O169" s="10">
        <f>_xlfn.XLOOKUP(B169,DataSet!$N$2:$N$600,DataSet!$S$2:$S$600,0)</f>
        <v>3</v>
      </c>
      <c r="P169" s="15">
        <f>_xlfn.XLOOKUP(B169,DataSet!$N$2:$N$600,DataSet!$T$2:$T$600,0)</f>
        <v>0.2</v>
      </c>
      <c r="Q169" s="14">
        <f>_xlfn.XLOOKUP(B169,DataSet!$N$2:$N$600,DataSet!$U$2:$U$600,0)</f>
        <v>-58.634700000000002</v>
      </c>
      <c r="R169" s="16">
        <f>_xlfn.XLOOKUP(B169,DataSet!$N$2:$N$600,DataSet!$AB$2:$AB$600,0)</f>
        <v>827.78399999999999</v>
      </c>
      <c r="S169" s="9">
        <f>_xlfn.XLOOKUP(B169,DataSet!$N$2:$N$600,DataSet!$AC$2:$AC$600,0)</f>
        <v>662.22720000000004</v>
      </c>
    </row>
    <row r="170" spans="1:19" s="12" customFormat="1" x14ac:dyDescent="0.3">
      <c r="A170" s="27">
        <v>168</v>
      </c>
      <c r="B170" s="10" t="s">
        <v>686</v>
      </c>
      <c r="C170" s="10" t="str">
        <f>_xlfn.XLOOKUP(B170,DataSet!$N$2:$N$600,DataSet!$AF$2:$AF$600,0)</f>
        <v>139892</v>
      </c>
      <c r="D170" s="10" t="str">
        <f>_xlfn.XLOOKUP(B170,DataSet!$N$2:$N$600,DataSet!$G$2:$G$600,0)</f>
        <v>Becky Martin</v>
      </c>
      <c r="E170" s="10" t="str">
        <f>_xlfn.XLOOKUP(B170,DataSet!$N$2:$N$600,DataSet!$F$2:$F$600,0)</f>
        <v>BM-11140</v>
      </c>
      <c r="F170" s="10" t="str">
        <f>_xlfn.XLOOKUP(B170,DataSet!$N$2:$N$600,DataSet!$W$2:$W$600,0)</f>
        <v>Consumer</v>
      </c>
      <c r="G170" s="13">
        <f>_xlfn.XLOOKUP(B170,DataSet!$N$2:$N$600,DataSet!$C$2:$C$600,0)</f>
        <v>41890</v>
      </c>
      <c r="H170" s="10" t="str">
        <f>_xlfn.XLOOKUP(B170,DataSet!$N$2:$N$600,DataSet!$I$2:$I$600,0)</f>
        <v>United States</v>
      </c>
      <c r="I170" s="10" t="str">
        <f>_xlfn.XLOOKUP(B170,DataSet!$N$2:$N$600,DataSet!$X$2:$X$600,0)</f>
        <v>San Antonio - Texas</v>
      </c>
      <c r="J170" s="10" t="str">
        <f>_xlfn.XLOOKUP(B170,DataSet!$N$2:$N$600,DataSet!$M$2:$M$600,0)</f>
        <v>Central</v>
      </c>
      <c r="K170" s="10" t="str">
        <f>_xlfn.XLOOKUP(B170,DataSet!$N$2:$N$600,DataSet!$O$2:$O$600,0)</f>
        <v>Furniture</v>
      </c>
      <c r="L170" s="10" t="str">
        <f>_xlfn.XLOOKUP(B170,DataSet!$N$2:$N$600,DataSet!$Y$2:$Y$600,0)</f>
        <v>Chairs</v>
      </c>
      <c r="M170" s="10" t="str">
        <f>_xlfn.XLOOKUP(B170,DataSet!$N$2:$N$600,DataSet!$Q$2:$Q$600,0)</f>
        <v>SAFCO Arco Folding Chair</v>
      </c>
      <c r="N170" s="16">
        <f>_xlfn.XLOOKUP(B170,DataSet!$N$2:$N$600,DataSet!$AA$2:$AA$600,0)</f>
        <v>1740.06</v>
      </c>
      <c r="O170" s="10">
        <f>_xlfn.XLOOKUP(B170,DataSet!$N$2:$N$600,DataSet!$S$2:$S$600,0)</f>
        <v>9</v>
      </c>
      <c r="P170" s="15">
        <f>_xlfn.XLOOKUP(B170,DataSet!$N$2:$N$600,DataSet!$T$2:$T$600,0)</f>
        <v>0.3</v>
      </c>
      <c r="Q170" s="14">
        <f>_xlfn.XLOOKUP(B170,DataSet!$N$2:$N$600,DataSet!$U$2:$U$600,0)</f>
        <v>-24.858000000000001</v>
      </c>
      <c r="R170" s="16">
        <f>_xlfn.XLOOKUP(B170,DataSet!$N$2:$N$600,DataSet!$AB$2:$AB$600,0)</f>
        <v>15660.539999999999</v>
      </c>
      <c r="S170" s="9">
        <f>_xlfn.XLOOKUP(B170,DataSet!$N$2:$N$600,DataSet!$AC$2:$AC$600,0)</f>
        <v>10962.377999999999</v>
      </c>
    </row>
    <row r="171" spans="1:19" s="12" customFormat="1" x14ac:dyDescent="0.3">
      <c r="A171" s="27">
        <v>169</v>
      </c>
      <c r="B171" s="10" t="s">
        <v>688</v>
      </c>
      <c r="C171" s="10" t="str">
        <f>_xlfn.XLOOKUP(B171,DataSet!$N$2:$N$600,DataSet!$AF$2:$AF$600,0)</f>
        <v>139892</v>
      </c>
      <c r="D171" s="10" t="str">
        <f>_xlfn.XLOOKUP(B171,DataSet!$N$2:$N$600,DataSet!$G$2:$G$600,0)</f>
        <v>Becky Martin</v>
      </c>
      <c r="E171" s="10" t="str">
        <f>_xlfn.XLOOKUP(B171,DataSet!$N$2:$N$600,DataSet!$F$2:$F$600,0)</f>
        <v>BM-11140</v>
      </c>
      <c r="F171" s="10" t="str">
        <f>_xlfn.XLOOKUP(B171,DataSet!$N$2:$N$600,DataSet!$W$2:$W$600,0)</f>
        <v>Consumer</v>
      </c>
      <c r="G171" s="13">
        <f>_xlfn.XLOOKUP(B171,DataSet!$N$2:$N$600,DataSet!$C$2:$C$600,0)</f>
        <v>41890</v>
      </c>
      <c r="H171" s="10" t="str">
        <f>_xlfn.XLOOKUP(B171,DataSet!$N$2:$N$600,DataSet!$I$2:$I$600,0)</f>
        <v>United States</v>
      </c>
      <c r="I171" s="10" t="str">
        <f>_xlfn.XLOOKUP(B171,DataSet!$N$2:$N$600,DataSet!$X$2:$X$600,0)</f>
        <v>San Antonio - Texas</v>
      </c>
      <c r="J171" s="10" t="str">
        <f>_xlfn.XLOOKUP(B171,DataSet!$N$2:$N$600,DataSet!$M$2:$M$600,0)</f>
        <v>Central</v>
      </c>
      <c r="K171" s="10" t="str">
        <f>_xlfn.XLOOKUP(B171,DataSet!$N$2:$N$600,DataSet!$O$2:$O$600,0)</f>
        <v>Office Supplies</v>
      </c>
      <c r="L171" s="10" t="str">
        <f>_xlfn.XLOOKUP(B171,DataSet!$N$2:$N$600,DataSet!$Y$2:$Y$600,0)</f>
        <v>Art</v>
      </c>
      <c r="M171" s="10" t="str">
        <f>_xlfn.XLOOKUP(B171,DataSet!$N$2:$N$600,DataSet!$Q$2:$Q$600,0)</f>
        <v>Sanford Liquid Accent Highlighters</v>
      </c>
      <c r="N171" s="16">
        <f>_xlfn.XLOOKUP(B171,DataSet!$N$2:$N$600,DataSet!$AA$2:$AA$600,0)</f>
        <v>32.064</v>
      </c>
      <c r="O171" s="10">
        <f>_xlfn.XLOOKUP(B171,DataSet!$N$2:$N$600,DataSet!$S$2:$S$600,0)</f>
        <v>6</v>
      </c>
      <c r="P171" s="15">
        <f>_xlfn.XLOOKUP(B171,DataSet!$N$2:$N$600,DataSet!$T$2:$T$600,0)</f>
        <v>0.2</v>
      </c>
      <c r="Q171" s="14">
        <f>_xlfn.XLOOKUP(B171,DataSet!$N$2:$N$600,DataSet!$U$2:$U$600,0)</f>
        <v>6.8136000000000001</v>
      </c>
      <c r="R171" s="16">
        <f>_xlfn.XLOOKUP(B171,DataSet!$N$2:$N$600,DataSet!$AB$2:$AB$600,0)</f>
        <v>192.38400000000001</v>
      </c>
      <c r="S171" s="9">
        <f>_xlfn.XLOOKUP(B171,DataSet!$N$2:$N$600,DataSet!$AC$2:$AC$600,0)</f>
        <v>153.90720000000002</v>
      </c>
    </row>
    <row r="172" spans="1:19" s="12" customFormat="1" x14ac:dyDescent="0.3">
      <c r="A172" s="27">
        <v>170</v>
      </c>
      <c r="B172" s="10" t="s">
        <v>690</v>
      </c>
      <c r="C172" s="10" t="str">
        <f>_xlfn.XLOOKUP(B172,DataSet!$N$2:$N$600,DataSet!$AF$2:$AF$600,0)</f>
        <v>139892</v>
      </c>
      <c r="D172" s="10" t="str">
        <f>_xlfn.XLOOKUP(B172,DataSet!$N$2:$N$600,DataSet!$G$2:$G$600,0)</f>
        <v>Becky Martin</v>
      </c>
      <c r="E172" s="10" t="str">
        <f>_xlfn.XLOOKUP(B172,DataSet!$N$2:$N$600,DataSet!$F$2:$F$600,0)</f>
        <v>BM-11140</v>
      </c>
      <c r="F172" s="10" t="str">
        <f>_xlfn.XLOOKUP(B172,DataSet!$N$2:$N$600,DataSet!$W$2:$W$600,0)</f>
        <v>Consumer</v>
      </c>
      <c r="G172" s="13">
        <f>_xlfn.XLOOKUP(B172,DataSet!$N$2:$N$600,DataSet!$C$2:$C$600,0)</f>
        <v>41890</v>
      </c>
      <c r="H172" s="10" t="str">
        <f>_xlfn.XLOOKUP(B172,DataSet!$N$2:$N$600,DataSet!$I$2:$I$600,0)</f>
        <v>United States</v>
      </c>
      <c r="I172" s="10" t="str">
        <f>_xlfn.XLOOKUP(B172,DataSet!$N$2:$N$600,DataSet!$X$2:$X$600,0)</f>
        <v>San Antonio - Texas</v>
      </c>
      <c r="J172" s="10" t="str">
        <f>_xlfn.XLOOKUP(B172,DataSet!$N$2:$N$600,DataSet!$M$2:$M$600,0)</f>
        <v>Central</v>
      </c>
      <c r="K172" s="10" t="str">
        <f>_xlfn.XLOOKUP(B172,DataSet!$N$2:$N$600,DataSet!$O$2:$O$600,0)</f>
        <v>Office Supplies</v>
      </c>
      <c r="L172" s="10" t="str">
        <f>_xlfn.XLOOKUP(B172,DataSet!$N$2:$N$600,DataSet!$Y$2:$Y$600,0)</f>
        <v>Appliances</v>
      </c>
      <c r="M172" s="10" t="str">
        <f>_xlfn.XLOOKUP(B172,DataSet!$N$2:$N$600,DataSet!$Q$2:$Q$600,0)</f>
        <v>Kensington 7 Outlet MasterPiece Power Center</v>
      </c>
      <c r="N172" s="16">
        <f>_xlfn.XLOOKUP(B172,DataSet!$N$2:$N$600,DataSet!$AA$2:$AA$600,0)</f>
        <v>177.98</v>
      </c>
      <c r="O172" s="10">
        <f>_xlfn.XLOOKUP(B172,DataSet!$N$2:$N$600,DataSet!$S$2:$S$600,0)</f>
        <v>5</v>
      </c>
      <c r="P172" s="15">
        <f>_xlfn.XLOOKUP(B172,DataSet!$N$2:$N$600,DataSet!$T$2:$T$600,0)</f>
        <v>0.8</v>
      </c>
      <c r="Q172" s="14">
        <f>_xlfn.XLOOKUP(B172,DataSet!$N$2:$N$600,DataSet!$U$2:$U$600,0)</f>
        <v>-453.84899999999999</v>
      </c>
      <c r="R172" s="16">
        <f>_xlfn.XLOOKUP(B172,DataSet!$N$2:$N$600,DataSet!$AB$2:$AB$600,0)</f>
        <v>889.9</v>
      </c>
      <c r="S172" s="9">
        <f>_xlfn.XLOOKUP(B172,DataSet!$N$2:$N$600,DataSet!$AC$2:$AC$600,0)</f>
        <v>177.97999999999996</v>
      </c>
    </row>
    <row r="173" spans="1:19" s="12" customFormat="1" x14ac:dyDescent="0.3">
      <c r="A173" s="27">
        <v>171</v>
      </c>
      <c r="B173" s="10" t="s">
        <v>692</v>
      </c>
      <c r="C173" s="10" t="str">
        <f>_xlfn.XLOOKUP(B173,DataSet!$N$2:$N$600,DataSet!$AF$2:$AF$600,0)</f>
        <v>139892</v>
      </c>
      <c r="D173" s="10" t="str">
        <f>_xlfn.XLOOKUP(B173,DataSet!$N$2:$N$600,DataSet!$G$2:$G$600,0)</f>
        <v>Becky Martin</v>
      </c>
      <c r="E173" s="10" t="str">
        <f>_xlfn.XLOOKUP(B173,DataSet!$N$2:$N$600,DataSet!$F$2:$F$600,0)</f>
        <v>BM-11140</v>
      </c>
      <c r="F173" s="10" t="str">
        <f>_xlfn.XLOOKUP(B173,DataSet!$N$2:$N$600,DataSet!$W$2:$W$600,0)</f>
        <v>Consumer</v>
      </c>
      <c r="G173" s="13">
        <f>_xlfn.XLOOKUP(B173,DataSet!$N$2:$N$600,DataSet!$C$2:$C$600,0)</f>
        <v>41890</v>
      </c>
      <c r="H173" s="10" t="str">
        <f>_xlfn.XLOOKUP(B173,DataSet!$N$2:$N$600,DataSet!$I$2:$I$600,0)</f>
        <v>United States</v>
      </c>
      <c r="I173" s="10" t="str">
        <f>_xlfn.XLOOKUP(B173,DataSet!$N$2:$N$600,DataSet!$X$2:$X$600,0)</f>
        <v>San Antonio - Texas</v>
      </c>
      <c r="J173" s="10" t="str">
        <f>_xlfn.XLOOKUP(B173,DataSet!$N$2:$N$600,DataSet!$M$2:$M$600,0)</f>
        <v>Central</v>
      </c>
      <c r="K173" s="10" t="str">
        <f>_xlfn.XLOOKUP(B173,DataSet!$N$2:$N$600,DataSet!$O$2:$O$600,0)</f>
        <v>Technology</v>
      </c>
      <c r="L173" s="10" t="str">
        <f>_xlfn.XLOOKUP(B173,DataSet!$N$2:$N$600,DataSet!$Y$2:$Y$600,0)</f>
        <v>Phones</v>
      </c>
      <c r="M173" s="10" t="str">
        <f>_xlfn.XLOOKUP(B173,DataSet!$N$2:$N$600,DataSet!$Q$2:$Q$600,0)</f>
        <v>JBL Micro Wireless Portable Bluetooth Speaker</v>
      </c>
      <c r="N173" s="16">
        <f>_xlfn.XLOOKUP(B173,DataSet!$N$2:$N$600,DataSet!$AA$2:$AA$600,0)</f>
        <v>143.976</v>
      </c>
      <c r="O173" s="10">
        <f>_xlfn.XLOOKUP(B173,DataSet!$N$2:$N$600,DataSet!$S$2:$S$600,0)</f>
        <v>3</v>
      </c>
      <c r="P173" s="15">
        <f>_xlfn.XLOOKUP(B173,DataSet!$N$2:$N$600,DataSet!$T$2:$T$600,0)</f>
        <v>0.2</v>
      </c>
      <c r="Q173" s="14">
        <f>_xlfn.XLOOKUP(B173,DataSet!$N$2:$N$600,DataSet!$U$2:$U$600,0)</f>
        <v>8.9984999999999999</v>
      </c>
      <c r="R173" s="16">
        <f>_xlfn.XLOOKUP(B173,DataSet!$N$2:$N$600,DataSet!$AB$2:$AB$600,0)</f>
        <v>431.928</v>
      </c>
      <c r="S173" s="9">
        <f>_xlfn.XLOOKUP(B173,DataSet!$N$2:$N$600,DataSet!$AC$2:$AC$600,0)</f>
        <v>345.54240000000004</v>
      </c>
    </row>
    <row r="174" spans="1:19" s="12" customFormat="1" x14ac:dyDescent="0.3">
      <c r="A174" s="27">
        <v>172</v>
      </c>
      <c r="B174" s="10" t="s">
        <v>697</v>
      </c>
      <c r="C174" s="10" t="str">
        <f>_xlfn.XLOOKUP(B174,DataSet!$N$2:$N$600,DataSet!$AF$2:$AF$600,0)</f>
        <v>118962</v>
      </c>
      <c r="D174" s="10" t="str">
        <f>_xlfn.XLOOKUP(B174,DataSet!$N$2:$N$600,DataSet!$G$2:$G$600,0)</f>
        <v>Chad Sievert</v>
      </c>
      <c r="E174" s="10" t="str">
        <f>_xlfn.XLOOKUP(B174,DataSet!$N$2:$N$600,DataSet!$F$2:$F$600,0)</f>
        <v>CS-12130</v>
      </c>
      <c r="F174" s="10" t="str">
        <f>_xlfn.XLOOKUP(B174,DataSet!$N$2:$N$600,DataSet!$W$2:$W$600,0)</f>
        <v>Consumer</v>
      </c>
      <c r="G174" s="13">
        <f>_xlfn.XLOOKUP(B174,DataSet!$N$2:$N$600,DataSet!$C$2:$C$600,0)</f>
        <v>41856</v>
      </c>
      <c r="H174" s="10" t="str">
        <f>_xlfn.XLOOKUP(B174,DataSet!$N$2:$N$600,DataSet!$I$2:$I$600,0)</f>
        <v>United States</v>
      </c>
      <c r="I174" s="10" t="str">
        <f>_xlfn.XLOOKUP(B174,DataSet!$N$2:$N$600,DataSet!$X$2:$X$600,0)</f>
        <v>Los Angeles - California</v>
      </c>
      <c r="J174" s="10" t="str">
        <f>_xlfn.XLOOKUP(B174,DataSet!$N$2:$N$600,DataSet!$M$2:$M$600,0)</f>
        <v>West</v>
      </c>
      <c r="K174" s="10" t="str">
        <f>_xlfn.XLOOKUP(B174,DataSet!$N$2:$N$600,DataSet!$O$2:$O$600,0)</f>
        <v>Office Supplies</v>
      </c>
      <c r="L174" s="10" t="str">
        <f>_xlfn.XLOOKUP(B174,DataSet!$N$2:$N$600,DataSet!$Y$2:$Y$600,0)</f>
        <v>Paper</v>
      </c>
      <c r="M174" s="10" t="str">
        <f>_xlfn.XLOOKUP(B174,DataSet!$N$2:$N$600,DataSet!$Q$2:$Q$600,0)</f>
        <v>Adams Phone Message Book, Professional, 400 Message Capacity, 5 3/6” x 11”</v>
      </c>
      <c r="N174" s="16">
        <f>_xlfn.XLOOKUP(B174,DataSet!$N$2:$N$600,DataSet!$AA$2:$AA$600,0)</f>
        <v>20.94</v>
      </c>
      <c r="O174" s="10">
        <f>_xlfn.XLOOKUP(B174,DataSet!$N$2:$N$600,DataSet!$S$2:$S$600,0)</f>
        <v>3</v>
      </c>
      <c r="P174" s="15">
        <f>_xlfn.XLOOKUP(B174,DataSet!$N$2:$N$600,DataSet!$T$2:$T$600,0)</f>
        <v>0</v>
      </c>
      <c r="Q174" s="14">
        <f>_xlfn.XLOOKUP(B174,DataSet!$N$2:$N$600,DataSet!$U$2:$U$600,0)</f>
        <v>9.8417999999999992</v>
      </c>
      <c r="R174" s="16">
        <f>_xlfn.XLOOKUP(B174,DataSet!$N$2:$N$600,DataSet!$AB$2:$AB$600,0)</f>
        <v>62.820000000000007</v>
      </c>
      <c r="S174" s="9">
        <f>_xlfn.XLOOKUP(B174,DataSet!$N$2:$N$600,DataSet!$AC$2:$AC$600,0)</f>
        <v>62.820000000000007</v>
      </c>
    </row>
    <row r="175" spans="1:19" s="12" customFormat="1" x14ac:dyDescent="0.3">
      <c r="A175" s="27">
        <v>173</v>
      </c>
      <c r="B175" s="10" t="s">
        <v>699</v>
      </c>
      <c r="C175" s="10" t="str">
        <f>_xlfn.XLOOKUP(B175,DataSet!$N$2:$N$600,DataSet!$AF$2:$AF$600,0)</f>
        <v>118962</v>
      </c>
      <c r="D175" s="10" t="str">
        <f>_xlfn.XLOOKUP(B175,DataSet!$N$2:$N$600,DataSet!$G$2:$G$600,0)</f>
        <v>Chad Sievert</v>
      </c>
      <c r="E175" s="10" t="str">
        <f>_xlfn.XLOOKUP(B175,DataSet!$N$2:$N$600,DataSet!$F$2:$F$600,0)</f>
        <v>CS-12130</v>
      </c>
      <c r="F175" s="10" t="str">
        <f>_xlfn.XLOOKUP(B175,DataSet!$N$2:$N$600,DataSet!$W$2:$W$600,0)</f>
        <v>Consumer</v>
      </c>
      <c r="G175" s="13">
        <f>_xlfn.XLOOKUP(B175,DataSet!$N$2:$N$600,DataSet!$C$2:$C$600,0)</f>
        <v>41856</v>
      </c>
      <c r="H175" s="10" t="str">
        <f>_xlfn.XLOOKUP(B175,DataSet!$N$2:$N$600,DataSet!$I$2:$I$600,0)</f>
        <v>United States</v>
      </c>
      <c r="I175" s="10" t="str">
        <f>_xlfn.XLOOKUP(B175,DataSet!$N$2:$N$600,DataSet!$X$2:$X$600,0)</f>
        <v>Los Angeles - California</v>
      </c>
      <c r="J175" s="10" t="str">
        <f>_xlfn.XLOOKUP(B175,DataSet!$N$2:$N$600,DataSet!$M$2:$M$600,0)</f>
        <v>West</v>
      </c>
      <c r="K175" s="10" t="str">
        <f>_xlfn.XLOOKUP(B175,DataSet!$N$2:$N$600,DataSet!$O$2:$O$600,0)</f>
        <v>Office Supplies</v>
      </c>
      <c r="L175" s="10" t="str">
        <f>_xlfn.XLOOKUP(B175,DataSet!$N$2:$N$600,DataSet!$Y$2:$Y$600,0)</f>
        <v>Paper</v>
      </c>
      <c r="M175" s="10" t="str">
        <f>_xlfn.XLOOKUP(B175,DataSet!$N$2:$N$600,DataSet!$Q$2:$Q$600,0)</f>
        <v>Xerox 1913</v>
      </c>
      <c r="N175" s="16">
        <f>_xlfn.XLOOKUP(B175,DataSet!$N$2:$N$600,DataSet!$AA$2:$AA$600,0)</f>
        <v>110.96</v>
      </c>
      <c r="O175" s="10">
        <f>_xlfn.XLOOKUP(B175,DataSet!$N$2:$N$600,DataSet!$S$2:$S$600,0)</f>
        <v>2</v>
      </c>
      <c r="P175" s="15">
        <f>_xlfn.XLOOKUP(B175,DataSet!$N$2:$N$600,DataSet!$T$2:$T$600,0)</f>
        <v>0</v>
      </c>
      <c r="Q175" s="14">
        <f>_xlfn.XLOOKUP(B175,DataSet!$N$2:$N$600,DataSet!$U$2:$U$600,0)</f>
        <v>53.260800000000003</v>
      </c>
      <c r="R175" s="16">
        <f>_xlfn.XLOOKUP(B175,DataSet!$N$2:$N$600,DataSet!$AB$2:$AB$600,0)</f>
        <v>221.92</v>
      </c>
      <c r="S175" s="9">
        <f>_xlfn.XLOOKUP(B175,DataSet!$N$2:$N$600,DataSet!$AC$2:$AC$600,0)</f>
        <v>221.92</v>
      </c>
    </row>
    <row r="176" spans="1:19" s="12" customFormat="1" x14ac:dyDescent="0.3">
      <c r="A176" s="27">
        <v>174</v>
      </c>
      <c r="B176" s="10" t="s">
        <v>701</v>
      </c>
      <c r="C176" s="10" t="str">
        <f>_xlfn.XLOOKUP(B176,DataSet!$N$2:$N$600,DataSet!$AF$2:$AF$600,0)</f>
        <v>118962</v>
      </c>
      <c r="D176" s="10" t="str">
        <f>_xlfn.XLOOKUP(B176,DataSet!$N$2:$N$600,DataSet!$G$2:$G$600,0)</f>
        <v>Chad Sievert</v>
      </c>
      <c r="E176" s="10" t="str">
        <f>_xlfn.XLOOKUP(B176,DataSet!$N$2:$N$600,DataSet!$F$2:$F$600,0)</f>
        <v>CS-12130</v>
      </c>
      <c r="F176" s="10" t="str">
        <f>_xlfn.XLOOKUP(B176,DataSet!$N$2:$N$600,DataSet!$W$2:$W$600,0)</f>
        <v>UNKNOWN</v>
      </c>
      <c r="G176" s="13">
        <f>_xlfn.XLOOKUP(B176,DataSet!$N$2:$N$600,DataSet!$C$2:$C$600,0)</f>
        <v>41856</v>
      </c>
      <c r="H176" s="10" t="str">
        <f>_xlfn.XLOOKUP(B176,DataSet!$N$2:$N$600,DataSet!$I$2:$I$600,0)</f>
        <v>United States</v>
      </c>
      <c r="I176" s="10" t="str">
        <f>_xlfn.XLOOKUP(B176,DataSet!$N$2:$N$600,DataSet!$X$2:$X$600,0)</f>
        <v>Los Angeles - California</v>
      </c>
      <c r="J176" s="10" t="str">
        <f>_xlfn.XLOOKUP(B176,DataSet!$N$2:$N$600,DataSet!$M$2:$M$600,0)</f>
        <v>West</v>
      </c>
      <c r="K176" s="10" t="str">
        <f>_xlfn.XLOOKUP(B176,DataSet!$N$2:$N$600,DataSet!$O$2:$O$600,0)</f>
        <v>Furniture</v>
      </c>
      <c r="L176" s="10" t="str">
        <f>_xlfn.XLOOKUP(B176,DataSet!$N$2:$N$600,DataSet!$Y$2:$Y$600,0)</f>
        <v>Chairs</v>
      </c>
      <c r="M176" s="10" t="str">
        <f>_xlfn.XLOOKUP(B176,DataSet!$N$2:$N$600,DataSet!$Q$2:$Q$600,0)</f>
        <v>Global Value Steno Chair, Gray</v>
      </c>
      <c r="N176" s="16">
        <f>_xlfn.XLOOKUP(B176,DataSet!$N$2:$N$600,DataSet!$AA$2:$AA$600,0)</f>
        <v>340.14400000000001</v>
      </c>
      <c r="O176" s="10">
        <f>_xlfn.XLOOKUP(B176,DataSet!$N$2:$N$600,DataSet!$S$2:$S$600,0)</f>
        <v>7</v>
      </c>
      <c r="P176" s="15">
        <f>_xlfn.XLOOKUP(B176,DataSet!$N$2:$N$600,DataSet!$T$2:$T$600,0)</f>
        <v>0.2</v>
      </c>
      <c r="Q176" s="14">
        <f>_xlfn.XLOOKUP(B176,DataSet!$N$2:$N$600,DataSet!$U$2:$U$600,0)</f>
        <v>21.259</v>
      </c>
      <c r="R176" s="16">
        <f>_xlfn.XLOOKUP(B176,DataSet!$N$2:$N$600,DataSet!$AB$2:$AB$600,0)</f>
        <v>2381.0079999999998</v>
      </c>
      <c r="S176" s="9">
        <f>_xlfn.XLOOKUP(B176,DataSet!$N$2:$N$600,DataSet!$AC$2:$AC$600,0)</f>
        <v>1904.8063999999999</v>
      </c>
    </row>
    <row r="177" spans="1:19" s="12" customFormat="1" x14ac:dyDescent="0.3">
      <c r="A177" s="27">
        <v>175</v>
      </c>
      <c r="B177" s="10" t="s">
        <v>706</v>
      </c>
      <c r="C177" s="10" t="str">
        <f>_xlfn.XLOOKUP(B177,DataSet!$N$2:$N$600,DataSet!$AF$2:$AF$600,0)</f>
        <v>100853</v>
      </c>
      <c r="D177" s="10" t="str">
        <f>_xlfn.XLOOKUP(B177,DataSet!$N$2:$N$600,DataSet!$G$2:$G$600,0)</f>
        <v>Jennifer Braxton</v>
      </c>
      <c r="E177" s="10" t="str">
        <f>_xlfn.XLOOKUP(B177,DataSet!$N$2:$N$600,DataSet!$F$2:$F$600,0)</f>
        <v>JB-15400</v>
      </c>
      <c r="F177" s="10" t="str">
        <f>_xlfn.XLOOKUP(B177,DataSet!$N$2:$N$600,DataSet!$W$2:$W$600,0)</f>
        <v>Corporate</v>
      </c>
      <c r="G177" s="13">
        <f>_xlfn.XLOOKUP(B177,DataSet!$N$2:$N$600,DataSet!$C$2:$C$600,0)</f>
        <v>41896</v>
      </c>
      <c r="H177" s="10" t="str">
        <f>_xlfn.XLOOKUP(B177,DataSet!$N$2:$N$600,DataSet!$I$2:$I$600,0)</f>
        <v>United States</v>
      </c>
      <c r="I177" s="10" t="str">
        <f>_xlfn.XLOOKUP(B177,DataSet!$N$2:$N$600,DataSet!$X$2:$X$600,0)</f>
        <v>Chicago - Illinois</v>
      </c>
      <c r="J177" s="10" t="str">
        <f>_xlfn.XLOOKUP(B177,DataSet!$N$2:$N$600,DataSet!$M$2:$M$600,0)</f>
        <v>Central</v>
      </c>
      <c r="K177" s="10" t="str">
        <f>_xlfn.XLOOKUP(B177,DataSet!$N$2:$N$600,DataSet!$O$2:$O$600,0)</f>
        <v>Office Supplies</v>
      </c>
      <c r="L177" s="10" t="str">
        <f>_xlfn.XLOOKUP(B177,DataSet!$N$2:$N$600,DataSet!$Y$2:$Y$600,0)</f>
        <v>Appliances</v>
      </c>
      <c r="M177" s="10" t="str">
        <f>_xlfn.XLOOKUP(B177,DataSet!$N$2:$N$600,DataSet!$Q$2:$Q$600,0)</f>
        <v>Kensington 7 Outlet MasterPiece HOMEOFFICE Power Control Center</v>
      </c>
      <c r="N177" s="16">
        <f>_xlfn.XLOOKUP(B177,DataSet!$N$2:$N$600,DataSet!$AA$2:$AA$600,0)</f>
        <v>52.448</v>
      </c>
      <c r="O177" s="10">
        <f>_xlfn.XLOOKUP(B177,DataSet!$N$2:$N$600,DataSet!$S$2:$S$600,0)</f>
        <v>2</v>
      </c>
      <c r="P177" s="15">
        <f>_xlfn.XLOOKUP(B177,DataSet!$N$2:$N$600,DataSet!$T$2:$T$600,0)</f>
        <v>0.8</v>
      </c>
      <c r="Q177" s="14">
        <f>_xlfn.XLOOKUP(B177,DataSet!$N$2:$N$600,DataSet!$U$2:$U$600,0)</f>
        <v>-131.12</v>
      </c>
      <c r="R177" s="16">
        <f>_xlfn.XLOOKUP(B177,DataSet!$N$2:$N$600,DataSet!$AB$2:$AB$600,0)</f>
        <v>104.896</v>
      </c>
      <c r="S177" s="9">
        <f>_xlfn.XLOOKUP(B177,DataSet!$N$2:$N$600,DataSet!$AC$2:$AC$600,0)</f>
        <v>20.979199999999995</v>
      </c>
    </row>
    <row r="178" spans="1:19" s="12" customFormat="1" x14ac:dyDescent="0.3">
      <c r="A178" s="27">
        <v>176</v>
      </c>
      <c r="B178" s="10" t="s">
        <v>708</v>
      </c>
      <c r="C178" s="10" t="str">
        <f>_xlfn.XLOOKUP(B178,DataSet!$N$2:$N$600,DataSet!$AF$2:$AF$600,0)</f>
        <v>100853</v>
      </c>
      <c r="D178" s="10" t="str">
        <f>_xlfn.XLOOKUP(B178,DataSet!$N$2:$N$600,DataSet!$G$2:$G$600,0)</f>
        <v>Jennifer Braxton</v>
      </c>
      <c r="E178" s="10" t="str">
        <f>_xlfn.XLOOKUP(B178,DataSet!$N$2:$N$600,DataSet!$F$2:$F$600,0)</f>
        <v>JB-15400</v>
      </c>
      <c r="F178" s="10" t="str">
        <f>_xlfn.XLOOKUP(B178,DataSet!$N$2:$N$600,DataSet!$W$2:$W$600,0)</f>
        <v>Corporate</v>
      </c>
      <c r="G178" s="13">
        <f>_xlfn.XLOOKUP(B178,DataSet!$N$2:$N$600,DataSet!$C$2:$C$600,0)</f>
        <v>41896</v>
      </c>
      <c r="H178" s="10" t="str">
        <f>_xlfn.XLOOKUP(B178,DataSet!$N$2:$N$600,DataSet!$I$2:$I$600,0)</f>
        <v>United States</v>
      </c>
      <c r="I178" s="10" t="str">
        <f>_xlfn.XLOOKUP(B178,DataSet!$N$2:$N$600,DataSet!$X$2:$X$600,0)</f>
        <v>Chicago - Illinois</v>
      </c>
      <c r="J178" s="10" t="str">
        <f>_xlfn.XLOOKUP(B178,DataSet!$N$2:$N$600,DataSet!$M$2:$M$600,0)</f>
        <v>Central</v>
      </c>
      <c r="K178" s="10" t="str">
        <f>_xlfn.XLOOKUP(B178,DataSet!$N$2:$N$600,DataSet!$O$2:$O$600,0)</f>
        <v>Office Supplies</v>
      </c>
      <c r="L178" s="10" t="str">
        <f>_xlfn.XLOOKUP(B178,DataSet!$N$2:$N$600,DataSet!$Y$2:$Y$600,0)</f>
        <v>Labels</v>
      </c>
      <c r="M178" s="10" t="str">
        <f>_xlfn.XLOOKUP(B178,DataSet!$N$2:$N$600,DataSet!$Q$2:$Q$600,0)</f>
        <v>Avery 51</v>
      </c>
      <c r="N178" s="16">
        <f>_xlfn.XLOOKUP(B178,DataSet!$N$2:$N$600,DataSet!$AA$2:$AA$600,0)</f>
        <v>20.16</v>
      </c>
      <c r="O178" s="10">
        <f>_xlfn.XLOOKUP(B178,DataSet!$N$2:$N$600,DataSet!$S$2:$S$600,0)</f>
        <v>4</v>
      </c>
      <c r="P178" s="15">
        <f>_xlfn.XLOOKUP(B178,DataSet!$N$2:$N$600,DataSet!$T$2:$T$600,0)</f>
        <v>0.2</v>
      </c>
      <c r="Q178" s="14">
        <f>_xlfn.XLOOKUP(B178,DataSet!$N$2:$N$600,DataSet!$U$2:$U$600,0)</f>
        <v>6.5519999999999996</v>
      </c>
      <c r="R178" s="16">
        <f>_xlfn.XLOOKUP(B178,DataSet!$N$2:$N$600,DataSet!$AB$2:$AB$600,0)</f>
        <v>80.64</v>
      </c>
      <c r="S178" s="9">
        <f>_xlfn.XLOOKUP(B178,DataSet!$N$2:$N$600,DataSet!$AC$2:$AC$600,0)</f>
        <v>64.512</v>
      </c>
    </row>
    <row r="179" spans="1:19" s="12" customFormat="1" x14ac:dyDescent="0.3">
      <c r="A179" s="27">
        <v>177</v>
      </c>
      <c r="B179" s="10" t="s">
        <v>713</v>
      </c>
      <c r="C179" s="10" t="str">
        <f>_xlfn.XLOOKUP(B179,DataSet!$N$2:$N$600,DataSet!$AF$2:$AF$600,0)</f>
        <v>152366</v>
      </c>
      <c r="D179" s="10" t="str">
        <f>_xlfn.XLOOKUP(B179,DataSet!$N$2:$N$600,DataSet!$G$2:$G$600,0)</f>
        <v>Shirley Jackson</v>
      </c>
      <c r="E179" s="10" t="str">
        <f>_xlfn.XLOOKUP(B179,DataSet!$N$2:$N$600,DataSet!$F$2:$F$600,0)</f>
        <v>SJ-20500</v>
      </c>
      <c r="F179" s="10" t="str">
        <f>_xlfn.XLOOKUP(B179,DataSet!$N$2:$N$600,DataSet!$W$2:$W$600,0)</f>
        <v>Consumer</v>
      </c>
      <c r="G179" s="13">
        <f>_xlfn.XLOOKUP(B179,DataSet!$N$2:$N$600,DataSet!$C$2:$C$600,0)</f>
        <v>42846</v>
      </c>
      <c r="H179" s="10" t="str">
        <f>_xlfn.XLOOKUP(B179,DataSet!$N$2:$N$600,DataSet!$I$2:$I$600,0)</f>
        <v>United States</v>
      </c>
      <c r="I179" s="10" t="str">
        <f>_xlfn.XLOOKUP(B179,DataSet!$N$2:$N$600,DataSet!$X$2:$X$600,0)</f>
        <v>Houston - Texas</v>
      </c>
      <c r="J179" s="10" t="str">
        <f>_xlfn.XLOOKUP(B179,DataSet!$N$2:$N$600,DataSet!$M$2:$M$600,0)</f>
        <v>Central</v>
      </c>
      <c r="K179" s="10" t="str">
        <f>_xlfn.XLOOKUP(B179,DataSet!$N$2:$N$600,DataSet!$O$2:$O$600,0)</f>
        <v>Office Supplies</v>
      </c>
      <c r="L179" s="10" t="str">
        <f>_xlfn.XLOOKUP(B179,DataSet!$N$2:$N$600,DataSet!$Y$2:$Y$600,0)</f>
        <v>Appliances</v>
      </c>
      <c r="M179" s="10" t="str">
        <f>_xlfn.XLOOKUP(B179,DataSet!$N$2:$N$600,DataSet!$Q$2:$Q$600,0)</f>
        <v>Acco 7-Outlet Masterpiece Power Center, Wihtout Fax/Phone Line Protection</v>
      </c>
      <c r="N179" s="16">
        <f>_xlfn.XLOOKUP(B179,DataSet!$N$2:$N$600,DataSet!$AA$2:$AA$600,0)</f>
        <v>97.263999999999996</v>
      </c>
      <c r="O179" s="10">
        <f>_xlfn.XLOOKUP(B179,DataSet!$N$2:$N$600,DataSet!$S$2:$S$600,0)</f>
        <v>4</v>
      </c>
      <c r="P179" s="15">
        <f>_xlfn.XLOOKUP(B179,DataSet!$N$2:$N$600,DataSet!$T$2:$T$600,0)</f>
        <v>0.8</v>
      </c>
      <c r="Q179" s="14">
        <f>_xlfn.XLOOKUP(B179,DataSet!$N$2:$N$600,DataSet!$U$2:$U$600,0)</f>
        <v>-243.16</v>
      </c>
      <c r="R179" s="16">
        <f>_xlfn.XLOOKUP(B179,DataSet!$N$2:$N$600,DataSet!$AB$2:$AB$600,0)</f>
        <v>389.05599999999998</v>
      </c>
      <c r="S179" s="9">
        <f>_xlfn.XLOOKUP(B179,DataSet!$N$2:$N$600,DataSet!$AC$2:$AC$600,0)</f>
        <v>77.811199999999985</v>
      </c>
    </row>
    <row r="180" spans="1:19" s="12" customFormat="1" x14ac:dyDescent="0.3">
      <c r="A180" s="27">
        <v>178</v>
      </c>
      <c r="B180" s="10" t="s">
        <v>716</v>
      </c>
      <c r="C180" s="10" t="str">
        <f>_xlfn.XLOOKUP(B180,DataSet!$N$2:$N$600,DataSet!$AF$2:$AF$600,0)</f>
        <v>101511</v>
      </c>
      <c r="D180" s="10" t="str">
        <f>_xlfn.XLOOKUP(B180,DataSet!$N$2:$N$600,DataSet!$G$2:$G$600,0)</f>
        <v>Joel Eaton</v>
      </c>
      <c r="E180" s="10" t="str">
        <f>_xlfn.XLOOKUP(B180,DataSet!$N$2:$N$600,DataSet!$F$2:$F$600,0)</f>
        <v>JE-15745</v>
      </c>
      <c r="F180" s="10" t="str">
        <f>_xlfn.XLOOKUP(B180,DataSet!$N$2:$N$600,DataSet!$W$2:$W$600,0)</f>
        <v>Consumer</v>
      </c>
      <c r="G180" s="13">
        <f>_xlfn.XLOOKUP(B180,DataSet!$N$2:$N$600,DataSet!$C$2:$C$600,0)</f>
        <v>42329</v>
      </c>
      <c r="H180" s="10" t="str">
        <f>_xlfn.XLOOKUP(B180,DataSet!$N$2:$N$600,DataSet!$I$2:$I$600,0)</f>
        <v>United States</v>
      </c>
      <c r="I180" s="10" t="str">
        <f>_xlfn.XLOOKUP(B180,DataSet!$N$2:$N$600,DataSet!$X$2:$X$600,0)</f>
        <v>Newark - Ohio</v>
      </c>
      <c r="J180" s="10" t="str">
        <f>_xlfn.XLOOKUP(B180,DataSet!$N$2:$N$600,DataSet!$M$2:$M$600,0)</f>
        <v>East</v>
      </c>
      <c r="K180" s="10" t="str">
        <f>_xlfn.XLOOKUP(B180,DataSet!$N$2:$N$600,DataSet!$O$2:$O$600,0)</f>
        <v>Furniture</v>
      </c>
      <c r="L180" s="10" t="str">
        <f>_xlfn.XLOOKUP(B180,DataSet!$N$2:$N$600,DataSet!$Y$2:$Y$600,0)</f>
        <v>Chairs</v>
      </c>
      <c r="M180" s="10" t="str">
        <f>_xlfn.XLOOKUP(B180,DataSet!$N$2:$N$600,DataSet!$Q$2:$Q$600,0)</f>
        <v>Padded Folding Chairs, Black, 4/Carton</v>
      </c>
      <c r="N180" s="16">
        <f>_xlfn.XLOOKUP(B180,DataSet!$N$2:$N$600,DataSet!$AA$2:$AA$600,0)</f>
        <v>396.80200000000002</v>
      </c>
      <c r="O180" s="10">
        <f>_xlfn.XLOOKUP(B180,DataSet!$N$2:$N$600,DataSet!$S$2:$S$600,0)</f>
        <v>7</v>
      </c>
      <c r="P180" s="15">
        <f>_xlfn.XLOOKUP(B180,DataSet!$N$2:$N$600,DataSet!$T$2:$T$600,0)</f>
        <v>0.3</v>
      </c>
      <c r="Q180" s="14">
        <f>_xlfn.XLOOKUP(B180,DataSet!$N$2:$N$600,DataSet!$U$2:$U$600,0)</f>
        <v>-11.337199999999999</v>
      </c>
      <c r="R180" s="16">
        <f>_xlfn.XLOOKUP(B180,DataSet!$N$2:$N$600,DataSet!$AB$2:$AB$600,0)</f>
        <v>2777.614</v>
      </c>
      <c r="S180" s="9">
        <f>_xlfn.XLOOKUP(B180,DataSet!$N$2:$N$600,DataSet!$AC$2:$AC$600,0)</f>
        <v>1944.3298</v>
      </c>
    </row>
    <row r="181" spans="1:19" s="12" customFormat="1" x14ac:dyDescent="0.3">
      <c r="A181" s="27">
        <v>179</v>
      </c>
      <c r="B181" s="10" t="s">
        <v>718</v>
      </c>
      <c r="C181" s="10" t="str">
        <f>_xlfn.XLOOKUP(B181,DataSet!$N$2:$N$600,DataSet!$AF$2:$AF$600,0)</f>
        <v>101511</v>
      </c>
      <c r="D181" s="10" t="str">
        <f>_xlfn.XLOOKUP(B181,DataSet!$N$2:$N$600,DataSet!$G$2:$G$600,0)</f>
        <v>Joel Eaton</v>
      </c>
      <c r="E181" s="10" t="str">
        <f>_xlfn.XLOOKUP(B181,DataSet!$N$2:$N$600,DataSet!$F$2:$F$600,0)</f>
        <v>JE-15745</v>
      </c>
      <c r="F181" s="10" t="str">
        <f>_xlfn.XLOOKUP(B181,DataSet!$N$2:$N$600,DataSet!$W$2:$W$600,0)</f>
        <v>Consumer</v>
      </c>
      <c r="G181" s="13">
        <f>_xlfn.XLOOKUP(B181,DataSet!$N$2:$N$600,DataSet!$C$2:$C$600,0)</f>
        <v>42329</v>
      </c>
      <c r="H181" s="10" t="str">
        <f>_xlfn.XLOOKUP(B181,DataSet!$N$2:$N$600,DataSet!$I$2:$I$600,0)</f>
        <v>United States</v>
      </c>
      <c r="I181" s="10" t="str">
        <f>_xlfn.XLOOKUP(B181,DataSet!$N$2:$N$600,DataSet!$X$2:$X$600,0)</f>
        <v>Newark - Ohio</v>
      </c>
      <c r="J181" s="10" t="str">
        <f>_xlfn.XLOOKUP(B181,DataSet!$N$2:$N$600,DataSet!$M$2:$M$600,0)</f>
        <v>East</v>
      </c>
      <c r="K181" s="10" t="str">
        <f>_xlfn.XLOOKUP(B181,DataSet!$N$2:$N$600,DataSet!$O$2:$O$600,0)</f>
        <v>Office Supplies</v>
      </c>
      <c r="L181" s="10" t="str">
        <f>_xlfn.XLOOKUP(B181,DataSet!$N$2:$N$600,DataSet!$Y$2:$Y$600,0)</f>
        <v>Supplies</v>
      </c>
      <c r="M181" s="10" t="str">
        <f>_xlfn.XLOOKUP(B181,DataSet!$N$2:$N$600,DataSet!$Q$2:$Q$600,0)</f>
        <v>Acme Rosewood Handle Letter Opener</v>
      </c>
      <c r="N181" s="16">
        <f>_xlfn.XLOOKUP(B181,DataSet!$N$2:$N$600,DataSet!$AA$2:$AA$600,0)</f>
        <v>15.88</v>
      </c>
      <c r="O181" s="10">
        <f>_xlfn.XLOOKUP(B181,DataSet!$N$2:$N$600,DataSet!$S$2:$S$600,0)</f>
        <v>5</v>
      </c>
      <c r="P181" s="15">
        <f>_xlfn.XLOOKUP(B181,DataSet!$N$2:$N$600,DataSet!$T$2:$T$600,0)</f>
        <v>0.2</v>
      </c>
      <c r="Q181" s="14">
        <f>_xlfn.XLOOKUP(B181,DataSet!$N$2:$N$600,DataSet!$U$2:$U$600,0)</f>
        <v>-3.7715000000000001</v>
      </c>
      <c r="R181" s="16">
        <f>_xlfn.XLOOKUP(B181,DataSet!$N$2:$N$600,DataSet!$AB$2:$AB$600,0)</f>
        <v>79.400000000000006</v>
      </c>
      <c r="S181" s="9">
        <f>_xlfn.XLOOKUP(B181,DataSet!$N$2:$N$600,DataSet!$AC$2:$AC$600,0)</f>
        <v>63.52000000000001</v>
      </c>
    </row>
    <row r="182" spans="1:19" s="12" customFormat="1" x14ac:dyDescent="0.3">
      <c r="A182" s="27">
        <v>180</v>
      </c>
      <c r="B182" s="10" t="s">
        <v>723</v>
      </c>
      <c r="C182" s="10" t="str">
        <f>_xlfn.XLOOKUP(B182,DataSet!$N$2:$N$600,DataSet!$AF$2:$AF$600,0)</f>
        <v>137225</v>
      </c>
      <c r="D182" s="10" t="str">
        <f>_xlfn.XLOOKUP(B182,DataSet!$N$2:$N$600,DataSet!$G$2:$G$600,0)</f>
        <v>Jim Kriz</v>
      </c>
      <c r="E182" s="10" t="str">
        <f>_xlfn.XLOOKUP(B182,DataSet!$N$2:$N$600,DataSet!$F$2:$F$600,0)</f>
        <v>JK-15640</v>
      </c>
      <c r="F182" s="10" t="str">
        <f>_xlfn.XLOOKUP(B182,DataSet!$N$2:$N$600,DataSet!$W$2:$W$600,0)</f>
        <v>Home Office</v>
      </c>
      <c r="G182" s="13">
        <f>_xlfn.XLOOKUP(B182,DataSet!$N$2:$N$600,DataSet!$C$2:$C$600,0)</f>
        <v>42353</v>
      </c>
      <c r="H182" s="10" t="str">
        <f>_xlfn.XLOOKUP(B182,DataSet!$N$2:$N$600,DataSet!$I$2:$I$600,0)</f>
        <v>United States</v>
      </c>
      <c r="I182" s="10" t="str">
        <f>_xlfn.XLOOKUP(B182,DataSet!$N$2:$N$600,DataSet!$X$2:$X$600,0)</f>
        <v>New York City - New York</v>
      </c>
      <c r="J182" s="10" t="str">
        <f>_xlfn.XLOOKUP(B182,DataSet!$N$2:$N$600,DataSet!$M$2:$M$600,0)</f>
        <v>East</v>
      </c>
      <c r="K182" s="10" t="str">
        <f>_xlfn.XLOOKUP(B182,DataSet!$N$2:$N$600,DataSet!$O$2:$O$600,0)</f>
        <v>Office Supplies</v>
      </c>
      <c r="L182" s="10" t="str">
        <f>_xlfn.XLOOKUP(B182,DataSet!$N$2:$N$600,DataSet!$Y$2:$Y$600,0)</f>
        <v>Art</v>
      </c>
      <c r="M182" s="10" t="str">
        <f>_xlfn.XLOOKUP(B182,DataSet!$N$2:$N$600,DataSet!$Q$2:$Q$600,0)</f>
        <v>Sanford Colorific Eraseable Coloring Pencils, 12 Count</v>
      </c>
      <c r="N182" s="16">
        <f>_xlfn.XLOOKUP(B182,DataSet!$N$2:$N$600,DataSet!$AA$2:$AA$600,0)</f>
        <v>3.28</v>
      </c>
      <c r="O182" s="10">
        <f>_xlfn.XLOOKUP(B182,DataSet!$N$2:$N$600,DataSet!$S$2:$S$600,0)</f>
        <v>1</v>
      </c>
      <c r="P182" s="15">
        <f>_xlfn.XLOOKUP(B182,DataSet!$N$2:$N$600,DataSet!$T$2:$T$600,0)</f>
        <v>0</v>
      </c>
      <c r="Q182" s="14">
        <f>_xlfn.XLOOKUP(B182,DataSet!$N$2:$N$600,DataSet!$U$2:$U$600,0)</f>
        <v>1.4104000000000001</v>
      </c>
      <c r="R182" s="16">
        <f>_xlfn.XLOOKUP(B182,DataSet!$N$2:$N$600,DataSet!$AB$2:$AB$600,0)</f>
        <v>3.28</v>
      </c>
      <c r="S182" s="9">
        <f>_xlfn.XLOOKUP(B182,DataSet!$N$2:$N$600,DataSet!$AC$2:$AC$600,0)</f>
        <v>3.28</v>
      </c>
    </row>
    <row r="183" spans="1:19" s="12" customFormat="1" x14ac:dyDescent="0.3">
      <c r="A183" s="27">
        <v>181</v>
      </c>
      <c r="B183" s="10" t="s">
        <v>728</v>
      </c>
      <c r="C183" s="10" t="str">
        <f>_xlfn.XLOOKUP(B183,DataSet!$N$2:$N$600,DataSet!$AF$2:$AF$600,0)</f>
        <v>166191</v>
      </c>
      <c r="D183" s="10" t="str">
        <f>_xlfn.XLOOKUP(B183,DataSet!$N$2:$N$600,DataSet!$G$2:$G$600,0)</f>
        <v>David Kendrick</v>
      </c>
      <c r="E183" s="10" t="str">
        <f>_xlfn.XLOOKUP(B183,DataSet!$N$2:$N$600,DataSet!$F$2:$F$600,0)</f>
        <v>DK-13150</v>
      </c>
      <c r="F183" s="10" t="str">
        <f>_xlfn.XLOOKUP(B183,DataSet!$N$2:$N$600,DataSet!$W$2:$W$600,0)</f>
        <v>Corporate</v>
      </c>
      <c r="G183" s="13">
        <f>_xlfn.XLOOKUP(B183,DataSet!$N$2:$N$600,DataSet!$C$2:$C$600,0)</f>
        <v>41978</v>
      </c>
      <c r="H183" s="10" t="str">
        <f>_xlfn.XLOOKUP(B183,DataSet!$N$2:$N$600,DataSet!$I$2:$I$600,0)</f>
        <v>United States</v>
      </c>
      <c r="I183" s="10" t="str">
        <f>_xlfn.XLOOKUP(B183,DataSet!$N$2:$N$600,DataSet!$X$2:$X$600,0)</f>
        <v>Decatur - Illinois</v>
      </c>
      <c r="J183" s="10" t="str">
        <f>_xlfn.XLOOKUP(B183,DataSet!$N$2:$N$600,DataSet!$M$2:$M$600,0)</f>
        <v>Central</v>
      </c>
      <c r="K183" s="10" t="str">
        <f>_xlfn.XLOOKUP(B183,DataSet!$N$2:$N$600,DataSet!$O$2:$O$600,0)</f>
        <v>Office Supplies</v>
      </c>
      <c r="L183" s="10" t="str">
        <f>_xlfn.XLOOKUP(B183,DataSet!$N$2:$N$600,DataSet!$Y$2:$Y$600,0)</f>
        <v>Storage</v>
      </c>
      <c r="M183" s="10" t="str">
        <f>_xlfn.XLOOKUP(B183,DataSet!$N$2:$N$600,DataSet!$Q$2:$Q$600,0)</f>
        <v>Tenex File Box, Personal Filing Tote with Lid, Black</v>
      </c>
      <c r="N183" s="16">
        <f>_xlfn.XLOOKUP(B183,DataSet!$N$2:$N$600,DataSet!$AA$2:$AA$600,0)</f>
        <v>24.815999999999999</v>
      </c>
      <c r="O183" s="10">
        <f>_xlfn.XLOOKUP(B183,DataSet!$N$2:$N$600,DataSet!$S$2:$S$600,0)</f>
        <v>2</v>
      </c>
      <c r="P183" s="15">
        <f>_xlfn.XLOOKUP(B183,DataSet!$N$2:$N$600,DataSet!$T$2:$T$600,0)</f>
        <v>0.2</v>
      </c>
      <c r="Q183" s="14">
        <f>_xlfn.XLOOKUP(B183,DataSet!$N$2:$N$600,DataSet!$U$2:$U$600,0)</f>
        <v>1.8612</v>
      </c>
      <c r="R183" s="16">
        <f>_xlfn.XLOOKUP(B183,DataSet!$N$2:$N$600,DataSet!$AB$2:$AB$600,0)</f>
        <v>49.631999999999998</v>
      </c>
      <c r="S183" s="9">
        <f>_xlfn.XLOOKUP(B183,DataSet!$N$2:$N$600,DataSet!$AC$2:$AC$600,0)</f>
        <v>39.705600000000004</v>
      </c>
    </row>
    <row r="184" spans="1:19" s="12" customFormat="1" x14ac:dyDescent="0.3">
      <c r="A184" s="27">
        <v>182</v>
      </c>
      <c r="B184" s="10" t="s">
        <v>730</v>
      </c>
      <c r="C184" s="10" t="str">
        <f>_xlfn.XLOOKUP(B184,DataSet!$N$2:$N$600,DataSet!$AF$2:$AF$600,0)</f>
        <v>166191</v>
      </c>
      <c r="D184" s="10" t="str">
        <f>_xlfn.XLOOKUP(B184,DataSet!$N$2:$N$600,DataSet!$G$2:$G$600,0)</f>
        <v>David Kendrick</v>
      </c>
      <c r="E184" s="10" t="str">
        <f>_xlfn.XLOOKUP(B184,DataSet!$N$2:$N$600,DataSet!$F$2:$F$600,0)</f>
        <v>DK-13150</v>
      </c>
      <c r="F184" s="10" t="str">
        <f>_xlfn.XLOOKUP(B184,DataSet!$N$2:$N$600,DataSet!$W$2:$W$600,0)</f>
        <v>Corporate</v>
      </c>
      <c r="G184" s="13">
        <f>_xlfn.XLOOKUP(B184,DataSet!$N$2:$N$600,DataSet!$C$2:$C$600,0)</f>
        <v>41978</v>
      </c>
      <c r="H184" s="10" t="str">
        <f>_xlfn.XLOOKUP(B184,DataSet!$N$2:$N$600,DataSet!$I$2:$I$600,0)</f>
        <v>United States</v>
      </c>
      <c r="I184" s="10" t="str">
        <f>_xlfn.XLOOKUP(B184,DataSet!$N$2:$N$600,DataSet!$X$2:$X$600,0)</f>
        <v>Decatur - Illinois</v>
      </c>
      <c r="J184" s="10" t="str">
        <f>_xlfn.XLOOKUP(B184,DataSet!$N$2:$N$600,DataSet!$M$2:$M$600,0)</f>
        <v>Central</v>
      </c>
      <c r="K184" s="10" t="str">
        <f>_xlfn.XLOOKUP(B184,DataSet!$N$2:$N$600,DataSet!$O$2:$O$600,0)</f>
        <v>Technology</v>
      </c>
      <c r="L184" s="10" t="str">
        <f>_xlfn.XLOOKUP(B184,DataSet!$N$2:$N$600,DataSet!$Y$2:$Y$600,0)</f>
        <v>Accessories</v>
      </c>
      <c r="M184" s="10" t="str">
        <f>_xlfn.XLOOKUP(B184,DataSet!$N$2:$N$600,DataSet!$Q$2:$Q$600,0)</f>
        <v>Imation Secure+ Hardware Encrypted USB 2.0 Flash Drive; 16GB</v>
      </c>
      <c r="N184" s="16">
        <f>_xlfn.XLOOKUP(B184,DataSet!$N$2:$N$600,DataSet!$AA$2:$AA$600,0)</f>
        <v>408.74400000000003</v>
      </c>
      <c r="O184" s="10">
        <f>_xlfn.XLOOKUP(B184,DataSet!$N$2:$N$600,DataSet!$S$2:$S$600,0)</f>
        <v>7</v>
      </c>
      <c r="P184" s="15">
        <f>_xlfn.XLOOKUP(B184,DataSet!$N$2:$N$600,DataSet!$T$2:$T$600,0)</f>
        <v>0.2</v>
      </c>
      <c r="Q184" s="14">
        <f>_xlfn.XLOOKUP(B184,DataSet!$N$2:$N$600,DataSet!$U$2:$U$600,0)</f>
        <v>76.639499999999998</v>
      </c>
      <c r="R184" s="16">
        <f>_xlfn.XLOOKUP(B184,DataSet!$N$2:$N$600,DataSet!$AB$2:$AB$600,0)</f>
        <v>2861.2080000000001</v>
      </c>
      <c r="S184" s="9">
        <f>_xlfn.XLOOKUP(B184,DataSet!$N$2:$N$600,DataSet!$AC$2:$AC$600,0)</f>
        <v>2288.9664000000002</v>
      </c>
    </row>
    <row r="185" spans="1:19" s="12" customFormat="1" x14ac:dyDescent="0.3">
      <c r="A185" s="27">
        <v>183</v>
      </c>
      <c r="B185" s="10" t="s">
        <v>737</v>
      </c>
      <c r="C185" s="10" t="str">
        <f>_xlfn.XLOOKUP(B185,DataSet!$N$2:$N$600,DataSet!$AF$2:$AF$600,0)</f>
        <v>158274</v>
      </c>
      <c r="D185" s="10" t="str">
        <f>_xlfn.XLOOKUP(B185,DataSet!$N$2:$N$600,DataSet!$G$2:$G$600,0)</f>
        <v>Robert Marley</v>
      </c>
      <c r="E185" s="10" t="str">
        <f>_xlfn.XLOOKUP(B185,DataSet!$N$2:$N$600,DataSet!$F$2:$F$600,0)</f>
        <v>RM-19675</v>
      </c>
      <c r="F185" s="10" t="str">
        <f>_xlfn.XLOOKUP(B185,DataSet!$N$2:$N$600,DataSet!$W$2:$W$600,0)</f>
        <v>Home Office</v>
      </c>
      <c r="G185" s="13">
        <f>_xlfn.XLOOKUP(B185,DataSet!$N$2:$N$600,DataSet!$C$2:$C$600,0)</f>
        <v>41962</v>
      </c>
      <c r="H185" s="10" t="str">
        <f>_xlfn.XLOOKUP(B185,DataSet!$N$2:$N$600,DataSet!$I$2:$I$600,0)</f>
        <v>United States</v>
      </c>
      <c r="I185" s="10" t="str">
        <f>_xlfn.XLOOKUP(B185,DataSet!$N$2:$N$600,DataSet!$X$2:$X$600,0)</f>
        <v>Monroe - Louisiana</v>
      </c>
      <c r="J185" s="10" t="str">
        <f>_xlfn.XLOOKUP(B185,DataSet!$N$2:$N$600,DataSet!$M$2:$M$600,0)</f>
        <v>South</v>
      </c>
      <c r="K185" s="10" t="str">
        <f>_xlfn.XLOOKUP(B185,DataSet!$N$2:$N$600,DataSet!$O$2:$O$600,0)</f>
        <v>Technology</v>
      </c>
      <c r="L185" s="10" t="str">
        <f>_xlfn.XLOOKUP(B185,DataSet!$N$2:$N$600,DataSet!$Y$2:$Y$600,0)</f>
        <v>Phones</v>
      </c>
      <c r="M185" s="10" t="str">
        <f>_xlfn.XLOOKUP(B185,DataSet!$N$2:$N$600,DataSet!$Q$2:$Q$600,0)</f>
        <v>AT&amp;T TR1909W</v>
      </c>
      <c r="N185" s="16">
        <f>_xlfn.XLOOKUP(B185,DataSet!$N$2:$N$600,DataSet!$AA$2:$AA$600,0)</f>
        <v>503.96</v>
      </c>
      <c r="O185" s="10">
        <f>_xlfn.XLOOKUP(B185,DataSet!$N$2:$N$600,DataSet!$S$2:$S$600,0)</f>
        <v>4</v>
      </c>
      <c r="P185" s="15">
        <f>_xlfn.XLOOKUP(B185,DataSet!$N$2:$N$600,DataSet!$T$2:$T$600,0)</f>
        <v>0</v>
      </c>
      <c r="Q185" s="14">
        <f>_xlfn.XLOOKUP(B185,DataSet!$N$2:$N$600,DataSet!$U$2:$U$600,0)</f>
        <v>131.02959999999999</v>
      </c>
      <c r="R185" s="16">
        <f>_xlfn.XLOOKUP(B185,DataSet!$N$2:$N$600,DataSet!$AB$2:$AB$600,0)</f>
        <v>2015.84</v>
      </c>
      <c r="S185" s="9">
        <f>_xlfn.XLOOKUP(B185,DataSet!$N$2:$N$600,DataSet!$AC$2:$AC$600,0)</f>
        <v>2015.84</v>
      </c>
    </row>
    <row r="186" spans="1:19" s="12" customFormat="1" x14ac:dyDescent="0.3">
      <c r="A186" s="27">
        <v>184</v>
      </c>
      <c r="B186" s="10" t="s">
        <v>739</v>
      </c>
      <c r="C186" s="10" t="str">
        <f>_xlfn.XLOOKUP(B186,DataSet!$N$2:$N$600,DataSet!$AF$2:$AF$600,0)</f>
        <v>158274</v>
      </c>
      <c r="D186" s="10" t="str">
        <f>_xlfn.XLOOKUP(B186,DataSet!$N$2:$N$600,DataSet!$G$2:$G$600,0)</f>
        <v>Robert Marley</v>
      </c>
      <c r="E186" s="10" t="str">
        <f>_xlfn.XLOOKUP(B186,DataSet!$N$2:$N$600,DataSet!$F$2:$F$600,0)</f>
        <v>RM-19675</v>
      </c>
      <c r="F186" s="10" t="str">
        <f>_xlfn.XLOOKUP(B186,DataSet!$N$2:$N$600,DataSet!$W$2:$W$600,0)</f>
        <v>Home Office</v>
      </c>
      <c r="G186" s="13">
        <f>_xlfn.XLOOKUP(B186,DataSet!$N$2:$N$600,DataSet!$C$2:$C$600,0)</f>
        <v>41962</v>
      </c>
      <c r="H186" s="10" t="str">
        <f>_xlfn.XLOOKUP(B186,DataSet!$N$2:$N$600,DataSet!$I$2:$I$600,0)</f>
        <v>United States</v>
      </c>
      <c r="I186" s="10" t="str">
        <f>_xlfn.XLOOKUP(B186,DataSet!$N$2:$N$600,DataSet!$X$2:$X$600,0)</f>
        <v>Monroe - Louisiana</v>
      </c>
      <c r="J186" s="10" t="str">
        <f>_xlfn.XLOOKUP(B186,DataSet!$N$2:$N$600,DataSet!$M$2:$M$600,0)</f>
        <v>South</v>
      </c>
      <c r="K186" s="10" t="str">
        <f>_xlfn.XLOOKUP(B186,DataSet!$N$2:$N$600,DataSet!$O$2:$O$600,0)</f>
        <v>Technology</v>
      </c>
      <c r="L186" s="10" t="str">
        <f>_xlfn.XLOOKUP(B186,DataSet!$N$2:$N$600,DataSet!$Y$2:$Y$600,0)</f>
        <v>Phones</v>
      </c>
      <c r="M186" s="10" t="str">
        <f>_xlfn.XLOOKUP(B186,DataSet!$N$2:$N$600,DataSet!$Q$2:$Q$600,0)</f>
        <v>Nokia Lumia 521 (T-Mobile)</v>
      </c>
      <c r="N186" s="16">
        <f>_xlfn.XLOOKUP(B186,DataSet!$N$2:$N$600,DataSet!$AA$2:$AA$600,0)</f>
        <v>149.94999999999999</v>
      </c>
      <c r="O186" s="10">
        <f>_xlfn.XLOOKUP(B186,DataSet!$N$2:$N$600,DataSet!$S$2:$S$600,0)</f>
        <v>5</v>
      </c>
      <c r="P186" s="15">
        <f>_xlfn.XLOOKUP(B186,DataSet!$N$2:$N$600,DataSet!$T$2:$T$600,0)</f>
        <v>0</v>
      </c>
      <c r="Q186" s="14">
        <f>_xlfn.XLOOKUP(B186,DataSet!$N$2:$N$600,DataSet!$U$2:$U$600,0)</f>
        <v>41.985999999999997</v>
      </c>
      <c r="R186" s="16">
        <f>_xlfn.XLOOKUP(B186,DataSet!$N$2:$N$600,DataSet!$AB$2:$AB$600,0)</f>
        <v>749.75</v>
      </c>
      <c r="S186" s="9">
        <f>_xlfn.XLOOKUP(B186,DataSet!$N$2:$N$600,DataSet!$AC$2:$AC$600,0)</f>
        <v>749.75</v>
      </c>
    </row>
    <row r="187" spans="1:19" s="12" customFormat="1" x14ac:dyDescent="0.3">
      <c r="A187" s="27">
        <v>185</v>
      </c>
      <c r="B187" s="10" t="s">
        <v>741</v>
      </c>
      <c r="C187" s="10" t="str">
        <f>_xlfn.XLOOKUP(B187,DataSet!$N$2:$N$600,DataSet!$AF$2:$AF$600,0)</f>
        <v>158274</v>
      </c>
      <c r="D187" s="10" t="str">
        <f>_xlfn.XLOOKUP(B187,DataSet!$N$2:$N$600,DataSet!$G$2:$G$600,0)</f>
        <v>Robert Marley</v>
      </c>
      <c r="E187" s="10" t="str">
        <f>_xlfn.XLOOKUP(B187,DataSet!$N$2:$N$600,DataSet!$F$2:$F$600,0)</f>
        <v>RM-19675</v>
      </c>
      <c r="F187" s="10" t="str">
        <f>_xlfn.XLOOKUP(B187,DataSet!$N$2:$N$600,DataSet!$W$2:$W$600,0)</f>
        <v>Home Office</v>
      </c>
      <c r="G187" s="13">
        <f>_xlfn.XLOOKUP(B187,DataSet!$N$2:$N$600,DataSet!$C$2:$C$600,0)</f>
        <v>41962</v>
      </c>
      <c r="H187" s="10" t="str">
        <f>_xlfn.XLOOKUP(B187,DataSet!$N$2:$N$600,DataSet!$I$2:$I$600,0)</f>
        <v>United States</v>
      </c>
      <c r="I187" s="10" t="str">
        <f>_xlfn.XLOOKUP(B187,DataSet!$N$2:$N$600,DataSet!$X$2:$X$600,0)</f>
        <v>Monroe - Louisiana</v>
      </c>
      <c r="J187" s="10" t="str">
        <f>_xlfn.XLOOKUP(B187,DataSet!$N$2:$N$600,DataSet!$M$2:$M$600,0)</f>
        <v>South</v>
      </c>
      <c r="K187" s="10" t="str">
        <f>_xlfn.XLOOKUP(B187,DataSet!$N$2:$N$600,DataSet!$O$2:$O$600,0)</f>
        <v>Technology</v>
      </c>
      <c r="L187" s="10" t="str">
        <f>_xlfn.XLOOKUP(B187,DataSet!$N$2:$N$600,DataSet!$Y$2:$Y$600,0)</f>
        <v>Accessories</v>
      </c>
      <c r="M187" s="10" t="str">
        <f>_xlfn.XLOOKUP(B187,DataSet!$N$2:$N$600,DataSet!$Q$2:$Q$600,0)</f>
        <v>HP Standard 104 key PS/2 Keyboard</v>
      </c>
      <c r="N187" s="16">
        <f>_xlfn.XLOOKUP(B187,DataSet!$N$2:$N$600,DataSet!$AA$2:$AA$600,0)</f>
        <v>29</v>
      </c>
      <c r="O187" s="10">
        <f>_xlfn.XLOOKUP(B187,DataSet!$N$2:$N$600,DataSet!$S$2:$S$600,0)</f>
        <v>2</v>
      </c>
      <c r="P187" s="15">
        <f>_xlfn.XLOOKUP(B187,DataSet!$N$2:$N$600,DataSet!$T$2:$T$600,0)</f>
        <v>0</v>
      </c>
      <c r="Q187" s="14">
        <f>_xlfn.XLOOKUP(B187,DataSet!$N$2:$N$600,DataSet!$U$2:$U$600,0)</f>
        <v>7.25</v>
      </c>
      <c r="R187" s="16">
        <f>_xlfn.XLOOKUP(B187,DataSet!$N$2:$N$600,DataSet!$AB$2:$AB$600,0)</f>
        <v>58</v>
      </c>
      <c r="S187" s="9">
        <f>_xlfn.XLOOKUP(B187,DataSet!$N$2:$N$600,DataSet!$AC$2:$AC$600,0)</f>
        <v>58</v>
      </c>
    </row>
    <row r="188" spans="1:19" s="12" customFormat="1" x14ac:dyDescent="0.3">
      <c r="A188" s="27">
        <v>186</v>
      </c>
      <c r="B188" s="10" t="s">
        <v>748</v>
      </c>
      <c r="C188" s="10" t="str">
        <f>_xlfn.XLOOKUP(B188,DataSet!$N$2:$N$600,DataSet!$AF$2:$AF$600,0)</f>
        <v>105018</v>
      </c>
      <c r="D188" s="10" t="str">
        <f>_xlfn.XLOOKUP(B188,DataSet!$N$2:$N$600,DataSet!$G$2:$G$600,0)</f>
        <v>Sally Knutson</v>
      </c>
      <c r="E188" s="10" t="str">
        <f>_xlfn.XLOOKUP(B188,DataSet!$N$2:$N$600,DataSet!$F$2:$F$600,0)</f>
        <v>SK-19990</v>
      </c>
      <c r="F188" s="10" t="str">
        <f>_xlfn.XLOOKUP(B188,DataSet!$N$2:$N$600,DataSet!$W$2:$W$600,0)</f>
        <v>Consumer</v>
      </c>
      <c r="G188" s="13">
        <f>_xlfn.XLOOKUP(B188,DataSet!$N$2:$N$600,DataSet!$C$2:$C$600,0)</f>
        <v>42702</v>
      </c>
      <c r="H188" s="10" t="str">
        <f>_xlfn.XLOOKUP(B188,DataSet!$N$2:$N$600,DataSet!$I$2:$I$600,0)</f>
        <v>United States</v>
      </c>
      <c r="I188" s="10" t="str">
        <f>_xlfn.XLOOKUP(B188,DataSet!$N$2:$N$600,DataSet!$X$2:$X$600,0)</f>
        <v>Fairfield - Connecticut</v>
      </c>
      <c r="J188" s="10" t="str">
        <f>_xlfn.XLOOKUP(B188,DataSet!$N$2:$N$600,DataSet!$M$2:$M$600,0)</f>
        <v>East</v>
      </c>
      <c r="K188" s="10" t="str">
        <f>_xlfn.XLOOKUP(B188,DataSet!$N$2:$N$600,DataSet!$O$2:$O$600,0)</f>
        <v>Office Supplies</v>
      </c>
      <c r="L188" s="10" t="str">
        <f>_xlfn.XLOOKUP(B188,DataSet!$N$2:$N$600,DataSet!$Y$2:$Y$600,0)</f>
        <v>Binders</v>
      </c>
      <c r="M188" s="10" t="str">
        <f>_xlfn.XLOOKUP(B188,DataSet!$N$2:$N$600,DataSet!$Q$2:$Q$600,0)</f>
        <v>Avery Poly Binder Pockets</v>
      </c>
      <c r="N188" s="16">
        <f>_xlfn.XLOOKUP(B188,DataSet!$N$2:$N$600,DataSet!$AA$2:$AA$600,0)</f>
        <v>7.16</v>
      </c>
      <c r="O188" s="10">
        <f>_xlfn.XLOOKUP(B188,DataSet!$N$2:$N$600,DataSet!$S$2:$S$600,0)</f>
        <v>2</v>
      </c>
      <c r="P188" s="15">
        <f>_xlfn.XLOOKUP(B188,DataSet!$N$2:$N$600,DataSet!$T$2:$T$600,0)</f>
        <v>0</v>
      </c>
      <c r="Q188" s="14">
        <f>_xlfn.XLOOKUP(B188,DataSet!$N$2:$N$600,DataSet!$U$2:$U$600,0)</f>
        <v>3.4367999999999999</v>
      </c>
      <c r="R188" s="16">
        <f>_xlfn.XLOOKUP(B188,DataSet!$N$2:$N$600,DataSet!$AB$2:$AB$600,0)</f>
        <v>14.32</v>
      </c>
      <c r="S188" s="9">
        <f>_xlfn.XLOOKUP(B188,DataSet!$N$2:$N$600,DataSet!$AC$2:$AC$600,0)</f>
        <v>14.32</v>
      </c>
    </row>
    <row r="189" spans="1:19" s="12" customFormat="1" x14ac:dyDescent="0.3">
      <c r="A189" s="27">
        <v>187</v>
      </c>
      <c r="B189" s="10" t="s">
        <v>753</v>
      </c>
      <c r="C189" s="10" t="str">
        <f>_xlfn.XLOOKUP(B189,DataSet!$N$2:$N$600,DataSet!$AF$2:$AF$600,0)</f>
        <v>123260</v>
      </c>
      <c r="D189" s="10" t="str">
        <f>_xlfn.XLOOKUP(B189,DataSet!$N$2:$N$600,DataSet!$G$2:$G$600,0)</f>
        <v>Frank Merwin</v>
      </c>
      <c r="E189" s="10" t="str">
        <f>_xlfn.XLOOKUP(B189,DataSet!$N$2:$N$600,DataSet!$F$2:$F$600,0)</f>
        <v>FM-14290</v>
      </c>
      <c r="F189" s="10" t="str">
        <f>_xlfn.XLOOKUP(B189,DataSet!$N$2:$N$600,DataSet!$W$2:$W$600,0)</f>
        <v>Home Office</v>
      </c>
      <c r="G189" s="13">
        <f>_xlfn.XLOOKUP(B189,DataSet!$N$2:$N$600,DataSet!$C$2:$C$600,0)</f>
        <v>41877</v>
      </c>
      <c r="H189" s="10" t="str">
        <f>_xlfn.XLOOKUP(B189,DataSet!$N$2:$N$600,DataSet!$I$2:$I$600,0)</f>
        <v>United States</v>
      </c>
      <c r="I189" s="10" t="str">
        <f>_xlfn.XLOOKUP(B189,DataSet!$N$2:$N$600,DataSet!$X$2:$X$600,0)</f>
        <v>Los Angeles - California</v>
      </c>
      <c r="J189" s="10" t="str">
        <f>_xlfn.XLOOKUP(B189,DataSet!$N$2:$N$600,DataSet!$M$2:$M$600,0)</f>
        <v>West</v>
      </c>
      <c r="K189" s="10" t="str">
        <f>_xlfn.XLOOKUP(B189,DataSet!$N$2:$N$600,DataSet!$O$2:$O$600,0)</f>
        <v>Technology</v>
      </c>
      <c r="L189" s="10" t="str">
        <f>_xlfn.XLOOKUP(B189,DataSet!$N$2:$N$600,DataSet!$Y$2:$Y$600,0)</f>
        <v>Accessories</v>
      </c>
      <c r="M189" s="10" t="str">
        <f>_xlfn.XLOOKUP(B189,DataSet!$N$2:$N$600,DataSet!$Q$2:$Q$600,0)</f>
        <v>SanDisk Ultra 32 GB MicroSDHC Class 10 Memory Card</v>
      </c>
      <c r="N189" s="16">
        <f>_xlfn.XLOOKUP(B189,DataSet!$N$2:$N$600,DataSet!$AA$2:$AA$600,0)</f>
        <v>176.8</v>
      </c>
      <c r="O189" s="10">
        <f>_xlfn.XLOOKUP(B189,DataSet!$N$2:$N$600,DataSet!$S$2:$S$600,0)</f>
        <v>8</v>
      </c>
      <c r="P189" s="15">
        <f>_xlfn.XLOOKUP(B189,DataSet!$N$2:$N$600,DataSet!$T$2:$T$600,0)</f>
        <v>0</v>
      </c>
      <c r="Q189" s="14">
        <f>_xlfn.XLOOKUP(B189,DataSet!$N$2:$N$600,DataSet!$U$2:$U$600,0)</f>
        <v>22.984000000000002</v>
      </c>
      <c r="R189" s="16">
        <f>_xlfn.XLOOKUP(B189,DataSet!$N$2:$N$600,DataSet!$AB$2:$AB$600,0)</f>
        <v>1414.4</v>
      </c>
      <c r="S189" s="9">
        <f>_xlfn.XLOOKUP(B189,DataSet!$N$2:$N$600,DataSet!$AC$2:$AC$600,0)</f>
        <v>1414.4</v>
      </c>
    </row>
    <row r="190" spans="1:19" s="12" customFormat="1" x14ac:dyDescent="0.3">
      <c r="A190" s="27">
        <v>188</v>
      </c>
      <c r="B190" s="10" t="s">
        <v>759</v>
      </c>
      <c r="C190" s="10" t="str">
        <f>_xlfn.XLOOKUP(B190,DataSet!$N$2:$N$600,DataSet!$AF$2:$AF$600,0)</f>
        <v>157000</v>
      </c>
      <c r="D190" s="10" t="str">
        <f>_xlfn.XLOOKUP(B190,DataSet!$N$2:$N$600,DataSet!$G$2:$G$600,0)</f>
        <v>Alice McCarthy</v>
      </c>
      <c r="E190" s="10" t="str">
        <f>_xlfn.XLOOKUP(B190,DataSet!$N$2:$N$600,DataSet!$F$2:$F$600,0)</f>
        <v>AM-10360</v>
      </c>
      <c r="F190" s="10" t="str">
        <f>_xlfn.XLOOKUP(B190,DataSet!$N$2:$N$600,DataSet!$W$2:$W$600,0)</f>
        <v>Corporate</v>
      </c>
      <c r="G190" s="13">
        <f>_xlfn.XLOOKUP(B190,DataSet!$N$2:$N$600,DataSet!$C$2:$C$600,0)</f>
        <v>42567</v>
      </c>
      <c r="H190" s="10" t="str">
        <f>_xlfn.XLOOKUP(B190,DataSet!$N$2:$N$600,DataSet!$I$2:$I$600,0)</f>
        <v>United States</v>
      </c>
      <c r="I190" s="10" t="str">
        <f>_xlfn.XLOOKUP(B190,DataSet!$N$2:$N$600,DataSet!$X$2:$X$600,0)</f>
        <v>Grand Prairie - Texas</v>
      </c>
      <c r="J190" s="10" t="str">
        <f>_xlfn.XLOOKUP(B190,DataSet!$N$2:$N$600,DataSet!$M$2:$M$600,0)</f>
        <v>Central</v>
      </c>
      <c r="K190" s="10" t="str">
        <f>_xlfn.XLOOKUP(B190,DataSet!$N$2:$N$600,DataSet!$O$2:$O$600,0)</f>
        <v>Office Supplies</v>
      </c>
      <c r="L190" s="10" t="str">
        <f>_xlfn.XLOOKUP(B190,DataSet!$N$2:$N$600,DataSet!$Y$2:$Y$600,0)</f>
        <v>Storage</v>
      </c>
      <c r="M190" s="10" t="str">
        <f>_xlfn.XLOOKUP(B190,DataSet!$N$2:$N$600,DataSet!$Q$2:$Q$600,0)</f>
        <v>Personal Filing Tote with Lid, Black/Gray</v>
      </c>
      <c r="N190" s="16">
        <f>_xlfn.XLOOKUP(B190,DataSet!$N$2:$N$600,DataSet!$AA$2:$AA$600,0)</f>
        <v>37.223999999999997</v>
      </c>
      <c r="O190" s="10">
        <f>_xlfn.XLOOKUP(B190,DataSet!$N$2:$N$600,DataSet!$S$2:$S$600,0)</f>
        <v>3</v>
      </c>
      <c r="P190" s="15">
        <f>_xlfn.XLOOKUP(B190,DataSet!$N$2:$N$600,DataSet!$T$2:$T$600,0)</f>
        <v>0.2</v>
      </c>
      <c r="Q190" s="14">
        <f>_xlfn.XLOOKUP(B190,DataSet!$N$2:$N$600,DataSet!$U$2:$U$600,0)</f>
        <v>3.7223999999999999</v>
      </c>
      <c r="R190" s="16">
        <f>_xlfn.XLOOKUP(B190,DataSet!$N$2:$N$600,DataSet!$AB$2:$AB$600,0)</f>
        <v>111.672</v>
      </c>
      <c r="S190" s="9">
        <f>_xlfn.XLOOKUP(B190,DataSet!$N$2:$N$600,DataSet!$AC$2:$AC$600,0)</f>
        <v>89.337600000000009</v>
      </c>
    </row>
    <row r="191" spans="1:19" s="12" customFormat="1" x14ac:dyDescent="0.3">
      <c r="A191" s="27">
        <v>189</v>
      </c>
      <c r="B191" s="10" t="s">
        <v>630</v>
      </c>
      <c r="C191" s="10" t="str">
        <f>_xlfn.XLOOKUP(B191,DataSet!$N$2:$N$600,DataSet!$AF$2:$AF$600,0)</f>
        <v>124919</v>
      </c>
      <c r="D191" s="10" t="str">
        <f>_xlfn.XLOOKUP(B191,DataSet!$N$2:$N$600,DataSet!$G$2:$G$600,0)</f>
        <v>Stephanie Phelps</v>
      </c>
      <c r="E191" s="10" t="str">
        <f>_xlfn.XLOOKUP(B191,DataSet!$N$2:$N$600,DataSet!$F$2:$F$600,0)</f>
        <v>SP-20650</v>
      </c>
      <c r="F191" s="10" t="str">
        <f>_xlfn.XLOOKUP(B191,DataSet!$N$2:$N$600,DataSet!$W$2:$W$600,0)</f>
        <v>Corporate</v>
      </c>
      <c r="G191" s="13">
        <f>_xlfn.XLOOKUP(B191,DataSet!$N$2:$N$600,DataSet!$C$2:$C$600,0)</f>
        <v>42155</v>
      </c>
      <c r="H191" s="10" t="str">
        <f>_xlfn.XLOOKUP(B191,DataSet!$N$2:$N$600,DataSet!$I$2:$I$600,0)</f>
        <v>United States</v>
      </c>
      <c r="I191" s="10" t="str">
        <f>_xlfn.XLOOKUP(B191,DataSet!$N$2:$N$600,DataSet!$X$2:$X$600,0)</f>
        <v>San Jose - California</v>
      </c>
      <c r="J191" s="10" t="str">
        <f>_xlfn.XLOOKUP(B191,DataSet!$N$2:$N$600,DataSet!$M$2:$M$600,0)</f>
        <v>West</v>
      </c>
      <c r="K191" s="10" t="str">
        <f>_xlfn.XLOOKUP(B191,DataSet!$N$2:$N$600,DataSet!$O$2:$O$600,0)</f>
        <v>Office Supplies</v>
      </c>
      <c r="L191" s="10" t="str">
        <f>_xlfn.XLOOKUP(B191,DataSet!$N$2:$N$600,DataSet!$Y$2:$Y$600,0)</f>
        <v>Paper</v>
      </c>
      <c r="M191" s="10" t="str">
        <f>_xlfn.XLOOKUP(B191,DataSet!$N$2:$N$600,DataSet!$Q$2:$Q$600,0)</f>
        <v>Southworth 25% Cotton Antique Laid Paper &amp; Envelopes</v>
      </c>
      <c r="N191" s="16">
        <f>_xlfn.XLOOKUP(B191,DataSet!$N$2:$N$600,DataSet!$AA$2:$AA$600,0)</f>
        <v>58.38</v>
      </c>
      <c r="O191" s="10">
        <f>_xlfn.XLOOKUP(B191,DataSet!$N$2:$N$600,DataSet!$S$2:$S$600,0)</f>
        <v>7</v>
      </c>
      <c r="P191" s="15">
        <f>_xlfn.XLOOKUP(B191,DataSet!$N$2:$N$600,DataSet!$T$2:$T$600,0)</f>
        <v>0</v>
      </c>
      <c r="Q191" s="14">
        <f>_xlfn.XLOOKUP(B191,DataSet!$N$2:$N$600,DataSet!$U$2:$U$600,0)</f>
        <v>26.271000000000001</v>
      </c>
      <c r="R191" s="16">
        <f>_xlfn.XLOOKUP(B191,DataSet!$N$2:$N$600,DataSet!$AB$2:$AB$600,0)</f>
        <v>408.66</v>
      </c>
      <c r="S191" s="9">
        <f>_xlfn.XLOOKUP(B191,DataSet!$N$2:$N$600,DataSet!$AC$2:$AC$600,0)</f>
        <v>408.66</v>
      </c>
    </row>
    <row r="192" spans="1:19" s="12" customFormat="1" x14ac:dyDescent="0.3">
      <c r="A192" s="27">
        <v>190</v>
      </c>
      <c r="B192" s="10" t="s">
        <v>764</v>
      </c>
      <c r="C192" s="10" t="str">
        <f>_xlfn.XLOOKUP(B192,DataSet!$N$2:$N$600,DataSet!$AF$2:$AF$600,0)</f>
        <v>102281</v>
      </c>
      <c r="D192" s="10" t="str">
        <f>_xlfn.XLOOKUP(B192,DataSet!$N$2:$N$600,DataSet!$G$2:$G$600,0)</f>
        <v>Mark Packer</v>
      </c>
      <c r="E192" s="10" t="str">
        <f>_xlfn.XLOOKUP(B192,DataSet!$N$2:$N$600,DataSet!$F$2:$F$600,0)</f>
        <v>MP-17470</v>
      </c>
      <c r="F192" s="10" t="str">
        <f>_xlfn.XLOOKUP(B192,DataSet!$N$2:$N$600,DataSet!$W$2:$W$600,0)</f>
        <v>Home Office</v>
      </c>
      <c r="G192" s="13">
        <f>_xlfn.XLOOKUP(B192,DataSet!$N$2:$N$600,DataSet!$C$2:$C$600,0)</f>
        <v>42289</v>
      </c>
      <c r="H192" s="10" t="str">
        <f>_xlfn.XLOOKUP(B192,DataSet!$N$2:$N$600,DataSet!$I$2:$I$600,0)</f>
        <v>United States</v>
      </c>
      <c r="I192" s="10" t="str">
        <f>_xlfn.XLOOKUP(B192,DataSet!$N$2:$N$600,DataSet!$X$2:$X$600,0)</f>
        <v>New York City - New York</v>
      </c>
      <c r="J192" s="10" t="str">
        <f>_xlfn.XLOOKUP(B192,DataSet!$N$2:$N$600,DataSet!$M$2:$M$600,0)</f>
        <v>East</v>
      </c>
      <c r="K192" s="10" t="str">
        <f>_xlfn.XLOOKUP(B192,DataSet!$N$2:$N$600,DataSet!$O$2:$O$600,0)</f>
        <v>Furniture</v>
      </c>
      <c r="L192" s="10" t="str">
        <f>_xlfn.XLOOKUP(B192,DataSet!$N$2:$N$600,DataSet!$Y$2:$Y$600,0)</f>
        <v>Bookcases</v>
      </c>
      <c r="M192" s="10" t="str">
        <f>_xlfn.XLOOKUP(B192,DataSet!$N$2:$N$600,DataSet!$Q$2:$Q$600,0)</f>
        <v>Atlantic Metals Mobile 4-Shelf Bookcases, Custom Colors</v>
      </c>
      <c r="N192" s="16">
        <f>_xlfn.XLOOKUP(B192,DataSet!$N$2:$N$600,DataSet!$AA$2:$AA$600,0)</f>
        <v>899.13599999999997</v>
      </c>
      <c r="O192" s="10">
        <f>_xlfn.XLOOKUP(B192,DataSet!$N$2:$N$600,DataSet!$S$2:$S$600,0)</f>
        <v>4</v>
      </c>
      <c r="P192" s="15">
        <f>_xlfn.XLOOKUP(B192,DataSet!$N$2:$N$600,DataSet!$T$2:$T$600,0)</f>
        <v>0.2</v>
      </c>
      <c r="Q192" s="14">
        <f>_xlfn.XLOOKUP(B192,DataSet!$N$2:$N$600,DataSet!$U$2:$U$600,0)</f>
        <v>112.392</v>
      </c>
      <c r="R192" s="16">
        <f>_xlfn.XLOOKUP(B192,DataSet!$N$2:$N$600,DataSet!$AB$2:$AB$600,0)</f>
        <v>3596.5439999999999</v>
      </c>
      <c r="S192" s="9">
        <f>_xlfn.XLOOKUP(B192,DataSet!$N$2:$N$600,DataSet!$AC$2:$AC$600,0)</f>
        <v>2877.2352000000001</v>
      </c>
    </row>
    <row r="193" spans="1:19" s="12" customFormat="1" x14ac:dyDescent="0.3">
      <c r="A193" s="27">
        <v>191</v>
      </c>
      <c r="B193" s="10" t="s">
        <v>766</v>
      </c>
      <c r="C193" s="10" t="str">
        <f>_xlfn.XLOOKUP(B193,DataSet!$N$2:$N$600,DataSet!$AF$2:$AF$600,0)</f>
        <v>102281</v>
      </c>
      <c r="D193" s="10" t="str">
        <f>_xlfn.XLOOKUP(B193,DataSet!$N$2:$N$600,DataSet!$G$2:$G$600,0)</f>
        <v>Mark Packer</v>
      </c>
      <c r="E193" s="10" t="str">
        <f>_xlfn.XLOOKUP(B193,DataSet!$N$2:$N$600,DataSet!$F$2:$F$600,0)</f>
        <v>MP-17470</v>
      </c>
      <c r="F193" s="10" t="str">
        <f>_xlfn.XLOOKUP(B193,DataSet!$N$2:$N$600,DataSet!$W$2:$W$600,0)</f>
        <v>Home Office</v>
      </c>
      <c r="G193" s="13">
        <f>_xlfn.XLOOKUP(B193,DataSet!$N$2:$N$600,DataSet!$C$2:$C$600,0)</f>
        <v>42289</v>
      </c>
      <c r="H193" s="10" t="str">
        <f>_xlfn.XLOOKUP(B193,DataSet!$N$2:$N$600,DataSet!$I$2:$I$600,0)</f>
        <v>United States</v>
      </c>
      <c r="I193" s="10" t="str">
        <f>_xlfn.XLOOKUP(B193,DataSet!$N$2:$N$600,DataSet!$X$2:$X$600,0)</f>
        <v>New York City - New York</v>
      </c>
      <c r="J193" s="10" t="str">
        <f>_xlfn.XLOOKUP(B193,DataSet!$N$2:$N$600,DataSet!$M$2:$M$600,0)</f>
        <v>East</v>
      </c>
      <c r="K193" s="10" t="str">
        <f>_xlfn.XLOOKUP(B193,DataSet!$N$2:$N$600,DataSet!$O$2:$O$600,0)</f>
        <v>Technology</v>
      </c>
      <c r="L193" s="10" t="str">
        <f>_xlfn.XLOOKUP(B193,DataSet!$N$2:$N$600,DataSet!$Y$2:$Y$600,0)</f>
        <v>Phones</v>
      </c>
      <c r="M193" s="10" t="str">
        <f>_xlfn.XLOOKUP(B193,DataSet!$N$2:$N$600,DataSet!$Q$2:$Q$600,0)</f>
        <v>I Need's 3d Hello Kitty Hybrid Silicone Case Cover for HTC One X 4g with 3d Hello Kitty Stylus Pen Green/pink</v>
      </c>
      <c r="N193" s="16">
        <f>_xlfn.XLOOKUP(B193,DataSet!$N$2:$N$600,DataSet!$AA$2:$AA$600,0)</f>
        <v>71.760000000000005</v>
      </c>
      <c r="O193" s="10">
        <f>_xlfn.XLOOKUP(B193,DataSet!$N$2:$N$600,DataSet!$S$2:$S$600,0)</f>
        <v>6</v>
      </c>
      <c r="P193" s="15">
        <f>_xlfn.XLOOKUP(B193,DataSet!$N$2:$N$600,DataSet!$T$2:$T$600,0)</f>
        <v>0</v>
      </c>
      <c r="Q193" s="14">
        <f>_xlfn.XLOOKUP(B193,DataSet!$N$2:$N$600,DataSet!$U$2:$U$600,0)</f>
        <v>20.0928</v>
      </c>
      <c r="R193" s="16">
        <f>_xlfn.XLOOKUP(B193,DataSet!$N$2:$N$600,DataSet!$AB$2:$AB$600,0)</f>
        <v>430.56000000000006</v>
      </c>
      <c r="S193" s="9">
        <f>_xlfn.XLOOKUP(B193,DataSet!$N$2:$N$600,DataSet!$AC$2:$AC$600,0)</f>
        <v>430.56000000000006</v>
      </c>
    </row>
    <row r="194" spans="1:19" s="12" customFormat="1" x14ac:dyDescent="0.3">
      <c r="A194" s="27">
        <v>192</v>
      </c>
      <c r="B194" s="10" t="s">
        <v>768</v>
      </c>
      <c r="C194" s="10" t="str">
        <f>_xlfn.XLOOKUP(B194,DataSet!$N$2:$N$600,DataSet!$AF$2:$AF$600,0)</f>
        <v>102281</v>
      </c>
      <c r="D194" s="10" t="str">
        <f>_xlfn.XLOOKUP(B194,DataSet!$N$2:$N$600,DataSet!$G$2:$G$600,0)</f>
        <v>Mark Packer</v>
      </c>
      <c r="E194" s="10" t="str">
        <f>_xlfn.XLOOKUP(B194,DataSet!$N$2:$N$600,DataSet!$F$2:$F$600,0)</f>
        <v>MP-17470</v>
      </c>
      <c r="F194" s="10" t="str">
        <f>_xlfn.XLOOKUP(B194,DataSet!$N$2:$N$600,DataSet!$W$2:$W$600,0)</f>
        <v>Home Office</v>
      </c>
      <c r="G194" s="13">
        <f>_xlfn.XLOOKUP(B194,DataSet!$N$2:$N$600,DataSet!$C$2:$C$600,0)</f>
        <v>42289</v>
      </c>
      <c r="H194" s="10" t="str">
        <f>_xlfn.XLOOKUP(B194,DataSet!$N$2:$N$600,DataSet!$I$2:$I$600,0)</f>
        <v>United States</v>
      </c>
      <c r="I194" s="10" t="str">
        <f>_xlfn.XLOOKUP(B194,DataSet!$N$2:$N$600,DataSet!$X$2:$X$600,0)</f>
        <v>New York City - New York</v>
      </c>
      <c r="J194" s="10" t="str">
        <f>_xlfn.XLOOKUP(B194,DataSet!$N$2:$N$600,DataSet!$M$2:$M$600,0)</f>
        <v>East</v>
      </c>
      <c r="K194" s="10" t="str">
        <f>_xlfn.XLOOKUP(B194,DataSet!$N$2:$N$600,DataSet!$O$2:$O$600,0)</f>
        <v>Office Supplies</v>
      </c>
      <c r="L194" s="10" t="str">
        <f>_xlfn.XLOOKUP(B194,DataSet!$N$2:$N$600,DataSet!$Y$2:$Y$600,0)</f>
        <v>Paper</v>
      </c>
      <c r="M194" s="10" t="str">
        <f>_xlfn.XLOOKUP(B194,DataSet!$N$2:$N$600,DataSet!$Q$2:$Q$600,0)</f>
        <v>Xerox 205</v>
      </c>
      <c r="N194" s="16">
        <f>_xlfn.XLOOKUP(B194,DataSet!$N$2:$N$600,DataSet!$AA$2:$AA$600,0)</f>
        <v>51.84</v>
      </c>
      <c r="O194" s="10">
        <f>_xlfn.XLOOKUP(B194,DataSet!$N$2:$N$600,DataSet!$S$2:$S$600,0)</f>
        <v>8</v>
      </c>
      <c r="P194" s="15">
        <f>_xlfn.XLOOKUP(B194,DataSet!$N$2:$N$600,DataSet!$T$2:$T$600,0)</f>
        <v>0</v>
      </c>
      <c r="Q194" s="14">
        <f>_xlfn.XLOOKUP(B194,DataSet!$N$2:$N$600,DataSet!$U$2:$U$600,0)</f>
        <v>24.883199999999999</v>
      </c>
      <c r="R194" s="16">
        <f>_xlfn.XLOOKUP(B194,DataSet!$N$2:$N$600,DataSet!$AB$2:$AB$600,0)</f>
        <v>414.72</v>
      </c>
      <c r="S194" s="9">
        <f>_xlfn.XLOOKUP(B194,DataSet!$N$2:$N$600,DataSet!$AC$2:$AC$600,0)</f>
        <v>414.72</v>
      </c>
    </row>
    <row r="195" spans="1:19" s="12" customFormat="1" x14ac:dyDescent="0.3">
      <c r="A195" s="27">
        <v>193</v>
      </c>
      <c r="B195" s="10" t="s">
        <v>199</v>
      </c>
      <c r="C195" s="10" t="str">
        <f>_xlfn.XLOOKUP(B195,DataSet!$N$2:$N$600,DataSet!$AF$2:$AF$600,0)</f>
        <v>117415</v>
      </c>
      <c r="D195" s="10" t="str">
        <f>_xlfn.XLOOKUP(B195,DataSet!$N$2:$N$600,DataSet!$G$2:$G$600,0)</f>
        <v>Steve Nguyen</v>
      </c>
      <c r="E195" s="10" t="str">
        <f>_xlfn.XLOOKUP(B195,DataSet!$N$2:$N$600,DataSet!$F$2:$F$600,0)</f>
        <v>SN-20710</v>
      </c>
      <c r="F195" s="10" t="str">
        <f>_xlfn.XLOOKUP(B195,DataSet!$N$2:$N$600,DataSet!$W$2:$W$600,0)</f>
        <v>Home Office</v>
      </c>
      <c r="G195" s="13">
        <f>_xlfn.XLOOKUP(B195,DataSet!$N$2:$N$600,DataSet!$C$2:$C$600,0)</f>
        <v>42365</v>
      </c>
      <c r="H195" s="10" t="str">
        <f>_xlfn.XLOOKUP(B195,DataSet!$N$2:$N$600,DataSet!$I$2:$I$600,0)</f>
        <v>United States</v>
      </c>
      <c r="I195" s="10" t="str">
        <f>_xlfn.XLOOKUP(B195,DataSet!$N$2:$N$600,DataSet!$X$2:$X$600,0)</f>
        <v>Houston - Texas</v>
      </c>
      <c r="J195" s="10" t="str">
        <f>_xlfn.XLOOKUP(B195,DataSet!$N$2:$N$600,DataSet!$M$2:$M$600,0)</f>
        <v>Central</v>
      </c>
      <c r="K195" s="10" t="str">
        <f>_xlfn.XLOOKUP(B195,DataSet!$N$2:$N$600,DataSet!$O$2:$O$600,0)</f>
        <v>Furniture</v>
      </c>
      <c r="L195" s="10" t="str">
        <f>_xlfn.XLOOKUP(B195,DataSet!$N$2:$N$600,DataSet!$Y$2:$Y$600,0)</f>
        <v>Bookcases</v>
      </c>
      <c r="M195" s="10" t="str">
        <f>_xlfn.XLOOKUP(B195,DataSet!$N$2:$N$600,DataSet!$Q$2:$Q$600,0)</f>
        <v>Atlantic Metals Mobile 3-Shelf Bookcases, Custom Colors</v>
      </c>
      <c r="N195" s="16">
        <f>_xlfn.XLOOKUP(B195,DataSet!$N$2:$N$600,DataSet!$AA$2:$AA$600,0)</f>
        <v>532.39919999999995</v>
      </c>
      <c r="O195" s="10">
        <f>_xlfn.XLOOKUP(B195,DataSet!$N$2:$N$600,DataSet!$S$2:$S$600,0)</f>
        <v>3</v>
      </c>
      <c r="P195" s="15">
        <f>_xlfn.XLOOKUP(B195,DataSet!$N$2:$N$600,DataSet!$T$2:$T$600,0)</f>
        <v>0.32</v>
      </c>
      <c r="Q195" s="14">
        <f>_xlfn.XLOOKUP(B195,DataSet!$N$2:$N$600,DataSet!$U$2:$U$600,0)</f>
        <v>-46.976399999999998</v>
      </c>
      <c r="R195" s="16">
        <f>_xlfn.XLOOKUP(B195,DataSet!$N$2:$N$600,DataSet!$AB$2:$AB$600,0)</f>
        <v>1597.1976</v>
      </c>
      <c r="S195" s="9">
        <f>_xlfn.XLOOKUP(B195,DataSet!$N$2:$N$600,DataSet!$AC$2:$AC$600,0)</f>
        <v>1086.0943679999998</v>
      </c>
    </row>
    <row r="196" spans="1:19" s="12" customFormat="1" x14ac:dyDescent="0.3">
      <c r="A196" s="27">
        <v>194</v>
      </c>
      <c r="B196" s="10" t="s">
        <v>770</v>
      </c>
      <c r="C196" s="10" t="str">
        <f>_xlfn.XLOOKUP(B196,DataSet!$N$2:$N$600,DataSet!$AF$2:$AF$600,0)</f>
        <v>102281</v>
      </c>
      <c r="D196" s="10" t="str">
        <f>_xlfn.XLOOKUP(B196,DataSet!$N$2:$N$600,DataSet!$G$2:$G$600,0)</f>
        <v>Mark Packer</v>
      </c>
      <c r="E196" s="10" t="str">
        <f>_xlfn.XLOOKUP(B196,DataSet!$N$2:$N$600,DataSet!$F$2:$F$600,0)</f>
        <v>MP-17470</v>
      </c>
      <c r="F196" s="10" t="str">
        <f>_xlfn.XLOOKUP(B196,DataSet!$N$2:$N$600,DataSet!$W$2:$W$600,0)</f>
        <v>Home Office</v>
      </c>
      <c r="G196" s="13">
        <f>_xlfn.XLOOKUP(B196,DataSet!$N$2:$N$600,DataSet!$C$2:$C$600,0)</f>
        <v>42289</v>
      </c>
      <c r="H196" s="10" t="str">
        <f>_xlfn.XLOOKUP(B196,DataSet!$N$2:$N$600,DataSet!$I$2:$I$600,0)</f>
        <v>United States</v>
      </c>
      <c r="I196" s="10" t="str">
        <f>_xlfn.XLOOKUP(B196,DataSet!$N$2:$N$600,DataSet!$X$2:$X$600,0)</f>
        <v>New York City - New York</v>
      </c>
      <c r="J196" s="10" t="str">
        <f>_xlfn.XLOOKUP(B196,DataSet!$N$2:$N$600,DataSet!$M$2:$M$600,0)</f>
        <v>East</v>
      </c>
      <c r="K196" s="10" t="str">
        <f>_xlfn.XLOOKUP(B196,DataSet!$N$2:$N$600,DataSet!$O$2:$O$600,0)</f>
        <v>Office Supplies</v>
      </c>
      <c r="L196" s="10" t="str">
        <f>_xlfn.XLOOKUP(B196,DataSet!$N$2:$N$600,DataSet!$Y$2:$Y$600,0)</f>
        <v>Art</v>
      </c>
      <c r="M196" s="10" t="str">
        <f>_xlfn.XLOOKUP(B196,DataSet!$N$2:$N$600,DataSet!$Q$2:$Q$600,0)</f>
        <v>4009 Highlighters by Sanford</v>
      </c>
      <c r="N196" s="16">
        <f>_xlfn.XLOOKUP(B196,DataSet!$N$2:$N$600,DataSet!$AA$2:$AA$600,0)</f>
        <v>19.899999999999999</v>
      </c>
      <c r="O196" s="10">
        <f>_xlfn.XLOOKUP(B196,DataSet!$N$2:$N$600,DataSet!$S$2:$S$600,0)</f>
        <v>5</v>
      </c>
      <c r="P196" s="15">
        <f>_xlfn.XLOOKUP(B196,DataSet!$N$2:$N$600,DataSet!$T$2:$T$600,0)</f>
        <v>0</v>
      </c>
      <c r="Q196" s="14">
        <f>_xlfn.XLOOKUP(B196,DataSet!$N$2:$N$600,DataSet!$U$2:$U$600,0)</f>
        <v>6.5670000000000002</v>
      </c>
      <c r="R196" s="16">
        <f>_xlfn.XLOOKUP(B196,DataSet!$N$2:$N$600,DataSet!$AB$2:$AB$600,0)</f>
        <v>99.5</v>
      </c>
      <c r="S196" s="9">
        <f>_xlfn.XLOOKUP(B196,DataSet!$N$2:$N$600,DataSet!$AC$2:$AC$600,0)</f>
        <v>99.5</v>
      </c>
    </row>
    <row r="197" spans="1:19" s="12" customFormat="1" x14ac:dyDescent="0.3">
      <c r="A197" s="27">
        <v>195</v>
      </c>
      <c r="B197" s="10" t="s">
        <v>170</v>
      </c>
      <c r="C197" s="10" t="str">
        <f>_xlfn.XLOOKUP(B197,DataSet!$N$2:$N$600,DataSet!$AF$2:$AF$600,0)</f>
        <v>150630</v>
      </c>
      <c r="D197" s="10" t="str">
        <f>_xlfn.XLOOKUP(B197,DataSet!$N$2:$N$600,DataSet!$G$2:$G$600,0)</f>
        <v>Tracy Blumstein</v>
      </c>
      <c r="E197" s="10" t="str">
        <f>_xlfn.XLOOKUP(B197,DataSet!$N$2:$N$600,DataSet!$F$2:$F$600,0)</f>
        <v>TB-21520</v>
      </c>
      <c r="F197" s="10" t="str">
        <f>_xlfn.XLOOKUP(B197,DataSet!$N$2:$N$600,DataSet!$W$2:$W$600,0)</f>
        <v>Consumer</v>
      </c>
      <c r="G197" s="13">
        <f>_xlfn.XLOOKUP(B197,DataSet!$N$2:$N$600,DataSet!$C$2:$C$600,0)</f>
        <v>42264</v>
      </c>
      <c r="H197" s="10" t="str">
        <f>_xlfn.XLOOKUP(B197,DataSet!$N$2:$N$600,DataSet!$I$2:$I$600,0)</f>
        <v>United States</v>
      </c>
      <c r="I197" s="10" t="str">
        <f>_xlfn.XLOOKUP(B197,DataSet!$N$2:$N$600,DataSet!$X$2:$X$600,0)</f>
        <v>Philadelphia - Pennsylvania</v>
      </c>
      <c r="J197" s="10" t="str">
        <f>_xlfn.XLOOKUP(B197,DataSet!$N$2:$N$600,DataSet!$M$2:$M$600,0)</f>
        <v>East</v>
      </c>
      <c r="K197" s="10" t="str">
        <f>_xlfn.XLOOKUP(B197,DataSet!$N$2:$N$600,DataSet!$O$2:$O$600,0)</f>
        <v>Office Supplies</v>
      </c>
      <c r="L197" s="10" t="str">
        <f>_xlfn.XLOOKUP(B197,DataSet!$N$2:$N$600,DataSet!$Y$2:$Y$600,0)</f>
        <v>Envelopes</v>
      </c>
      <c r="M197" s="10" t="str">
        <f>_xlfn.XLOOKUP(B197,DataSet!$N$2:$N$600,DataSet!$Q$2:$Q$600,0)</f>
        <v>Poly String Tie Envelopes</v>
      </c>
      <c r="N197" s="16">
        <f>_xlfn.XLOOKUP(B197,DataSet!$N$2:$N$600,DataSet!$AA$2:$AA$600,0)</f>
        <v>3.2639999999999998</v>
      </c>
      <c r="O197" s="10">
        <f>_xlfn.XLOOKUP(B197,DataSet!$N$2:$N$600,DataSet!$S$2:$S$600,0)</f>
        <v>2</v>
      </c>
      <c r="P197" s="15">
        <f>_xlfn.XLOOKUP(B197,DataSet!$N$2:$N$600,DataSet!$T$2:$T$600,0)</f>
        <v>0.2</v>
      </c>
      <c r="Q197" s="14">
        <f>_xlfn.XLOOKUP(B197,DataSet!$N$2:$N$600,DataSet!$U$2:$U$600,0)</f>
        <v>1.1015999999999999</v>
      </c>
      <c r="R197" s="16">
        <f>_xlfn.XLOOKUP(B197,DataSet!$N$2:$N$600,DataSet!$AB$2:$AB$600,0)</f>
        <v>6.5279999999999996</v>
      </c>
      <c r="S197" s="9">
        <f>_xlfn.XLOOKUP(B197,DataSet!$N$2:$N$600,DataSet!$AC$2:$AC$600,0)</f>
        <v>5.2224000000000004</v>
      </c>
    </row>
    <row r="198" spans="1:19" s="12" customFormat="1" x14ac:dyDescent="0.3">
      <c r="A198" s="27">
        <v>196</v>
      </c>
      <c r="B198" s="10" t="s">
        <v>780</v>
      </c>
      <c r="C198" s="10" t="str">
        <f>_xlfn.XLOOKUP(B198,DataSet!$N$2:$N$600,DataSet!$AF$2:$AF$600,0)</f>
        <v>140004</v>
      </c>
      <c r="D198" s="10" t="str">
        <f>_xlfn.XLOOKUP(B198,DataSet!$N$2:$N$600,DataSet!$G$2:$G$600,0)</f>
        <v>Cassandra Brandow</v>
      </c>
      <c r="E198" s="10" t="str">
        <f>_xlfn.XLOOKUP(B198,DataSet!$N$2:$N$600,DataSet!$F$2:$F$600,0)</f>
        <v>CB-12025</v>
      </c>
      <c r="F198" s="10" t="str">
        <f>_xlfn.XLOOKUP(B198,DataSet!$N$2:$N$600,DataSet!$W$2:$W$600,0)</f>
        <v>Consumer</v>
      </c>
      <c r="G198" s="13">
        <f>_xlfn.XLOOKUP(B198,DataSet!$N$2:$N$600,DataSet!$C$2:$C$600,0)</f>
        <v>41719</v>
      </c>
      <c r="H198" s="10" t="str">
        <f>_xlfn.XLOOKUP(B198,DataSet!$N$2:$N$600,DataSet!$I$2:$I$600,0)</f>
        <v>United States</v>
      </c>
      <c r="I198" s="10" t="str">
        <f>_xlfn.XLOOKUP(B198,DataSet!$N$2:$N$600,DataSet!$X$2:$X$600,0)</f>
        <v>Hamilton - Ohio</v>
      </c>
      <c r="J198" s="10" t="str">
        <f>_xlfn.XLOOKUP(B198,DataSet!$N$2:$N$600,DataSet!$M$2:$M$600,0)</f>
        <v>East</v>
      </c>
      <c r="K198" s="10" t="str">
        <f>_xlfn.XLOOKUP(B198,DataSet!$N$2:$N$600,DataSet!$O$2:$O$600,0)</f>
        <v>Office Supplies</v>
      </c>
      <c r="L198" s="10" t="str">
        <f>_xlfn.XLOOKUP(B198,DataSet!$N$2:$N$600,DataSet!$Y$2:$Y$600,0)</f>
        <v>Art</v>
      </c>
      <c r="M198" s="10" t="str">
        <f>_xlfn.XLOOKUP(B198,DataSet!$N$2:$N$600,DataSet!$Q$2:$Q$600,0)</f>
        <v>Binney &amp; Smith Crayola Metallic Colored Pencils, 8-Color Set</v>
      </c>
      <c r="N198" s="16">
        <f>_xlfn.XLOOKUP(B198,DataSet!$N$2:$N$600,DataSet!$AA$2:$AA$600,0)</f>
        <v>7.4080000000000004</v>
      </c>
      <c r="O198" s="10">
        <f>_xlfn.XLOOKUP(B198,DataSet!$N$2:$N$600,DataSet!$S$2:$S$600,0)</f>
        <v>2</v>
      </c>
      <c r="P198" s="15">
        <f>_xlfn.XLOOKUP(B198,DataSet!$N$2:$N$600,DataSet!$T$2:$T$600,0)</f>
        <v>0.2</v>
      </c>
      <c r="Q198" s="14">
        <f>_xlfn.XLOOKUP(B198,DataSet!$N$2:$N$600,DataSet!$U$2:$U$600,0)</f>
        <v>1.2038</v>
      </c>
      <c r="R198" s="16">
        <f>_xlfn.XLOOKUP(B198,DataSet!$N$2:$N$600,DataSet!$AB$2:$AB$600,0)</f>
        <v>14.816000000000001</v>
      </c>
      <c r="S198" s="9">
        <f>_xlfn.XLOOKUP(B198,DataSet!$N$2:$N$600,DataSet!$AC$2:$AC$600,0)</f>
        <v>11.852800000000002</v>
      </c>
    </row>
    <row r="199" spans="1:19" s="12" customFormat="1" x14ac:dyDescent="0.3">
      <c r="A199" s="27">
        <v>197</v>
      </c>
      <c r="B199" s="10" t="s">
        <v>782</v>
      </c>
      <c r="C199" s="10" t="str">
        <f>_xlfn.XLOOKUP(B199,DataSet!$N$2:$N$600,DataSet!$AF$2:$AF$600,0)</f>
        <v>140004</v>
      </c>
      <c r="D199" s="10" t="str">
        <f>_xlfn.XLOOKUP(B199,DataSet!$N$2:$N$600,DataSet!$G$2:$G$600,0)</f>
        <v>Cassandra Brandow</v>
      </c>
      <c r="E199" s="10" t="str">
        <f>_xlfn.XLOOKUP(B199,DataSet!$N$2:$N$600,DataSet!$F$2:$F$600,0)</f>
        <v>CB-12025</v>
      </c>
      <c r="F199" s="10" t="str">
        <f>_xlfn.XLOOKUP(B199,DataSet!$N$2:$N$600,DataSet!$W$2:$W$600,0)</f>
        <v>Consumer</v>
      </c>
      <c r="G199" s="13">
        <f>_xlfn.XLOOKUP(B199,DataSet!$N$2:$N$600,DataSet!$C$2:$C$600,0)</f>
        <v>41719</v>
      </c>
      <c r="H199" s="10" t="str">
        <f>_xlfn.XLOOKUP(B199,DataSet!$N$2:$N$600,DataSet!$I$2:$I$600,0)</f>
        <v>United States</v>
      </c>
      <c r="I199" s="10" t="str">
        <f>_xlfn.XLOOKUP(B199,DataSet!$N$2:$N$600,DataSet!$X$2:$X$600,0)</f>
        <v>Hamilton - Ohio</v>
      </c>
      <c r="J199" s="10" t="str">
        <f>_xlfn.XLOOKUP(B199,DataSet!$N$2:$N$600,DataSet!$M$2:$M$600,0)</f>
        <v>East</v>
      </c>
      <c r="K199" s="10" t="str">
        <f>_xlfn.XLOOKUP(B199,DataSet!$N$2:$N$600,DataSet!$O$2:$O$600,0)</f>
        <v>Office Supplies</v>
      </c>
      <c r="L199" s="10" t="str">
        <f>_xlfn.XLOOKUP(B199,DataSet!$N$2:$N$600,DataSet!$Y$2:$Y$600,0)</f>
        <v>Art</v>
      </c>
      <c r="M199" s="10" t="str">
        <f>_xlfn.XLOOKUP(B199,DataSet!$N$2:$N$600,DataSet!$Q$2:$Q$600,0)</f>
        <v>Binney &amp; Smith inkTank Erasable Desk Highlighter, Chisel Tip, Yellow, 12/Box</v>
      </c>
      <c r="N199" s="16">
        <f>_xlfn.XLOOKUP(B199,DataSet!$N$2:$N$600,DataSet!$AA$2:$AA$600,0)</f>
        <v>6.048</v>
      </c>
      <c r="O199" s="10">
        <f>_xlfn.XLOOKUP(B199,DataSet!$N$2:$N$600,DataSet!$S$2:$S$600,0)</f>
        <v>3</v>
      </c>
      <c r="P199" s="15">
        <f>_xlfn.XLOOKUP(B199,DataSet!$N$2:$N$600,DataSet!$T$2:$T$600,0)</f>
        <v>0.2</v>
      </c>
      <c r="Q199" s="14">
        <f>_xlfn.XLOOKUP(B199,DataSet!$N$2:$N$600,DataSet!$U$2:$U$600,0)</f>
        <v>1.5875999999999999</v>
      </c>
      <c r="R199" s="16">
        <f>_xlfn.XLOOKUP(B199,DataSet!$N$2:$N$600,DataSet!$AB$2:$AB$600,0)</f>
        <v>18.143999999999998</v>
      </c>
      <c r="S199" s="9">
        <f>_xlfn.XLOOKUP(B199,DataSet!$N$2:$N$600,DataSet!$AC$2:$AC$600,0)</f>
        <v>14.5152</v>
      </c>
    </row>
    <row r="200" spans="1:19" s="12" customFormat="1" x14ac:dyDescent="0.3">
      <c r="A200" s="27">
        <v>198</v>
      </c>
      <c r="B200" s="10" t="s">
        <v>789</v>
      </c>
      <c r="C200" s="10" t="str">
        <f>_xlfn.XLOOKUP(B200,DataSet!$N$2:$N$600,DataSet!$AF$2:$AF$600,0)</f>
        <v>107720</v>
      </c>
      <c r="D200" s="10" t="str">
        <f>_xlfn.XLOOKUP(B200,DataSet!$N$2:$N$600,DataSet!$G$2:$G$600,0)</f>
        <v>Valerie Mitchum</v>
      </c>
      <c r="E200" s="10" t="str">
        <f>_xlfn.XLOOKUP(B200,DataSet!$N$2:$N$600,DataSet!$F$2:$F$600,0)</f>
        <v>VM-21685</v>
      </c>
      <c r="F200" s="10" t="str">
        <f>_xlfn.XLOOKUP(B200,DataSet!$N$2:$N$600,DataSet!$W$2:$W$600,0)</f>
        <v>Home Office</v>
      </c>
      <c r="G200" s="13">
        <f>_xlfn.XLOOKUP(B200,DataSet!$N$2:$N$600,DataSet!$C$2:$C$600,0)</f>
        <v>43045</v>
      </c>
      <c r="H200" s="10" t="str">
        <f>_xlfn.XLOOKUP(B200,DataSet!$N$2:$N$600,DataSet!$I$2:$I$600,0)</f>
        <v>United States</v>
      </c>
      <c r="I200" s="10" t="str">
        <f>_xlfn.XLOOKUP(B200,DataSet!$N$2:$N$600,DataSet!$X$2:$X$600,0)</f>
        <v>Westfield - New Jersey</v>
      </c>
      <c r="J200" s="10" t="str">
        <f>_xlfn.XLOOKUP(B200,DataSet!$N$2:$N$600,DataSet!$M$2:$M$600,0)</f>
        <v>East</v>
      </c>
      <c r="K200" s="10" t="str">
        <f>_xlfn.XLOOKUP(B200,DataSet!$N$2:$N$600,DataSet!$O$2:$O$600,0)</f>
        <v>Office Supplies</v>
      </c>
      <c r="L200" s="10" t="str">
        <f>_xlfn.XLOOKUP(B200,DataSet!$N$2:$N$600,DataSet!$Y$2:$Y$600,0)</f>
        <v>Storage</v>
      </c>
      <c r="M200" s="10" t="str">
        <f>_xlfn.XLOOKUP(B200,DataSet!$N$2:$N$600,DataSet!$Q$2:$Q$600,0)</f>
        <v>Decoflex Hanging Personal Folder File</v>
      </c>
      <c r="N200" s="16">
        <f>_xlfn.XLOOKUP(B200,DataSet!$N$2:$N$600,DataSet!$AA$2:$AA$600,0)</f>
        <v>46.26</v>
      </c>
      <c r="O200" s="10">
        <f>_xlfn.XLOOKUP(B200,DataSet!$N$2:$N$600,DataSet!$S$2:$S$600,0)</f>
        <v>3</v>
      </c>
      <c r="P200" s="15">
        <f>_xlfn.XLOOKUP(B200,DataSet!$N$2:$N$600,DataSet!$T$2:$T$600,0)</f>
        <v>0</v>
      </c>
      <c r="Q200" s="14">
        <f>_xlfn.XLOOKUP(B200,DataSet!$N$2:$N$600,DataSet!$U$2:$U$600,0)</f>
        <v>12.0276</v>
      </c>
      <c r="R200" s="16">
        <f>_xlfn.XLOOKUP(B200,DataSet!$N$2:$N$600,DataSet!$AB$2:$AB$600,0)</f>
        <v>138.78</v>
      </c>
      <c r="S200" s="9">
        <f>_xlfn.XLOOKUP(B200,DataSet!$N$2:$N$600,DataSet!$AC$2:$AC$600,0)</f>
        <v>138.78</v>
      </c>
    </row>
    <row r="201" spans="1:19" s="12" customFormat="1" x14ac:dyDescent="0.3">
      <c r="A201" s="27">
        <v>199</v>
      </c>
      <c r="B201" s="10" t="s">
        <v>794</v>
      </c>
      <c r="C201" s="10" t="str">
        <f>_xlfn.XLOOKUP(B201,DataSet!$N$2:$N$600,DataSet!$AF$2:$AF$600,0)</f>
        <v>124303</v>
      </c>
      <c r="D201" s="10" t="str">
        <f>_xlfn.XLOOKUP(B201,DataSet!$N$2:$N$600,DataSet!$G$2:$G$600,0)</f>
        <v>Fred Hopkins</v>
      </c>
      <c r="E201" s="10" t="str">
        <f>_xlfn.XLOOKUP(B201,DataSet!$N$2:$N$600,DataSet!$F$2:$F$600,0)</f>
        <v>FH-14365</v>
      </c>
      <c r="F201" s="10" t="str">
        <f>_xlfn.XLOOKUP(B201,DataSet!$N$2:$N$600,DataSet!$W$2:$W$600,0)</f>
        <v>Corporate</v>
      </c>
      <c r="G201" s="13">
        <f>_xlfn.XLOOKUP(B201,DataSet!$N$2:$N$600,DataSet!$C$2:$C$600,0)</f>
        <v>42922</v>
      </c>
      <c r="H201" s="10" t="str">
        <f>_xlfn.XLOOKUP(B201,DataSet!$N$2:$N$600,DataSet!$I$2:$I$600,0)</f>
        <v>United States</v>
      </c>
      <c r="I201" s="10" t="str">
        <f>_xlfn.XLOOKUP(B201,DataSet!$N$2:$N$600,DataSet!$X$2:$X$600,0)</f>
        <v>Philadelphia - Pennsylvania</v>
      </c>
      <c r="J201" s="10" t="str">
        <f>_xlfn.XLOOKUP(B201,DataSet!$N$2:$N$600,DataSet!$M$2:$M$600,0)</f>
        <v>East</v>
      </c>
      <c r="K201" s="10" t="str">
        <f>_xlfn.XLOOKUP(B201,DataSet!$N$2:$N$600,DataSet!$O$2:$O$600,0)</f>
        <v>Office Supplies</v>
      </c>
      <c r="L201" s="10" t="str">
        <f>_xlfn.XLOOKUP(B201,DataSet!$N$2:$N$600,DataSet!$Y$2:$Y$600,0)</f>
        <v>Binders</v>
      </c>
      <c r="M201" s="10" t="str">
        <f>_xlfn.XLOOKUP(B201,DataSet!$N$2:$N$600,DataSet!$Q$2:$Q$600,0)</f>
        <v>Pressboard Covers with Storage Hooks, 9 1/2" x 11", Light Blue</v>
      </c>
      <c r="N201" s="16">
        <f>_xlfn.XLOOKUP(B201,DataSet!$N$2:$N$600,DataSet!$AA$2:$AA$600,0)</f>
        <v>2.9460000000000002</v>
      </c>
      <c r="O201" s="10">
        <f>_xlfn.XLOOKUP(B201,DataSet!$N$2:$N$600,DataSet!$S$2:$S$600,0)</f>
        <v>2</v>
      </c>
      <c r="P201" s="15">
        <f>_xlfn.XLOOKUP(B201,DataSet!$N$2:$N$600,DataSet!$T$2:$T$600,0)</f>
        <v>0.7</v>
      </c>
      <c r="Q201" s="14">
        <f>_xlfn.XLOOKUP(B201,DataSet!$N$2:$N$600,DataSet!$U$2:$U$600,0)</f>
        <v>-2.2585999999999999</v>
      </c>
      <c r="R201" s="16">
        <f>_xlfn.XLOOKUP(B201,DataSet!$N$2:$N$600,DataSet!$AB$2:$AB$600,0)</f>
        <v>5.8920000000000003</v>
      </c>
      <c r="S201" s="9">
        <f>_xlfn.XLOOKUP(B201,DataSet!$N$2:$N$600,DataSet!$AC$2:$AC$600,0)</f>
        <v>1.7676000000000003</v>
      </c>
    </row>
    <row r="202" spans="1:19" s="12" customFormat="1" x14ac:dyDescent="0.3">
      <c r="A202" s="27">
        <v>200</v>
      </c>
      <c r="B202" s="10" t="s">
        <v>796</v>
      </c>
      <c r="C202" s="10" t="str">
        <f>_xlfn.XLOOKUP(B202,DataSet!$N$2:$N$600,DataSet!$AF$2:$AF$600,0)</f>
        <v>124303</v>
      </c>
      <c r="D202" s="10" t="str">
        <f>_xlfn.XLOOKUP(B202,DataSet!$N$2:$N$600,DataSet!$G$2:$G$600,0)</f>
        <v>Fred Hopkins</v>
      </c>
      <c r="E202" s="10" t="str">
        <f>_xlfn.XLOOKUP(B202,DataSet!$N$2:$N$600,DataSet!$F$2:$F$600,0)</f>
        <v>FH-14365</v>
      </c>
      <c r="F202" s="10" t="str">
        <f>_xlfn.XLOOKUP(B202,DataSet!$N$2:$N$600,DataSet!$W$2:$W$600,0)</f>
        <v>Corporate</v>
      </c>
      <c r="G202" s="13">
        <f>_xlfn.XLOOKUP(B202,DataSet!$N$2:$N$600,DataSet!$C$2:$C$600,0)</f>
        <v>42922</v>
      </c>
      <c r="H202" s="10" t="str">
        <f>_xlfn.XLOOKUP(B202,DataSet!$N$2:$N$600,DataSet!$I$2:$I$600,0)</f>
        <v>United States</v>
      </c>
      <c r="I202" s="10" t="str">
        <f>_xlfn.XLOOKUP(B202,DataSet!$N$2:$N$600,DataSet!$X$2:$X$600,0)</f>
        <v>Philadelphia - Pennsylvania</v>
      </c>
      <c r="J202" s="10" t="str">
        <f>_xlfn.XLOOKUP(B202,DataSet!$N$2:$N$600,DataSet!$M$2:$M$600,0)</f>
        <v>East</v>
      </c>
      <c r="K202" s="10" t="str">
        <f>_xlfn.XLOOKUP(B202,DataSet!$N$2:$N$600,DataSet!$O$2:$O$600,0)</f>
        <v>Office Supplies</v>
      </c>
      <c r="L202" s="10" t="str">
        <f>_xlfn.XLOOKUP(B202,DataSet!$N$2:$N$600,DataSet!$Y$2:$Y$600,0)</f>
        <v>Paper</v>
      </c>
      <c r="M202" s="10" t="str">
        <f>_xlfn.XLOOKUP(B202,DataSet!$N$2:$N$600,DataSet!$Q$2:$Q$600,0)</f>
        <v>Wirebound Message Books, 5-1/2 x 4 Forms, 2 or 4 Forms per Page</v>
      </c>
      <c r="N202" s="16">
        <f>_xlfn.XLOOKUP(B202,DataSet!$N$2:$N$600,DataSet!$AA$2:$AA$600,0)</f>
        <v>16.056000000000001</v>
      </c>
      <c r="O202" s="10">
        <f>_xlfn.XLOOKUP(B202,DataSet!$N$2:$N$600,DataSet!$S$2:$S$600,0)</f>
        <v>3</v>
      </c>
      <c r="P202" s="15">
        <f>_xlfn.XLOOKUP(B202,DataSet!$N$2:$N$600,DataSet!$T$2:$T$600,0)</f>
        <v>0.2</v>
      </c>
      <c r="Q202" s="14">
        <f>_xlfn.XLOOKUP(B202,DataSet!$N$2:$N$600,DataSet!$U$2:$U$600,0)</f>
        <v>5.8202999999999996</v>
      </c>
      <c r="R202" s="16">
        <f>_xlfn.XLOOKUP(B202,DataSet!$N$2:$N$600,DataSet!$AB$2:$AB$600,0)</f>
        <v>48.168000000000006</v>
      </c>
      <c r="S202" s="9">
        <f>_xlfn.XLOOKUP(B202,DataSet!$N$2:$N$600,DataSet!$AC$2:$AC$600,0)</f>
        <v>38.534400000000005</v>
      </c>
    </row>
    <row r="203" spans="1:19" s="12" customFormat="1" x14ac:dyDescent="0.3">
      <c r="A203" s="27">
        <v>201</v>
      </c>
      <c r="B203" s="10" t="s">
        <v>802</v>
      </c>
      <c r="C203" s="10" t="str">
        <f>_xlfn.XLOOKUP(B203,DataSet!$N$2:$N$600,DataSet!$AF$2:$AF$600,0)</f>
        <v>105074</v>
      </c>
      <c r="D203" s="10" t="str">
        <f>_xlfn.XLOOKUP(B203,DataSet!$N$2:$N$600,DataSet!$G$2:$G$600,0)</f>
        <v>Maria Bertelson</v>
      </c>
      <c r="E203" s="10" t="str">
        <f>_xlfn.XLOOKUP(B203,DataSet!$N$2:$N$600,DataSet!$F$2:$F$600,0)</f>
        <v>MB-17305</v>
      </c>
      <c r="F203" s="10" t="str">
        <f>_xlfn.XLOOKUP(B203,DataSet!$N$2:$N$600,DataSet!$W$2:$W$600,0)</f>
        <v>Consumer</v>
      </c>
      <c r="G203" s="13">
        <f>_xlfn.XLOOKUP(B203,DataSet!$N$2:$N$600,DataSet!$C$2:$C$600,0)</f>
        <v>42910</v>
      </c>
      <c r="H203" s="10" t="str">
        <f>_xlfn.XLOOKUP(B203,DataSet!$N$2:$N$600,DataSet!$I$2:$I$600,0)</f>
        <v>United States</v>
      </c>
      <c r="I203" s="10" t="str">
        <f>_xlfn.XLOOKUP(B203,DataSet!$N$2:$N$600,DataSet!$X$2:$X$600,0)</f>
        <v>Akron - Ohio</v>
      </c>
      <c r="J203" s="10" t="str">
        <f>_xlfn.XLOOKUP(B203,DataSet!$N$2:$N$600,DataSet!$M$2:$M$600,0)</f>
        <v>East</v>
      </c>
      <c r="K203" s="10" t="str">
        <f>_xlfn.XLOOKUP(B203,DataSet!$N$2:$N$600,DataSet!$O$2:$O$600,0)</f>
        <v>Office Supplies</v>
      </c>
      <c r="L203" s="10" t="str">
        <f>_xlfn.XLOOKUP(B203,DataSet!$N$2:$N$600,DataSet!$Y$2:$Y$600,0)</f>
        <v>Paper</v>
      </c>
      <c r="M203" s="10" t="str">
        <f>_xlfn.XLOOKUP(B203,DataSet!$N$2:$N$600,DataSet!$Q$2:$Q$600,0)</f>
        <v>Southworth 25% Cotton Linen-Finish Paper &amp; Envelopes</v>
      </c>
      <c r="N203" s="16">
        <f>_xlfn.XLOOKUP(B203,DataSet!$N$2:$N$600,DataSet!$AA$2:$AA$600,0)</f>
        <v>21.744</v>
      </c>
      <c r="O203" s="10">
        <f>_xlfn.XLOOKUP(B203,DataSet!$N$2:$N$600,DataSet!$S$2:$S$600,0)</f>
        <v>3</v>
      </c>
      <c r="P203" s="15">
        <f>_xlfn.XLOOKUP(B203,DataSet!$N$2:$N$600,DataSet!$T$2:$T$600,0)</f>
        <v>0.2</v>
      </c>
      <c r="Q203" s="14">
        <f>_xlfn.XLOOKUP(B203,DataSet!$N$2:$N$600,DataSet!$U$2:$U$600,0)</f>
        <v>6.7949999999999999</v>
      </c>
      <c r="R203" s="16">
        <f>_xlfn.XLOOKUP(B203,DataSet!$N$2:$N$600,DataSet!$AB$2:$AB$600,0)</f>
        <v>65.231999999999999</v>
      </c>
      <c r="S203" s="9">
        <f>_xlfn.XLOOKUP(B203,DataSet!$N$2:$N$600,DataSet!$AC$2:$AC$600,0)</f>
        <v>52.185600000000001</v>
      </c>
    </row>
    <row r="204" spans="1:19" s="12" customFormat="1" x14ac:dyDescent="0.3">
      <c r="A204" s="27">
        <v>202</v>
      </c>
      <c r="B204" s="10" t="s">
        <v>808</v>
      </c>
      <c r="C204" s="10" t="str">
        <f>_xlfn.XLOOKUP(B204,DataSet!$N$2:$N$600,DataSet!$AF$2:$AF$600,0)</f>
        <v>133690</v>
      </c>
      <c r="D204" s="10" t="str">
        <f>_xlfn.XLOOKUP(B204,DataSet!$N$2:$N$600,DataSet!$G$2:$G$600,0)</f>
        <v>Bruce Stewart</v>
      </c>
      <c r="E204" s="10" t="str">
        <f>_xlfn.XLOOKUP(B204,DataSet!$N$2:$N$600,DataSet!$F$2:$F$600,0)</f>
        <v>BS-11755</v>
      </c>
      <c r="F204" s="10" t="str">
        <f>_xlfn.XLOOKUP(B204,DataSet!$N$2:$N$600,DataSet!$W$2:$W$600,0)</f>
        <v>Consumer</v>
      </c>
      <c r="G204" s="13">
        <f>_xlfn.XLOOKUP(B204,DataSet!$N$2:$N$600,DataSet!$C$2:$C$600,0)</f>
        <v>41854</v>
      </c>
      <c r="H204" s="10" t="str">
        <f>_xlfn.XLOOKUP(B204,DataSet!$N$2:$N$600,DataSet!$I$2:$I$600,0)</f>
        <v>United States</v>
      </c>
      <c r="I204" s="10" t="str">
        <f>_xlfn.XLOOKUP(B204,DataSet!$N$2:$N$600,DataSet!$X$2:$X$600,0)</f>
        <v>Denver - Colorado</v>
      </c>
      <c r="J204" s="10" t="str">
        <f>_xlfn.XLOOKUP(B204,DataSet!$N$2:$N$600,DataSet!$M$2:$M$600,0)</f>
        <v>West</v>
      </c>
      <c r="K204" s="10" t="str">
        <f>_xlfn.XLOOKUP(B204,DataSet!$N$2:$N$600,DataSet!$O$2:$O$600,0)</f>
        <v>Furniture</v>
      </c>
      <c r="L204" s="10" t="str">
        <f>_xlfn.XLOOKUP(B204,DataSet!$N$2:$N$600,DataSet!$Y$2:$Y$600,0)</f>
        <v>Tables</v>
      </c>
      <c r="M204" s="10" t="str">
        <f>_xlfn.XLOOKUP(B204,DataSet!$N$2:$N$600,DataSet!$Q$2:$Q$600,0)</f>
        <v>BoxOffice By Design Rectangular and Half-Moon Meeting Room Tables</v>
      </c>
      <c r="N204" s="16">
        <f>_xlfn.XLOOKUP(B204,DataSet!$N$2:$N$600,DataSet!$AA$2:$AA$600,0)</f>
        <v>218.75</v>
      </c>
      <c r="O204" s="10">
        <f>_xlfn.XLOOKUP(B204,DataSet!$N$2:$N$600,DataSet!$S$2:$S$600,0)</f>
        <v>2</v>
      </c>
      <c r="P204" s="15">
        <f>_xlfn.XLOOKUP(B204,DataSet!$N$2:$N$600,DataSet!$T$2:$T$600,0)</f>
        <v>0.5</v>
      </c>
      <c r="Q204" s="14">
        <f>_xlfn.XLOOKUP(B204,DataSet!$N$2:$N$600,DataSet!$U$2:$U$600,0)</f>
        <v>-161.875</v>
      </c>
      <c r="R204" s="16">
        <f>_xlfn.XLOOKUP(B204,DataSet!$N$2:$N$600,DataSet!$AB$2:$AB$600,0)</f>
        <v>437.5</v>
      </c>
      <c r="S204" s="9">
        <f>_xlfn.XLOOKUP(B204,DataSet!$N$2:$N$600,DataSet!$AC$2:$AC$600,0)</f>
        <v>218.75</v>
      </c>
    </row>
    <row r="205" spans="1:19" s="12" customFormat="1" x14ac:dyDescent="0.3">
      <c r="A205" s="27">
        <v>203</v>
      </c>
      <c r="B205" s="10" t="s">
        <v>810</v>
      </c>
      <c r="C205" s="10" t="str">
        <f>_xlfn.XLOOKUP(B205,DataSet!$N$2:$N$600,DataSet!$AF$2:$AF$600,0)</f>
        <v>133690</v>
      </c>
      <c r="D205" s="10" t="str">
        <f>_xlfn.XLOOKUP(B205,DataSet!$N$2:$N$600,DataSet!$G$2:$G$600,0)</f>
        <v>Bruce Stewart</v>
      </c>
      <c r="E205" s="10" t="str">
        <f>_xlfn.XLOOKUP(B205,DataSet!$N$2:$N$600,DataSet!$F$2:$F$600,0)</f>
        <v>BS-11755</v>
      </c>
      <c r="F205" s="10" t="str">
        <f>_xlfn.XLOOKUP(B205,DataSet!$N$2:$N$600,DataSet!$W$2:$W$600,0)</f>
        <v>Consumer</v>
      </c>
      <c r="G205" s="13">
        <f>_xlfn.XLOOKUP(B205,DataSet!$N$2:$N$600,DataSet!$C$2:$C$600,0)</f>
        <v>41854</v>
      </c>
      <c r="H205" s="10" t="str">
        <f>_xlfn.XLOOKUP(B205,DataSet!$N$2:$N$600,DataSet!$I$2:$I$600,0)</f>
        <v>United States</v>
      </c>
      <c r="I205" s="10" t="str">
        <f>_xlfn.XLOOKUP(B205,DataSet!$N$2:$N$600,DataSet!$X$2:$X$600,0)</f>
        <v>Denver - Colorado</v>
      </c>
      <c r="J205" s="10" t="str">
        <f>_xlfn.XLOOKUP(B205,DataSet!$N$2:$N$600,DataSet!$M$2:$M$600,0)</f>
        <v>West</v>
      </c>
      <c r="K205" s="10" t="str">
        <f>_xlfn.XLOOKUP(B205,DataSet!$N$2:$N$600,DataSet!$O$2:$O$600,0)</f>
        <v>Office Supplies</v>
      </c>
      <c r="L205" s="10" t="str">
        <f>_xlfn.XLOOKUP(B205,DataSet!$N$2:$N$600,DataSet!$Y$2:$Y$600,0)</f>
        <v>Appliances</v>
      </c>
      <c r="M205" s="10" t="str">
        <f>_xlfn.XLOOKUP(B205,DataSet!$N$2:$N$600,DataSet!$Q$2:$Q$600,0)</f>
        <v>Bravo II Megaboss 12-Amp Hard Body Upright, Replacement Belts, 2 Belts per Pack</v>
      </c>
      <c r="N205" s="16">
        <f>_xlfn.XLOOKUP(B205,DataSet!$N$2:$N$600,DataSet!$AA$2:$AA$600,0)</f>
        <v>2.6</v>
      </c>
      <c r="O205" s="10">
        <f>_xlfn.XLOOKUP(B205,DataSet!$N$2:$N$600,DataSet!$S$2:$S$600,0)</f>
        <v>1</v>
      </c>
      <c r="P205" s="15">
        <f>_xlfn.XLOOKUP(B205,DataSet!$N$2:$N$600,DataSet!$T$2:$T$600,0)</f>
        <v>0.2</v>
      </c>
      <c r="Q205" s="14">
        <f>_xlfn.XLOOKUP(B205,DataSet!$N$2:$N$600,DataSet!$U$2:$U$600,0)</f>
        <v>0.29249999999999998</v>
      </c>
      <c r="R205" s="16">
        <f>_xlfn.XLOOKUP(B205,DataSet!$N$2:$N$600,DataSet!$AB$2:$AB$600,0)</f>
        <v>2.6</v>
      </c>
      <c r="S205" s="9">
        <f>_xlfn.XLOOKUP(B205,DataSet!$N$2:$N$600,DataSet!$AC$2:$AC$600,0)</f>
        <v>2.08</v>
      </c>
    </row>
    <row r="206" spans="1:19" s="12" customFormat="1" x14ac:dyDescent="0.3">
      <c r="A206" s="27">
        <v>204</v>
      </c>
      <c r="B206" s="10" t="s">
        <v>816</v>
      </c>
      <c r="C206" s="10" t="str">
        <f>_xlfn.XLOOKUP(B206,DataSet!$N$2:$N$600,DataSet!$AF$2:$AF$600,0)</f>
        <v>116701</v>
      </c>
      <c r="D206" s="10" t="str">
        <f>_xlfn.XLOOKUP(B206,DataSet!$N$2:$N$600,DataSet!$G$2:$G$600,0)</f>
        <v>Logan Currie</v>
      </c>
      <c r="E206" s="10" t="str">
        <f>_xlfn.XLOOKUP(B206,DataSet!$N$2:$N$600,DataSet!$F$2:$F$600,0)</f>
        <v>LC-17140</v>
      </c>
      <c r="F206" s="10" t="str">
        <f>_xlfn.XLOOKUP(B206,DataSet!$N$2:$N$600,DataSet!$W$2:$W$600,0)</f>
        <v>Consumer</v>
      </c>
      <c r="G206" s="13">
        <f>_xlfn.XLOOKUP(B206,DataSet!$N$2:$N$600,DataSet!$C$2:$C$600,0)</f>
        <v>43086</v>
      </c>
      <c r="H206" s="10" t="str">
        <f>_xlfn.XLOOKUP(B206,DataSet!$N$2:$N$600,DataSet!$I$2:$I$600,0)</f>
        <v>United States</v>
      </c>
      <c r="I206" s="10" t="str">
        <f>_xlfn.XLOOKUP(B206,DataSet!$N$2:$N$600,DataSet!$X$2:$X$600,0)</f>
        <v>Dallas - Texas</v>
      </c>
      <c r="J206" s="10" t="str">
        <f>_xlfn.XLOOKUP(B206,DataSet!$N$2:$N$600,DataSet!$M$2:$M$600,0)</f>
        <v>Central</v>
      </c>
      <c r="K206" s="10" t="str">
        <f>_xlfn.XLOOKUP(B206,DataSet!$N$2:$N$600,DataSet!$O$2:$O$600,0)</f>
        <v>Office Supplies</v>
      </c>
      <c r="L206" s="10" t="str">
        <f>_xlfn.XLOOKUP(B206,DataSet!$N$2:$N$600,DataSet!$Y$2:$Y$600,0)</f>
        <v>Appliances</v>
      </c>
      <c r="M206" s="10" t="str">
        <f>_xlfn.XLOOKUP(B206,DataSet!$N$2:$N$600,DataSet!$Q$2:$Q$600,0)</f>
        <v>Eureka Sanitaire  Commercial Upright</v>
      </c>
      <c r="N206" s="16">
        <f>_xlfn.XLOOKUP(B206,DataSet!$N$2:$N$600,DataSet!$AA$2:$AA$600,0)</f>
        <v>66.284000000000006</v>
      </c>
      <c r="O206" s="10">
        <f>_xlfn.XLOOKUP(B206,DataSet!$N$2:$N$600,DataSet!$S$2:$S$600,0)</f>
        <v>2</v>
      </c>
      <c r="P206" s="15">
        <f>_xlfn.XLOOKUP(B206,DataSet!$N$2:$N$600,DataSet!$T$2:$T$600,0)</f>
        <v>0.8</v>
      </c>
      <c r="Q206" s="14">
        <f>_xlfn.XLOOKUP(B206,DataSet!$N$2:$N$600,DataSet!$U$2:$U$600,0)</f>
        <v>-178.96680000000001</v>
      </c>
      <c r="R206" s="16">
        <f>_xlfn.XLOOKUP(B206,DataSet!$N$2:$N$600,DataSet!$AB$2:$AB$600,0)</f>
        <v>132.56800000000001</v>
      </c>
      <c r="S206" s="9">
        <f>_xlfn.XLOOKUP(B206,DataSet!$N$2:$N$600,DataSet!$AC$2:$AC$600,0)</f>
        <v>26.513599999999997</v>
      </c>
    </row>
    <row r="207" spans="1:19" s="12" customFormat="1" x14ac:dyDescent="0.3">
      <c r="A207" s="27">
        <v>205</v>
      </c>
      <c r="B207" s="10" t="s">
        <v>821</v>
      </c>
      <c r="C207" s="10" t="str">
        <f>_xlfn.XLOOKUP(B207,DataSet!$N$2:$N$600,DataSet!$AF$2:$AF$600,0)</f>
        <v>126382</v>
      </c>
      <c r="D207" s="10" t="str">
        <f>_xlfn.XLOOKUP(B207,DataSet!$N$2:$N$600,DataSet!$G$2:$G$600,0)</f>
        <v>Heather Kirkland</v>
      </c>
      <c r="E207" s="10" t="str">
        <f>_xlfn.XLOOKUP(B207,DataSet!$N$2:$N$600,DataSet!$F$2:$F$600,0)</f>
        <v>HK-14890</v>
      </c>
      <c r="F207" s="10" t="str">
        <f>_xlfn.XLOOKUP(B207,DataSet!$N$2:$N$600,DataSet!$W$2:$W$600,0)</f>
        <v>Corporate</v>
      </c>
      <c r="G207" s="13">
        <f>_xlfn.XLOOKUP(B207,DataSet!$N$2:$N$600,DataSet!$C$2:$C$600,0)</f>
        <v>42889</v>
      </c>
      <c r="H207" s="10" t="str">
        <f>_xlfn.XLOOKUP(B207,DataSet!$N$2:$N$600,DataSet!$I$2:$I$600,0)</f>
        <v>United States</v>
      </c>
      <c r="I207" s="10" t="str">
        <f>_xlfn.XLOOKUP(B207,DataSet!$N$2:$N$600,DataSet!$X$2:$X$600,0)</f>
        <v>Franklin - Tennessee</v>
      </c>
      <c r="J207" s="10" t="str">
        <f>_xlfn.XLOOKUP(B207,DataSet!$N$2:$N$600,DataSet!$M$2:$M$600,0)</f>
        <v>South</v>
      </c>
      <c r="K207" s="10" t="str">
        <f>_xlfn.XLOOKUP(B207,DataSet!$N$2:$N$600,DataSet!$O$2:$O$600,0)</f>
        <v>Furniture</v>
      </c>
      <c r="L207" s="10" t="str">
        <f>_xlfn.XLOOKUP(B207,DataSet!$N$2:$N$600,DataSet!$Y$2:$Y$600,0)</f>
        <v>Furnishings</v>
      </c>
      <c r="M207" s="10" t="str">
        <f>_xlfn.XLOOKUP(B207,DataSet!$N$2:$N$600,DataSet!$Q$2:$Q$600,0)</f>
        <v>Eldon 200 Class Desk Accessories, Burgundy</v>
      </c>
      <c r="N207" s="16">
        <f>_xlfn.XLOOKUP(B207,DataSet!$N$2:$N$600,DataSet!$AA$2:$AA$600,0)</f>
        <v>35.167999999999999</v>
      </c>
      <c r="O207" s="10">
        <f>_xlfn.XLOOKUP(B207,DataSet!$N$2:$N$600,DataSet!$S$2:$S$600,0)</f>
        <v>7</v>
      </c>
      <c r="P207" s="15">
        <f>_xlfn.XLOOKUP(B207,DataSet!$N$2:$N$600,DataSet!$T$2:$T$600,0)</f>
        <v>0.2</v>
      </c>
      <c r="Q207" s="14">
        <f>_xlfn.XLOOKUP(B207,DataSet!$N$2:$N$600,DataSet!$U$2:$U$600,0)</f>
        <v>9.6712000000000007</v>
      </c>
      <c r="R207" s="16">
        <f>_xlfn.XLOOKUP(B207,DataSet!$N$2:$N$600,DataSet!$AB$2:$AB$600,0)</f>
        <v>246.17599999999999</v>
      </c>
      <c r="S207" s="9">
        <f>_xlfn.XLOOKUP(B207,DataSet!$N$2:$N$600,DataSet!$AC$2:$AC$600,0)</f>
        <v>196.9408</v>
      </c>
    </row>
    <row r="208" spans="1:19" s="12" customFormat="1" x14ac:dyDescent="0.3">
      <c r="A208" s="27">
        <v>206</v>
      </c>
      <c r="B208" s="10" t="s">
        <v>827</v>
      </c>
      <c r="C208" s="10" t="str">
        <f>_xlfn.XLOOKUP(B208,DataSet!$N$2:$N$600,DataSet!$AF$2:$AF$600,0)</f>
        <v>108329</v>
      </c>
      <c r="D208" s="10" t="str">
        <f>_xlfn.XLOOKUP(B208,DataSet!$N$2:$N$600,DataSet!$G$2:$G$600,0)</f>
        <v>Laurel Elliston</v>
      </c>
      <c r="E208" s="10" t="str">
        <f>_xlfn.XLOOKUP(B208,DataSet!$N$2:$N$600,DataSet!$F$2:$F$600,0)</f>
        <v>LE-16810</v>
      </c>
      <c r="F208" s="10" t="str">
        <f>_xlfn.XLOOKUP(B208,DataSet!$N$2:$N$600,DataSet!$W$2:$W$600,0)</f>
        <v>Consumer</v>
      </c>
      <c r="G208" s="13">
        <f>_xlfn.XLOOKUP(B208,DataSet!$N$2:$N$600,DataSet!$C$2:$C$600,0)</f>
        <v>43078</v>
      </c>
      <c r="H208" s="10" t="str">
        <f>_xlfn.XLOOKUP(B208,DataSet!$N$2:$N$600,DataSet!$I$2:$I$600,0)</f>
        <v>United States</v>
      </c>
      <c r="I208" s="10" t="str">
        <f>_xlfn.XLOOKUP(B208,DataSet!$N$2:$N$600,DataSet!$X$2:$X$600,0)</f>
        <v>Whittier - California</v>
      </c>
      <c r="J208" s="10" t="str">
        <f>_xlfn.XLOOKUP(B208,DataSet!$N$2:$N$600,DataSet!$M$2:$M$600,0)</f>
        <v>West</v>
      </c>
      <c r="K208" s="10" t="str">
        <f>_xlfn.XLOOKUP(B208,DataSet!$N$2:$N$600,DataSet!$O$2:$O$600,0)</f>
        <v>Technology</v>
      </c>
      <c r="L208" s="10" t="str">
        <f>_xlfn.XLOOKUP(B208,DataSet!$N$2:$N$600,DataSet!$Y$2:$Y$600,0)</f>
        <v>Phones</v>
      </c>
      <c r="M208" s="10" t="str">
        <f>_xlfn.XLOOKUP(B208,DataSet!$N$2:$N$600,DataSet!$Q$2:$Q$600,0)</f>
        <v>Nortel Business Series Terminal T7208 Digital phone</v>
      </c>
      <c r="N208" s="16">
        <f>_xlfn.XLOOKUP(B208,DataSet!$N$2:$N$600,DataSet!$AA$2:$AA$600,0)</f>
        <v>444.76799999999997</v>
      </c>
      <c r="O208" s="10">
        <f>_xlfn.XLOOKUP(B208,DataSet!$N$2:$N$600,DataSet!$S$2:$S$600,0)</f>
        <v>4</v>
      </c>
      <c r="P208" s="15">
        <f>_xlfn.XLOOKUP(B208,DataSet!$N$2:$N$600,DataSet!$T$2:$T$600,0)</f>
        <v>0.2</v>
      </c>
      <c r="Q208" s="14">
        <f>_xlfn.XLOOKUP(B208,DataSet!$N$2:$N$600,DataSet!$U$2:$U$600,0)</f>
        <v>44.476799999999997</v>
      </c>
      <c r="R208" s="16">
        <f>_xlfn.XLOOKUP(B208,DataSet!$N$2:$N$600,DataSet!$AB$2:$AB$600,0)</f>
        <v>1779.0719999999999</v>
      </c>
      <c r="S208" s="9">
        <f>_xlfn.XLOOKUP(B208,DataSet!$N$2:$N$600,DataSet!$AC$2:$AC$600,0)</f>
        <v>1423.2575999999999</v>
      </c>
    </row>
    <row r="209" spans="1:19" s="12" customFormat="1" x14ac:dyDescent="0.3">
      <c r="A209" s="27">
        <v>207</v>
      </c>
      <c r="B209" s="10" t="s">
        <v>833</v>
      </c>
      <c r="C209" s="10" t="str">
        <f>_xlfn.XLOOKUP(B209,DataSet!$N$2:$N$600,DataSet!$AF$2:$AF$600,0)</f>
        <v>135860</v>
      </c>
      <c r="D209" s="10" t="str">
        <f>_xlfn.XLOOKUP(B209,DataSet!$N$2:$N$600,DataSet!$G$2:$G$600,0)</f>
        <v>Joseph Holt</v>
      </c>
      <c r="E209" s="10" t="str">
        <f>_xlfn.XLOOKUP(B209,DataSet!$N$2:$N$600,DataSet!$F$2:$F$600,0)</f>
        <v>JH-15985</v>
      </c>
      <c r="F209" s="10" t="str">
        <f>_xlfn.XLOOKUP(B209,DataSet!$N$2:$N$600,DataSet!$W$2:$W$600,0)</f>
        <v>Consumer</v>
      </c>
      <c r="G209" s="13">
        <f>_xlfn.XLOOKUP(B209,DataSet!$N$2:$N$600,DataSet!$C$2:$C$600,0)</f>
        <v>43070</v>
      </c>
      <c r="H209" s="10" t="str">
        <f>_xlfn.XLOOKUP(B209,DataSet!$N$2:$N$600,DataSet!$I$2:$I$600,0)</f>
        <v>United States</v>
      </c>
      <c r="I209" s="10" t="str">
        <f>_xlfn.XLOOKUP(B209,DataSet!$N$2:$N$600,DataSet!$X$2:$X$600,0)</f>
        <v>Saginaw - Michigan</v>
      </c>
      <c r="J209" s="10" t="str">
        <f>_xlfn.XLOOKUP(B209,DataSet!$N$2:$N$600,DataSet!$M$2:$M$600,0)</f>
        <v>Central</v>
      </c>
      <c r="K209" s="10" t="str">
        <f>_xlfn.XLOOKUP(B209,DataSet!$N$2:$N$600,DataSet!$O$2:$O$600,0)</f>
        <v>Office Supplies</v>
      </c>
      <c r="L209" s="10" t="str">
        <f>_xlfn.XLOOKUP(B209,DataSet!$N$2:$N$600,DataSet!$Y$2:$Y$600,0)</f>
        <v>Storage</v>
      </c>
      <c r="M209" s="10" t="str">
        <f>_xlfn.XLOOKUP(B209,DataSet!$N$2:$N$600,DataSet!$Q$2:$Q$600,0)</f>
        <v>Tennsco Lockers, Gray</v>
      </c>
      <c r="N209" s="16">
        <f>_xlfn.XLOOKUP(B209,DataSet!$N$2:$N$600,DataSet!$AA$2:$AA$600,0)</f>
        <v>83.92</v>
      </c>
      <c r="O209" s="10">
        <f>_xlfn.XLOOKUP(B209,DataSet!$N$2:$N$600,DataSet!$S$2:$S$600,0)</f>
        <v>4</v>
      </c>
      <c r="P209" s="15">
        <f>_xlfn.XLOOKUP(B209,DataSet!$N$2:$N$600,DataSet!$T$2:$T$600,0)</f>
        <v>0</v>
      </c>
      <c r="Q209" s="14">
        <f>_xlfn.XLOOKUP(B209,DataSet!$N$2:$N$600,DataSet!$U$2:$U$600,0)</f>
        <v>5.8743999999999996</v>
      </c>
      <c r="R209" s="16">
        <f>_xlfn.XLOOKUP(B209,DataSet!$N$2:$N$600,DataSet!$AB$2:$AB$600,0)</f>
        <v>335.68</v>
      </c>
      <c r="S209" s="9">
        <f>_xlfn.XLOOKUP(B209,DataSet!$N$2:$N$600,DataSet!$AC$2:$AC$600,0)</f>
        <v>335.68</v>
      </c>
    </row>
    <row r="210" spans="1:19" s="12" customFormat="1" x14ac:dyDescent="0.3">
      <c r="A210" s="27">
        <v>208</v>
      </c>
      <c r="B210" s="10" t="s">
        <v>835</v>
      </c>
      <c r="C210" s="10" t="str">
        <f>_xlfn.XLOOKUP(B210,DataSet!$N$2:$N$600,DataSet!$AF$2:$AF$600,0)</f>
        <v>135860</v>
      </c>
      <c r="D210" s="10" t="str">
        <f>_xlfn.XLOOKUP(B210,DataSet!$N$2:$N$600,DataSet!$G$2:$G$600,0)</f>
        <v>Joseph Holt</v>
      </c>
      <c r="E210" s="10" t="str">
        <f>_xlfn.XLOOKUP(B210,DataSet!$N$2:$N$600,DataSet!$F$2:$F$600,0)</f>
        <v>JH-15985</v>
      </c>
      <c r="F210" s="10" t="str">
        <f>_xlfn.XLOOKUP(B210,DataSet!$N$2:$N$600,DataSet!$W$2:$W$600,0)</f>
        <v>Consumer</v>
      </c>
      <c r="G210" s="13">
        <f>_xlfn.XLOOKUP(B210,DataSet!$N$2:$N$600,DataSet!$C$2:$C$600,0)</f>
        <v>43070</v>
      </c>
      <c r="H210" s="10" t="str">
        <f>_xlfn.XLOOKUP(B210,DataSet!$N$2:$N$600,DataSet!$I$2:$I$600,0)</f>
        <v>United States</v>
      </c>
      <c r="I210" s="10" t="str">
        <f>_xlfn.XLOOKUP(B210,DataSet!$N$2:$N$600,DataSet!$X$2:$X$600,0)</f>
        <v>Saginaw - Michigan</v>
      </c>
      <c r="J210" s="10" t="str">
        <f>_xlfn.XLOOKUP(B210,DataSet!$N$2:$N$600,DataSet!$M$2:$M$600,0)</f>
        <v>Central</v>
      </c>
      <c r="K210" s="10" t="str">
        <f>_xlfn.XLOOKUP(B210,DataSet!$N$2:$N$600,DataSet!$O$2:$O$600,0)</f>
        <v>Technology</v>
      </c>
      <c r="L210" s="10" t="str">
        <f>_xlfn.XLOOKUP(B210,DataSet!$N$2:$N$600,DataSet!$Y$2:$Y$600,0)</f>
        <v>Phones</v>
      </c>
      <c r="M210" s="10" t="str">
        <f>_xlfn.XLOOKUP(B210,DataSet!$N$2:$N$600,DataSet!$Q$2:$Q$600,0)</f>
        <v>Panasonic KX-TG6844B Expandable Digital Cordless Telephone</v>
      </c>
      <c r="N210" s="16">
        <f>_xlfn.XLOOKUP(B210,DataSet!$N$2:$N$600,DataSet!$AA$2:$AA$600,0)</f>
        <v>131.97999999999999</v>
      </c>
      <c r="O210" s="10">
        <f>_xlfn.XLOOKUP(B210,DataSet!$N$2:$N$600,DataSet!$S$2:$S$600,0)</f>
        <v>2</v>
      </c>
      <c r="P210" s="15">
        <f>_xlfn.XLOOKUP(B210,DataSet!$N$2:$N$600,DataSet!$T$2:$T$600,0)</f>
        <v>0</v>
      </c>
      <c r="Q210" s="14">
        <f>_xlfn.XLOOKUP(B210,DataSet!$N$2:$N$600,DataSet!$U$2:$U$600,0)</f>
        <v>35.634599999999999</v>
      </c>
      <c r="R210" s="16">
        <f>_xlfn.XLOOKUP(B210,DataSet!$N$2:$N$600,DataSet!$AB$2:$AB$600,0)</f>
        <v>263.95999999999998</v>
      </c>
      <c r="S210" s="9">
        <f>_xlfn.XLOOKUP(B210,DataSet!$N$2:$N$600,DataSet!$AC$2:$AC$600,0)</f>
        <v>263.95999999999998</v>
      </c>
    </row>
    <row r="211" spans="1:19" s="12" customFormat="1" x14ac:dyDescent="0.3">
      <c r="A211" s="27">
        <v>209</v>
      </c>
      <c r="B211" s="10" t="s">
        <v>543</v>
      </c>
      <c r="C211" s="10" t="str">
        <f>_xlfn.XLOOKUP(B211,DataSet!$N$2:$N$600,DataSet!$AF$2:$AF$600,0)</f>
        <v>107272</v>
      </c>
      <c r="D211" s="10" t="str">
        <f>_xlfn.XLOOKUP(B211,DataSet!$N$2:$N$600,DataSet!$G$2:$G$600,0)</f>
        <v>Troy Staebel</v>
      </c>
      <c r="E211" s="10" t="str">
        <f>_xlfn.XLOOKUP(B211,DataSet!$N$2:$N$600,DataSet!$F$2:$F$600,0)</f>
        <v>TS-21610</v>
      </c>
      <c r="F211" s="10" t="str">
        <f>_xlfn.XLOOKUP(B211,DataSet!$N$2:$N$600,DataSet!$W$2:$W$600,0)</f>
        <v>Consumer</v>
      </c>
      <c r="G211" s="13">
        <f>_xlfn.XLOOKUP(B211,DataSet!$N$2:$N$600,DataSet!$C$2:$C$600,0)</f>
        <v>43044</v>
      </c>
      <c r="H211" s="10" t="str">
        <f>_xlfn.XLOOKUP(B211,DataSet!$N$2:$N$600,DataSet!$I$2:$I$600,0)</f>
        <v>United States</v>
      </c>
      <c r="I211" s="10" t="str">
        <f>_xlfn.XLOOKUP(B211,DataSet!$N$2:$N$600,DataSet!$X$2:$X$600,0)</f>
        <v>Phoenix - Arizona</v>
      </c>
      <c r="J211" s="10" t="str">
        <f>_xlfn.XLOOKUP(B211,DataSet!$N$2:$N$600,DataSet!$M$2:$M$600,0)</f>
        <v>West</v>
      </c>
      <c r="K211" s="10" t="str">
        <f>_xlfn.XLOOKUP(B211,DataSet!$N$2:$N$600,DataSet!$O$2:$O$600,0)</f>
        <v>Office Supplies</v>
      </c>
      <c r="L211" s="10" t="str">
        <f>_xlfn.XLOOKUP(B211,DataSet!$N$2:$N$600,DataSet!$Y$2:$Y$600,0)</f>
        <v>Binders</v>
      </c>
      <c r="M211" s="10" t="str">
        <f>_xlfn.XLOOKUP(B211,DataSet!$N$2:$N$600,DataSet!$Q$2:$Q$600,0)</f>
        <v>Avery Durable Slant Ring Binders, No Labels</v>
      </c>
      <c r="N211" s="16">
        <f>_xlfn.XLOOKUP(B211,DataSet!$N$2:$N$600,DataSet!$AA$2:$AA$600,0)</f>
        <v>2.3879999999999999</v>
      </c>
      <c r="O211" s="10">
        <f>_xlfn.XLOOKUP(B211,DataSet!$N$2:$N$600,DataSet!$S$2:$S$600,0)</f>
        <v>2</v>
      </c>
      <c r="P211" s="15">
        <f>_xlfn.XLOOKUP(B211,DataSet!$N$2:$N$600,DataSet!$T$2:$T$600,0)</f>
        <v>0.7</v>
      </c>
      <c r="Q211" s="14">
        <f>_xlfn.XLOOKUP(B211,DataSet!$N$2:$N$600,DataSet!$U$2:$U$600,0)</f>
        <v>-1.8308</v>
      </c>
      <c r="R211" s="16">
        <f>_xlfn.XLOOKUP(B211,DataSet!$N$2:$N$600,DataSet!$AB$2:$AB$600,0)</f>
        <v>4.7759999999999998</v>
      </c>
      <c r="S211" s="9">
        <f>_xlfn.XLOOKUP(B211,DataSet!$N$2:$N$600,DataSet!$AC$2:$AC$600,0)</f>
        <v>1.4328000000000001</v>
      </c>
    </row>
    <row r="212" spans="1:19" s="12" customFormat="1" x14ac:dyDescent="0.3">
      <c r="A212" s="27">
        <v>210</v>
      </c>
      <c r="B212" s="10" t="s">
        <v>837</v>
      </c>
      <c r="C212" s="10" t="str">
        <f>_xlfn.XLOOKUP(B212,DataSet!$N$2:$N$600,DataSet!$AF$2:$AF$600,0)</f>
        <v>135860</v>
      </c>
      <c r="D212" s="10" t="str">
        <f>_xlfn.XLOOKUP(B212,DataSet!$N$2:$N$600,DataSet!$G$2:$G$600,0)</f>
        <v>Joseph Holt</v>
      </c>
      <c r="E212" s="10" t="str">
        <f>_xlfn.XLOOKUP(B212,DataSet!$N$2:$N$600,DataSet!$F$2:$F$600,0)</f>
        <v>JH-15985</v>
      </c>
      <c r="F212" s="10" t="str">
        <f>_xlfn.XLOOKUP(B212,DataSet!$N$2:$N$600,DataSet!$W$2:$W$600,0)</f>
        <v>Consumer</v>
      </c>
      <c r="G212" s="13">
        <f>_xlfn.XLOOKUP(B212,DataSet!$N$2:$N$600,DataSet!$C$2:$C$600,0)</f>
        <v>43070</v>
      </c>
      <c r="H212" s="10" t="str">
        <f>_xlfn.XLOOKUP(B212,DataSet!$N$2:$N$600,DataSet!$I$2:$I$600,0)</f>
        <v>United States</v>
      </c>
      <c r="I212" s="10" t="str">
        <f>_xlfn.XLOOKUP(B212,DataSet!$N$2:$N$600,DataSet!$X$2:$X$600,0)</f>
        <v>Saginaw - Michigan</v>
      </c>
      <c r="J212" s="10" t="str">
        <f>_xlfn.XLOOKUP(B212,DataSet!$N$2:$N$600,DataSet!$M$2:$M$600,0)</f>
        <v>Central</v>
      </c>
      <c r="K212" s="10" t="str">
        <f>_xlfn.XLOOKUP(B212,DataSet!$N$2:$N$600,DataSet!$O$2:$O$600,0)</f>
        <v>Office Supplies</v>
      </c>
      <c r="L212" s="10" t="str">
        <f>_xlfn.XLOOKUP(B212,DataSet!$N$2:$N$600,DataSet!$Y$2:$Y$600,0)</f>
        <v>Fasteners</v>
      </c>
      <c r="M212" s="10" t="str">
        <f>_xlfn.XLOOKUP(B212,DataSet!$N$2:$N$600,DataSet!$Q$2:$Q$600,0)</f>
        <v>Advantus Push Pins, Aluminum Head</v>
      </c>
      <c r="N212" s="16">
        <f>_xlfn.XLOOKUP(B212,DataSet!$N$2:$N$600,DataSet!$AA$2:$AA$600,0)</f>
        <v>52.29</v>
      </c>
      <c r="O212" s="10">
        <f>_xlfn.XLOOKUP(B212,DataSet!$N$2:$N$600,DataSet!$S$2:$S$600,0)</f>
        <v>9</v>
      </c>
      <c r="P212" s="15">
        <f>_xlfn.XLOOKUP(B212,DataSet!$N$2:$N$600,DataSet!$T$2:$T$600,0)</f>
        <v>0</v>
      </c>
      <c r="Q212" s="14">
        <f>_xlfn.XLOOKUP(B212,DataSet!$N$2:$N$600,DataSet!$U$2:$U$600,0)</f>
        <v>16.209900000000001</v>
      </c>
      <c r="R212" s="16">
        <f>_xlfn.XLOOKUP(B212,DataSet!$N$2:$N$600,DataSet!$AB$2:$AB$600,0)</f>
        <v>470.61</v>
      </c>
      <c r="S212" s="9">
        <f>_xlfn.XLOOKUP(B212,DataSet!$N$2:$N$600,DataSet!$AC$2:$AC$600,0)</f>
        <v>470.61</v>
      </c>
    </row>
    <row r="213" spans="1:19" s="12" customFormat="1" x14ac:dyDescent="0.3">
      <c r="A213" s="27">
        <v>211</v>
      </c>
      <c r="B213" s="10" t="s">
        <v>839</v>
      </c>
      <c r="C213" s="10" t="str">
        <f>_xlfn.XLOOKUP(B213,DataSet!$N$2:$N$600,DataSet!$AF$2:$AF$600,0)</f>
        <v>135860</v>
      </c>
      <c r="D213" s="10" t="str">
        <f>_xlfn.XLOOKUP(B213,DataSet!$N$2:$N$600,DataSet!$G$2:$G$600,0)</f>
        <v>Joseph Holt</v>
      </c>
      <c r="E213" s="10" t="str">
        <f>_xlfn.XLOOKUP(B213,DataSet!$N$2:$N$600,DataSet!$F$2:$F$600,0)</f>
        <v>JH-15985</v>
      </c>
      <c r="F213" s="10" t="str">
        <f>_xlfn.XLOOKUP(B213,DataSet!$N$2:$N$600,DataSet!$W$2:$W$600,0)</f>
        <v>Consumer</v>
      </c>
      <c r="G213" s="13">
        <f>_xlfn.XLOOKUP(B213,DataSet!$N$2:$N$600,DataSet!$C$2:$C$600,0)</f>
        <v>43070</v>
      </c>
      <c r="H213" s="10" t="str">
        <f>_xlfn.XLOOKUP(B213,DataSet!$N$2:$N$600,DataSet!$I$2:$I$600,0)</f>
        <v>United States</v>
      </c>
      <c r="I213" s="10" t="str">
        <f>_xlfn.XLOOKUP(B213,DataSet!$N$2:$N$600,DataSet!$X$2:$X$600,0)</f>
        <v>Saginaw - Michigan</v>
      </c>
      <c r="J213" s="10" t="str">
        <f>_xlfn.XLOOKUP(B213,DataSet!$N$2:$N$600,DataSet!$M$2:$M$600,0)</f>
        <v>Central</v>
      </c>
      <c r="K213" s="10" t="str">
        <f>_xlfn.XLOOKUP(B213,DataSet!$N$2:$N$600,DataSet!$O$2:$O$600,0)</f>
        <v>Office Supplies</v>
      </c>
      <c r="L213" s="10" t="str">
        <f>_xlfn.XLOOKUP(B213,DataSet!$N$2:$N$600,DataSet!$Y$2:$Y$600,0)</f>
        <v>Storage</v>
      </c>
      <c r="M213" s="10" t="str">
        <f>_xlfn.XLOOKUP(B213,DataSet!$N$2:$N$600,DataSet!$Q$2:$Q$600,0)</f>
        <v>Gould Plastics 18-Pocket Panel Bin, 34w x 5-1/4d x 20-1/2h</v>
      </c>
      <c r="N213" s="16">
        <f>_xlfn.XLOOKUP(B213,DataSet!$N$2:$N$600,DataSet!$AA$2:$AA$600,0)</f>
        <v>91.99</v>
      </c>
      <c r="O213" s="10">
        <f>_xlfn.XLOOKUP(B213,DataSet!$N$2:$N$600,DataSet!$S$2:$S$600,0)</f>
        <v>1</v>
      </c>
      <c r="P213" s="15">
        <f>_xlfn.XLOOKUP(B213,DataSet!$N$2:$N$600,DataSet!$T$2:$T$600,0)</f>
        <v>0</v>
      </c>
      <c r="Q213" s="14">
        <f>_xlfn.XLOOKUP(B213,DataSet!$N$2:$N$600,DataSet!$U$2:$U$600,0)</f>
        <v>3.6796000000000002</v>
      </c>
      <c r="R213" s="16">
        <f>_xlfn.XLOOKUP(B213,DataSet!$N$2:$N$600,DataSet!$AB$2:$AB$600,0)</f>
        <v>91.99</v>
      </c>
      <c r="S213" s="9">
        <f>_xlfn.XLOOKUP(B213,DataSet!$N$2:$N$600,DataSet!$AC$2:$AC$600,0)</f>
        <v>91.99</v>
      </c>
    </row>
    <row r="214" spans="1:19" s="12" customFormat="1" x14ac:dyDescent="0.3">
      <c r="A214" s="27">
        <v>212</v>
      </c>
      <c r="B214" s="10" t="s">
        <v>844</v>
      </c>
      <c r="C214" s="10" t="str">
        <f>_xlfn.XLOOKUP(B214,DataSet!$N$2:$N$600,DataSet!$AF$2:$AF$600,0)</f>
        <v>101007</v>
      </c>
      <c r="D214" s="10" t="str">
        <f>_xlfn.XLOOKUP(B214,DataSet!$N$2:$N$600,DataSet!$G$2:$G$600,0)</f>
        <v>Michael Stewart</v>
      </c>
      <c r="E214" s="10" t="str">
        <f>_xlfn.XLOOKUP(B214,DataSet!$N$2:$N$600,DataSet!$F$2:$F$600,0)</f>
        <v>MS-17980</v>
      </c>
      <c r="F214" s="10" t="str">
        <f>_xlfn.XLOOKUP(B214,DataSet!$N$2:$N$600,DataSet!$W$2:$W$600,0)</f>
        <v>Corporate</v>
      </c>
      <c r="G214" s="13">
        <f>_xlfn.XLOOKUP(B214,DataSet!$N$2:$N$600,DataSet!$C$2:$C$600,0)</f>
        <v>42044</v>
      </c>
      <c r="H214" s="10" t="str">
        <f>_xlfn.XLOOKUP(B214,DataSet!$N$2:$N$600,DataSet!$I$2:$I$600,0)</f>
        <v>United States</v>
      </c>
      <c r="I214" s="10" t="str">
        <f>_xlfn.XLOOKUP(B214,DataSet!$N$2:$N$600,DataSet!$X$2:$X$600,0)</f>
        <v>Dallas - Texas</v>
      </c>
      <c r="J214" s="10" t="str">
        <f>_xlfn.XLOOKUP(B214,DataSet!$N$2:$N$600,DataSet!$M$2:$M$600,0)</f>
        <v>Central</v>
      </c>
      <c r="K214" s="10" t="str">
        <f>_xlfn.XLOOKUP(B214,DataSet!$N$2:$N$600,DataSet!$O$2:$O$600,0)</f>
        <v>Technology</v>
      </c>
      <c r="L214" s="10" t="str">
        <f>_xlfn.XLOOKUP(B214,DataSet!$N$2:$N$600,DataSet!$Y$2:$Y$600,0)</f>
        <v>Accessories</v>
      </c>
      <c r="M214" s="10" t="str">
        <f>_xlfn.XLOOKUP(B214,DataSet!$N$2:$N$600,DataSet!$Q$2:$Q$600,0)</f>
        <v>Memorex Micro Travel Drive 8 GB</v>
      </c>
      <c r="N214" s="16">
        <f>_xlfn.XLOOKUP(B214,DataSet!$N$2:$N$600,DataSet!$AA$2:$AA$600,0)</f>
        <v>20.8</v>
      </c>
      <c r="O214" s="10">
        <f>_xlfn.XLOOKUP(B214,DataSet!$N$2:$N$600,DataSet!$S$2:$S$600,0)</f>
        <v>2</v>
      </c>
      <c r="P214" s="15">
        <f>_xlfn.XLOOKUP(B214,DataSet!$N$2:$N$600,DataSet!$T$2:$T$600,0)</f>
        <v>0.2</v>
      </c>
      <c r="Q214" s="14">
        <f>_xlfn.XLOOKUP(B214,DataSet!$N$2:$N$600,DataSet!$U$2:$U$600,0)</f>
        <v>6.5</v>
      </c>
      <c r="R214" s="16">
        <f>_xlfn.XLOOKUP(B214,DataSet!$N$2:$N$600,DataSet!$AB$2:$AB$600,0)</f>
        <v>41.6</v>
      </c>
      <c r="S214" s="9">
        <f>_xlfn.XLOOKUP(B214,DataSet!$N$2:$N$600,DataSet!$AC$2:$AC$600,0)</f>
        <v>33.28</v>
      </c>
    </row>
    <row r="215" spans="1:19" s="12" customFormat="1" x14ac:dyDescent="0.3">
      <c r="A215" s="27">
        <v>213</v>
      </c>
      <c r="B215" s="10" t="s">
        <v>850</v>
      </c>
      <c r="C215" s="10" t="str">
        <f>_xlfn.XLOOKUP(B215,DataSet!$N$2:$N$600,DataSet!$AF$2:$AF$600,0)</f>
        <v>146262</v>
      </c>
      <c r="D215" s="10" t="str">
        <f>_xlfn.XLOOKUP(B215,DataSet!$N$2:$N$600,DataSet!$G$2:$G$600,0)</f>
        <v>Victoria Wilson</v>
      </c>
      <c r="E215" s="10" t="str">
        <f>_xlfn.XLOOKUP(B215,DataSet!$N$2:$N$600,DataSet!$F$2:$F$600,0)</f>
        <v>VW-21775</v>
      </c>
      <c r="F215" s="10" t="str">
        <f>_xlfn.XLOOKUP(B215,DataSet!$N$2:$N$600,DataSet!$W$2:$W$600,0)</f>
        <v>Corporate</v>
      </c>
      <c r="G215" s="13">
        <f>_xlfn.XLOOKUP(B215,DataSet!$N$2:$N$600,DataSet!$C$2:$C$600,0)</f>
        <v>42006</v>
      </c>
      <c r="H215" s="10" t="str">
        <f>_xlfn.XLOOKUP(B215,DataSet!$N$2:$N$600,DataSet!$I$2:$I$600,0)</f>
        <v>United States</v>
      </c>
      <c r="I215" s="10" t="str">
        <f>_xlfn.XLOOKUP(B215,DataSet!$N$2:$N$600,DataSet!$X$2:$X$600,0)</f>
        <v>Medina - Ohio</v>
      </c>
      <c r="J215" s="10" t="str">
        <f>_xlfn.XLOOKUP(B215,DataSet!$N$2:$N$600,DataSet!$M$2:$M$600,0)</f>
        <v>East</v>
      </c>
      <c r="K215" s="10" t="str">
        <f>_xlfn.XLOOKUP(B215,DataSet!$N$2:$N$600,DataSet!$O$2:$O$600,0)</f>
        <v>Office Supplies</v>
      </c>
      <c r="L215" s="10" t="str">
        <f>_xlfn.XLOOKUP(B215,DataSet!$N$2:$N$600,DataSet!$Y$2:$Y$600,0)</f>
        <v>Labels</v>
      </c>
      <c r="M215" s="10" t="str">
        <f>_xlfn.XLOOKUP(B215,DataSet!$N$2:$N$600,DataSet!$Q$2:$Q$600,0)</f>
        <v>Avery 505</v>
      </c>
      <c r="N215" s="16">
        <f>_xlfn.XLOOKUP(B215,DataSet!$N$2:$N$600,DataSet!$AA$2:$AA$600,0)</f>
        <v>23.68</v>
      </c>
      <c r="O215" s="10">
        <f>_xlfn.XLOOKUP(B215,DataSet!$N$2:$N$600,DataSet!$S$2:$S$600,0)</f>
        <v>2</v>
      </c>
      <c r="P215" s="15">
        <f>_xlfn.XLOOKUP(B215,DataSet!$N$2:$N$600,DataSet!$T$2:$T$600,0)</f>
        <v>0.2</v>
      </c>
      <c r="Q215" s="14">
        <f>_xlfn.XLOOKUP(B215,DataSet!$N$2:$N$600,DataSet!$U$2:$U$600,0)</f>
        <v>8.8800000000000008</v>
      </c>
      <c r="R215" s="16">
        <f>_xlfn.XLOOKUP(B215,DataSet!$N$2:$N$600,DataSet!$AB$2:$AB$600,0)</f>
        <v>47.36</v>
      </c>
      <c r="S215" s="9">
        <f>_xlfn.XLOOKUP(B215,DataSet!$N$2:$N$600,DataSet!$AC$2:$AC$600,0)</f>
        <v>37.887999999999998</v>
      </c>
    </row>
    <row r="216" spans="1:19" s="12" customFormat="1" x14ac:dyDescent="0.3">
      <c r="A216" s="27">
        <v>214</v>
      </c>
      <c r="B216" s="10" t="s">
        <v>852</v>
      </c>
      <c r="C216" s="10" t="str">
        <f>_xlfn.XLOOKUP(B216,DataSet!$N$2:$N$600,DataSet!$AF$2:$AF$600,0)</f>
        <v>146262</v>
      </c>
      <c r="D216" s="10" t="str">
        <f>_xlfn.XLOOKUP(B216,DataSet!$N$2:$N$600,DataSet!$G$2:$G$600,0)</f>
        <v>Victoria Wilson</v>
      </c>
      <c r="E216" s="10" t="str">
        <f>_xlfn.XLOOKUP(B216,DataSet!$N$2:$N$600,DataSet!$F$2:$F$600,0)</f>
        <v>VW-21775</v>
      </c>
      <c r="F216" s="10" t="str">
        <f>_xlfn.XLOOKUP(B216,DataSet!$N$2:$N$600,DataSet!$W$2:$W$600,0)</f>
        <v>Corporate</v>
      </c>
      <c r="G216" s="13">
        <f>_xlfn.XLOOKUP(B216,DataSet!$N$2:$N$600,DataSet!$C$2:$C$600,0)</f>
        <v>42006</v>
      </c>
      <c r="H216" s="10" t="str">
        <f>_xlfn.XLOOKUP(B216,DataSet!$N$2:$N$600,DataSet!$I$2:$I$600,0)</f>
        <v>United States</v>
      </c>
      <c r="I216" s="10" t="str">
        <f>_xlfn.XLOOKUP(B216,DataSet!$N$2:$N$600,DataSet!$X$2:$X$600,0)</f>
        <v>Medina - Ohio</v>
      </c>
      <c r="J216" s="10" t="str">
        <f>_xlfn.XLOOKUP(B216,DataSet!$N$2:$N$600,DataSet!$M$2:$M$600,0)</f>
        <v>East</v>
      </c>
      <c r="K216" s="10" t="str">
        <f>_xlfn.XLOOKUP(B216,DataSet!$N$2:$N$600,DataSet!$O$2:$O$600,0)</f>
        <v>Furniture</v>
      </c>
      <c r="L216" s="10" t="str">
        <f>_xlfn.XLOOKUP(B216,DataSet!$N$2:$N$600,DataSet!$Y$2:$Y$600,0)</f>
        <v>Bookcases</v>
      </c>
      <c r="M216" s="10" t="str">
        <f>_xlfn.XLOOKUP(B216,DataSet!$N$2:$N$600,DataSet!$Q$2:$Q$600,0)</f>
        <v>O'Sullivan 2-Door Barrister Bookcase in Odessa Pine</v>
      </c>
      <c r="N216" s="16">
        <f>_xlfn.XLOOKUP(B216,DataSet!$N$2:$N$600,DataSet!$AA$2:$AA$600,0)</f>
        <v>452.45</v>
      </c>
      <c r="O216" s="10">
        <f>_xlfn.XLOOKUP(B216,DataSet!$N$2:$N$600,DataSet!$S$2:$S$600,0)</f>
        <v>5</v>
      </c>
      <c r="P216" s="15">
        <f>_xlfn.XLOOKUP(B216,DataSet!$N$2:$N$600,DataSet!$T$2:$T$600,0)</f>
        <v>0.5</v>
      </c>
      <c r="Q216" s="14">
        <f>_xlfn.XLOOKUP(B216,DataSet!$N$2:$N$600,DataSet!$U$2:$U$600,0)</f>
        <v>-244.32300000000001</v>
      </c>
      <c r="R216" s="16">
        <f>_xlfn.XLOOKUP(B216,DataSet!$N$2:$N$600,DataSet!$AB$2:$AB$600,0)</f>
        <v>2262.25</v>
      </c>
      <c r="S216" s="9">
        <f>_xlfn.XLOOKUP(B216,DataSet!$N$2:$N$600,DataSet!$AC$2:$AC$600,0)</f>
        <v>1131.125</v>
      </c>
    </row>
    <row r="217" spans="1:19" s="12" customFormat="1" x14ac:dyDescent="0.3">
      <c r="A217" s="27">
        <v>215</v>
      </c>
      <c r="B217" s="10" t="s">
        <v>468</v>
      </c>
      <c r="C217" s="10" t="str">
        <f>_xlfn.XLOOKUP(B217,DataSet!$N$2:$N$600,DataSet!$AF$2:$AF$600,0)</f>
        <v>119004</v>
      </c>
      <c r="D217" s="10" t="str">
        <f>_xlfn.XLOOKUP(B217,DataSet!$N$2:$N$600,DataSet!$G$2:$G$600,0)</f>
        <v>Janet Martin</v>
      </c>
      <c r="E217" s="10" t="str">
        <f>_xlfn.XLOOKUP(B217,DataSet!$N$2:$N$600,DataSet!$F$2:$F$600,0)</f>
        <v>JM-15250</v>
      </c>
      <c r="F217" s="10" t="str">
        <f>_xlfn.XLOOKUP(B217,DataSet!$N$2:$N$600,DataSet!$W$2:$W$600,0)</f>
        <v>Consumer</v>
      </c>
      <c r="G217" s="13">
        <f>_xlfn.XLOOKUP(B217,DataSet!$N$2:$N$600,DataSet!$C$2:$C$600,0)</f>
        <v>43062</v>
      </c>
      <c r="H217" s="10" t="str">
        <f>_xlfn.XLOOKUP(B217,DataSet!$N$2:$N$600,DataSet!$I$2:$I$600,0)</f>
        <v>United States</v>
      </c>
      <c r="I217" s="10" t="str">
        <f>_xlfn.XLOOKUP(B217,DataSet!$N$2:$N$600,DataSet!$X$2:$X$600,0)</f>
        <v>Charlotte - North Carolina</v>
      </c>
      <c r="J217" s="10" t="str">
        <f>_xlfn.XLOOKUP(B217,DataSet!$N$2:$N$600,DataSet!$M$2:$M$600,0)</f>
        <v>South</v>
      </c>
      <c r="K217" s="10" t="str">
        <f>_xlfn.XLOOKUP(B217,DataSet!$N$2:$N$600,DataSet!$O$2:$O$600,0)</f>
        <v>Technology</v>
      </c>
      <c r="L217" s="10" t="str">
        <f>_xlfn.XLOOKUP(B217,DataSet!$N$2:$N$600,DataSet!$Y$2:$Y$600,0)</f>
        <v>Phones</v>
      </c>
      <c r="M217" s="10" t="str">
        <f>_xlfn.XLOOKUP(B217,DataSet!$N$2:$N$600,DataSet!$Q$2:$Q$600,0)</f>
        <v>Speck Products Candyshell Flip Case</v>
      </c>
      <c r="N217" s="16">
        <f>_xlfn.XLOOKUP(B217,DataSet!$N$2:$N$600,DataSet!$AA$2:$AA$600,0)</f>
        <v>27.992000000000001</v>
      </c>
      <c r="O217" s="10">
        <f>_xlfn.XLOOKUP(B217,DataSet!$N$2:$N$600,DataSet!$S$2:$S$600,0)</f>
        <v>1</v>
      </c>
      <c r="P217" s="15">
        <f>_xlfn.XLOOKUP(B217,DataSet!$N$2:$N$600,DataSet!$T$2:$T$600,0)</f>
        <v>0.2</v>
      </c>
      <c r="Q217" s="14">
        <f>_xlfn.XLOOKUP(B217,DataSet!$N$2:$N$600,DataSet!$U$2:$U$600,0)</f>
        <v>2.0994000000000002</v>
      </c>
      <c r="R217" s="16">
        <f>_xlfn.XLOOKUP(B217,DataSet!$N$2:$N$600,DataSet!$AB$2:$AB$600,0)</f>
        <v>27.992000000000001</v>
      </c>
      <c r="S217" s="9">
        <f>_xlfn.XLOOKUP(B217,DataSet!$N$2:$N$600,DataSet!$AC$2:$AC$600,0)</f>
        <v>22.393600000000003</v>
      </c>
    </row>
    <row r="218" spans="1:19" s="12" customFormat="1" x14ac:dyDescent="0.3">
      <c r="A218" s="27">
        <v>216</v>
      </c>
      <c r="B218" s="10" t="s">
        <v>854</v>
      </c>
      <c r="C218" s="10" t="str">
        <f>_xlfn.XLOOKUP(B218,DataSet!$N$2:$N$600,DataSet!$AF$2:$AF$600,0)</f>
        <v>146262</v>
      </c>
      <c r="D218" s="10" t="str">
        <f>_xlfn.XLOOKUP(B218,DataSet!$N$2:$N$600,DataSet!$G$2:$G$600,0)</f>
        <v>Victoria Wilson</v>
      </c>
      <c r="E218" s="10" t="str">
        <f>_xlfn.XLOOKUP(B218,DataSet!$N$2:$N$600,DataSet!$F$2:$F$600,0)</f>
        <v>VW-21775</v>
      </c>
      <c r="F218" s="10" t="str">
        <f>_xlfn.XLOOKUP(B218,DataSet!$N$2:$N$600,DataSet!$W$2:$W$600,0)</f>
        <v>Corporate</v>
      </c>
      <c r="G218" s="13">
        <f>_xlfn.XLOOKUP(B218,DataSet!$N$2:$N$600,DataSet!$C$2:$C$600,0)</f>
        <v>42006</v>
      </c>
      <c r="H218" s="10" t="str">
        <f>_xlfn.XLOOKUP(B218,DataSet!$N$2:$N$600,DataSet!$I$2:$I$600,0)</f>
        <v>United States</v>
      </c>
      <c r="I218" s="10" t="str">
        <f>_xlfn.XLOOKUP(B218,DataSet!$N$2:$N$600,DataSet!$X$2:$X$600,0)</f>
        <v>Medina - Ohio</v>
      </c>
      <c r="J218" s="10" t="str">
        <f>_xlfn.XLOOKUP(B218,DataSet!$N$2:$N$600,DataSet!$M$2:$M$600,0)</f>
        <v>East</v>
      </c>
      <c r="K218" s="10" t="str">
        <f>_xlfn.XLOOKUP(B218,DataSet!$N$2:$N$600,DataSet!$O$2:$O$600,0)</f>
        <v>Technology</v>
      </c>
      <c r="L218" s="10" t="str">
        <f>_xlfn.XLOOKUP(B218,DataSet!$N$2:$N$600,DataSet!$Y$2:$Y$600,0)</f>
        <v>Machines</v>
      </c>
      <c r="M218" s="10" t="str">
        <f>_xlfn.XLOOKUP(B218,DataSet!$N$2:$N$600,DataSet!$Q$2:$Q$600,0)</f>
        <v>Cisco 9971 IP Video Phone Charcoal</v>
      </c>
      <c r="N218" s="16">
        <f>_xlfn.XLOOKUP(B218,DataSet!$N$2:$N$600,DataSet!$AA$2:$AA$600,0)</f>
        <v>1188</v>
      </c>
      <c r="O218" s="10">
        <f>_xlfn.XLOOKUP(B218,DataSet!$N$2:$N$600,DataSet!$S$2:$S$600,0)</f>
        <v>9</v>
      </c>
      <c r="P218" s="15">
        <f>_xlfn.XLOOKUP(B218,DataSet!$N$2:$N$600,DataSet!$T$2:$T$600,0)</f>
        <v>0.7</v>
      </c>
      <c r="Q218" s="14">
        <f>_xlfn.XLOOKUP(B218,DataSet!$N$2:$N$600,DataSet!$U$2:$U$600,0)</f>
        <v>-950.4</v>
      </c>
      <c r="R218" s="16">
        <f>_xlfn.XLOOKUP(B218,DataSet!$N$2:$N$600,DataSet!$AB$2:$AB$600,0)</f>
        <v>10692</v>
      </c>
      <c r="S218" s="9">
        <f>_xlfn.XLOOKUP(B218,DataSet!$N$2:$N$600,DataSet!$AC$2:$AC$600,0)</f>
        <v>3207.6000000000004</v>
      </c>
    </row>
    <row r="219" spans="1:19" s="12" customFormat="1" x14ac:dyDescent="0.3">
      <c r="A219" s="27">
        <v>217</v>
      </c>
      <c r="B219" s="10" t="s">
        <v>856</v>
      </c>
      <c r="C219" s="10" t="str">
        <f>_xlfn.XLOOKUP(B219,DataSet!$N$2:$N$600,DataSet!$AF$2:$AF$600,0)</f>
        <v>146262</v>
      </c>
      <c r="D219" s="10" t="str">
        <f>_xlfn.XLOOKUP(B219,DataSet!$N$2:$N$600,DataSet!$G$2:$G$600,0)</f>
        <v>Victoria Wilson</v>
      </c>
      <c r="E219" s="10" t="str">
        <f>_xlfn.XLOOKUP(B219,DataSet!$N$2:$N$600,DataSet!$F$2:$F$600,0)</f>
        <v>VW-21775</v>
      </c>
      <c r="F219" s="10" t="str">
        <f>_xlfn.XLOOKUP(B219,DataSet!$N$2:$N$600,DataSet!$W$2:$W$600,0)</f>
        <v>Corporate</v>
      </c>
      <c r="G219" s="13">
        <f>_xlfn.XLOOKUP(B219,DataSet!$N$2:$N$600,DataSet!$C$2:$C$600,0)</f>
        <v>42006</v>
      </c>
      <c r="H219" s="10" t="str">
        <f>_xlfn.XLOOKUP(B219,DataSet!$N$2:$N$600,DataSet!$I$2:$I$600,0)</f>
        <v>United States</v>
      </c>
      <c r="I219" s="10" t="str">
        <f>_xlfn.XLOOKUP(B219,DataSet!$N$2:$N$600,DataSet!$X$2:$X$600,0)</f>
        <v>Medina - Ohio</v>
      </c>
      <c r="J219" s="10" t="str">
        <f>_xlfn.XLOOKUP(B219,DataSet!$N$2:$N$600,DataSet!$M$2:$M$600,0)</f>
        <v>East</v>
      </c>
      <c r="K219" s="10" t="str">
        <f>_xlfn.XLOOKUP(B219,DataSet!$N$2:$N$600,DataSet!$O$2:$O$600,0)</f>
        <v>Technology</v>
      </c>
      <c r="L219" s="10" t="str">
        <f>_xlfn.XLOOKUP(B219,DataSet!$N$2:$N$600,DataSet!$Y$2:$Y$600,0)</f>
        <v>Accessories</v>
      </c>
      <c r="M219" s="10" t="str">
        <f>_xlfn.XLOOKUP(B219,DataSet!$N$2:$N$600,DataSet!$Q$2:$Q$600,0)</f>
        <v>Sony Micro Vault Click 16 GB USB 2.0 Flash Drive</v>
      </c>
      <c r="N219" s="16">
        <f>_xlfn.XLOOKUP(B219,DataSet!$N$2:$N$600,DataSet!$AA$2:$AA$600,0)</f>
        <v>89.584000000000003</v>
      </c>
      <c r="O219" s="10">
        <f>_xlfn.XLOOKUP(B219,DataSet!$N$2:$N$600,DataSet!$S$2:$S$600,0)</f>
        <v>2</v>
      </c>
      <c r="P219" s="15">
        <f>_xlfn.XLOOKUP(B219,DataSet!$N$2:$N$600,DataSet!$T$2:$T$600,0)</f>
        <v>0.2</v>
      </c>
      <c r="Q219" s="14">
        <f>_xlfn.XLOOKUP(B219,DataSet!$N$2:$N$600,DataSet!$U$2:$U$600,0)</f>
        <v>4.4791999999999996</v>
      </c>
      <c r="R219" s="16">
        <f>_xlfn.XLOOKUP(B219,DataSet!$N$2:$N$600,DataSet!$AB$2:$AB$600,0)</f>
        <v>179.16800000000001</v>
      </c>
      <c r="S219" s="9">
        <f>_xlfn.XLOOKUP(B219,DataSet!$N$2:$N$600,DataSet!$AC$2:$AC$600,0)</f>
        <v>143.33440000000002</v>
      </c>
    </row>
    <row r="220" spans="1:19" s="12" customFormat="1" x14ac:dyDescent="0.3">
      <c r="A220" s="27">
        <v>218</v>
      </c>
      <c r="B220" s="10" t="s">
        <v>759</v>
      </c>
      <c r="C220" s="10" t="str">
        <f>_xlfn.XLOOKUP(B220,DataSet!$N$2:$N$600,DataSet!$AF$2:$AF$600,0)</f>
        <v>157000</v>
      </c>
      <c r="D220" s="10" t="str">
        <f>_xlfn.XLOOKUP(B220,DataSet!$N$2:$N$600,DataSet!$G$2:$G$600,0)</f>
        <v>Alice McCarthy</v>
      </c>
      <c r="E220" s="10" t="str">
        <f>_xlfn.XLOOKUP(B220,DataSet!$N$2:$N$600,DataSet!$F$2:$F$600,0)</f>
        <v>AM-10360</v>
      </c>
      <c r="F220" s="10" t="str">
        <f>_xlfn.XLOOKUP(B220,DataSet!$N$2:$N$600,DataSet!$W$2:$W$600,0)</f>
        <v>Corporate</v>
      </c>
      <c r="G220" s="13">
        <f>_xlfn.XLOOKUP(B220,DataSet!$N$2:$N$600,DataSet!$C$2:$C$600,0)</f>
        <v>42567</v>
      </c>
      <c r="H220" s="10" t="str">
        <f>_xlfn.XLOOKUP(B220,DataSet!$N$2:$N$600,DataSet!$I$2:$I$600,0)</f>
        <v>United States</v>
      </c>
      <c r="I220" s="10" t="str">
        <f>_xlfn.XLOOKUP(B220,DataSet!$N$2:$N$600,DataSet!$X$2:$X$600,0)</f>
        <v>Grand Prairie - Texas</v>
      </c>
      <c r="J220" s="10" t="str">
        <f>_xlfn.XLOOKUP(B220,DataSet!$N$2:$N$600,DataSet!$M$2:$M$600,0)</f>
        <v>Central</v>
      </c>
      <c r="K220" s="10" t="str">
        <f>_xlfn.XLOOKUP(B220,DataSet!$N$2:$N$600,DataSet!$O$2:$O$600,0)</f>
        <v>Office Supplies</v>
      </c>
      <c r="L220" s="10" t="str">
        <f>_xlfn.XLOOKUP(B220,DataSet!$N$2:$N$600,DataSet!$Y$2:$Y$600,0)</f>
        <v>Storage</v>
      </c>
      <c r="M220" s="10" t="str">
        <f>_xlfn.XLOOKUP(B220,DataSet!$N$2:$N$600,DataSet!$Q$2:$Q$600,0)</f>
        <v>Personal Filing Tote with Lid, Black/Gray</v>
      </c>
      <c r="N220" s="16">
        <f>_xlfn.XLOOKUP(B220,DataSet!$N$2:$N$600,DataSet!$AA$2:$AA$600,0)</f>
        <v>37.223999999999997</v>
      </c>
      <c r="O220" s="10">
        <f>_xlfn.XLOOKUP(B220,DataSet!$N$2:$N$600,DataSet!$S$2:$S$600,0)</f>
        <v>3</v>
      </c>
      <c r="P220" s="15">
        <f>_xlfn.XLOOKUP(B220,DataSet!$N$2:$N$600,DataSet!$T$2:$T$600,0)</f>
        <v>0.2</v>
      </c>
      <c r="Q220" s="14">
        <f>_xlfn.XLOOKUP(B220,DataSet!$N$2:$N$600,DataSet!$U$2:$U$600,0)</f>
        <v>3.7223999999999999</v>
      </c>
      <c r="R220" s="16">
        <f>_xlfn.XLOOKUP(B220,DataSet!$N$2:$N$600,DataSet!$AB$2:$AB$600,0)</f>
        <v>111.672</v>
      </c>
      <c r="S220" s="9">
        <f>_xlfn.XLOOKUP(B220,DataSet!$N$2:$N$600,DataSet!$AC$2:$AC$600,0)</f>
        <v>89.337600000000009</v>
      </c>
    </row>
    <row r="221" spans="1:19" s="12" customFormat="1" x14ac:dyDescent="0.3">
      <c r="A221" s="27">
        <v>219</v>
      </c>
      <c r="B221" s="10" t="s">
        <v>861</v>
      </c>
      <c r="C221" s="10" t="str">
        <f>_xlfn.XLOOKUP(B221,DataSet!$N$2:$N$600,DataSet!$AF$2:$AF$600,0)</f>
        <v>130162</v>
      </c>
      <c r="D221" s="10" t="str">
        <f>_xlfn.XLOOKUP(B221,DataSet!$N$2:$N$600,DataSet!$G$2:$G$600,0)</f>
        <v>Jonathan Howell</v>
      </c>
      <c r="E221" s="10" t="str">
        <f>_xlfn.XLOOKUP(B221,DataSet!$N$2:$N$600,DataSet!$F$2:$F$600,0)</f>
        <v>JH-15910</v>
      </c>
      <c r="F221" s="10" t="str">
        <f>_xlfn.XLOOKUP(B221,DataSet!$N$2:$N$600,DataSet!$W$2:$W$600,0)</f>
        <v>Consumer</v>
      </c>
      <c r="G221" s="13">
        <f>_xlfn.XLOOKUP(B221,DataSet!$N$2:$N$600,DataSet!$C$2:$C$600,0)</f>
        <v>42671</v>
      </c>
      <c r="H221" s="10" t="str">
        <f>_xlfn.XLOOKUP(B221,DataSet!$N$2:$N$600,DataSet!$I$2:$I$600,0)</f>
        <v>United States</v>
      </c>
      <c r="I221" s="10" t="str">
        <f>_xlfn.XLOOKUP(B221,DataSet!$N$2:$N$600,DataSet!$X$2:$X$600,0)</f>
        <v>Los Angeles - California</v>
      </c>
      <c r="J221" s="10" t="str">
        <f>_xlfn.XLOOKUP(B221,DataSet!$N$2:$N$600,DataSet!$M$2:$M$600,0)</f>
        <v>West</v>
      </c>
      <c r="K221" s="10" t="str">
        <f>_xlfn.XLOOKUP(B221,DataSet!$N$2:$N$600,DataSet!$O$2:$O$600,0)</f>
        <v>Technology</v>
      </c>
      <c r="L221" s="10" t="str">
        <f>_xlfn.XLOOKUP(B221,DataSet!$N$2:$N$600,DataSet!$Y$2:$Y$600,0)</f>
        <v>Phones</v>
      </c>
      <c r="M221" s="10" t="str">
        <f>_xlfn.XLOOKUP(B221,DataSet!$N$2:$N$600,DataSet!$Q$2:$Q$600,0)</f>
        <v>Adtran 1202752G1</v>
      </c>
      <c r="N221" s="16">
        <f>_xlfn.XLOOKUP(B221,DataSet!$N$2:$N$600,DataSet!$AA$2:$AA$600,0)</f>
        <v>302.37599999999998</v>
      </c>
      <c r="O221" s="10">
        <f>_xlfn.XLOOKUP(B221,DataSet!$N$2:$N$600,DataSet!$S$2:$S$600,0)</f>
        <v>3</v>
      </c>
      <c r="P221" s="15">
        <f>_xlfn.XLOOKUP(B221,DataSet!$N$2:$N$600,DataSet!$T$2:$T$600,0)</f>
        <v>0.2</v>
      </c>
      <c r="Q221" s="14">
        <f>_xlfn.XLOOKUP(B221,DataSet!$N$2:$N$600,DataSet!$U$2:$U$600,0)</f>
        <v>22.6782</v>
      </c>
      <c r="R221" s="16">
        <f>_xlfn.XLOOKUP(B221,DataSet!$N$2:$N$600,DataSet!$AB$2:$AB$600,0)</f>
        <v>907.12799999999993</v>
      </c>
      <c r="S221" s="9">
        <f>_xlfn.XLOOKUP(B221,DataSet!$N$2:$N$600,DataSet!$AC$2:$AC$600,0)</f>
        <v>725.70240000000001</v>
      </c>
    </row>
    <row r="222" spans="1:19" s="12" customFormat="1" x14ac:dyDescent="0.3">
      <c r="A222" s="27">
        <v>220</v>
      </c>
      <c r="B222" s="10" t="s">
        <v>867</v>
      </c>
      <c r="C222" s="10" t="str">
        <f>_xlfn.XLOOKUP(B222,DataSet!$N$2:$N$600,DataSet!$AF$2:$AF$600,0)</f>
        <v>169397</v>
      </c>
      <c r="D222" s="10" t="str">
        <f>_xlfn.XLOOKUP(B222,DataSet!$N$2:$N$600,DataSet!$G$2:$G$600,0)</f>
        <v>Joni Blumstein</v>
      </c>
      <c r="E222" s="10" t="str">
        <f>_xlfn.XLOOKUP(B222,DataSet!$N$2:$N$600,DataSet!$F$2:$F$600,0)</f>
        <v>JB-15925</v>
      </c>
      <c r="F222" s="10" t="str">
        <f>_xlfn.XLOOKUP(B222,DataSet!$N$2:$N$600,DataSet!$W$2:$W$600,0)</f>
        <v>Consumer</v>
      </c>
      <c r="G222" s="13">
        <f>_xlfn.XLOOKUP(B222,DataSet!$N$2:$N$600,DataSet!$C$2:$C$600,0)</f>
        <v>42362</v>
      </c>
      <c r="H222" s="10" t="str">
        <f>_xlfn.XLOOKUP(B222,DataSet!$N$2:$N$600,DataSet!$I$2:$I$600,0)</f>
        <v>United States</v>
      </c>
      <c r="I222" s="10" t="str">
        <f>_xlfn.XLOOKUP(B222,DataSet!$N$2:$N$600,DataSet!$X$2:$X$600,0)</f>
        <v>Dublin - Ohio</v>
      </c>
      <c r="J222" s="10" t="str">
        <f>_xlfn.XLOOKUP(B222,DataSet!$N$2:$N$600,DataSet!$M$2:$M$600,0)</f>
        <v>East</v>
      </c>
      <c r="K222" s="10" t="str">
        <f>_xlfn.XLOOKUP(B222,DataSet!$N$2:$N$600,DataSet!$O$2:$O$600,0)</f>
        <v>Office Supplies</v>
      </c>
      <c r="L222" s="10" t="str">
        <f>_xlfn.XLOOKUP(B222,DataSet!$N$2:$N$600,DataSet!$Y$2:$Y$600,0)</f>
        <v>Fasteners</v>
      </c>
      <c r="M222" s="10" t="str">
        <f>_xlfn.XLOOKUP(B222,DataSet!$N$2:$N$600,DataSet!$Q$2:$Q$600,0)</f>
        <v>OIC Bulk Pack Metal Binder Clips</v>
      </c>
      <c r="N222" s="16">
        <f>_xlfn.XLOOKUP(B222,DataSet!$N$2:$N$600,DataSet!$AA$2:$AA$600,0)</f>
        <v>5.5839999999999996</v>
      </c>
      <c r="O222" s="10">
        <f>_xlfn.XLOOKUP(B222,DataSet!$N$2:$N$600,DataSet!$S$2:$S$600,0)</f>
        <v>2</v>
      </c>
      <c r="P222" s="15">
        <f>_xlfn.XLOOKUP(B222,DataSet!$N$2:$N$600,DataSet!$T$2:$T$600,0)</f>
        <v>0.2</v>
      </c>
      <c r="Q222" s="14">
        <f>_xlfn.XLOOKUP(B222,DataSet!$N$2:$N$600,DataSet!$U$2:$U$600,0)</f>
        <v>1.8148</v>
      </c>
      <c r="R222" s="16">
        <f>_xlfn.XLOOKUP(B222,DataSet!$N$2:$N$600,DataSet!$AB$2:$AB$600,0)</f>
        <v>11.167999999999999</v>
      </c>
      <c r="S222" s="9">
        <f>_xlfn.XLOOKUP(B222,DataSet!$N$2:$N$600,DataSet!$AC$2:$AC$600,0)</f>
        <v>8.9344000000000001</v>
      </c>
    </row>
    <row r="223" spans="1:19" s="12" customFormat="1" x14ac:dyDescent="0.3">
      <c r="A223" s="27">
        <v>221</v>
      </c>
      <c r="B223" s="10" t="s">
        <v>869</v>
      </c>
      <c r="C223" s="10" t="str">
        <f>_xlfn.XLOOKUP(B223,DataSet!$N$2:$N$600,DataSet!$AF$2:$AF$600,0)</f>
        <v>169397</v>
      </c>
      <c r="D223" s="10" t="str">
        <f>_xlfn.XLOOKUP(B223,DataSet!$N$2:$N$600,DataSet!$G$2:$G$600,0)</f>
        <v>Joni Blumstein</v>
      </c>
      <c r="E223" s="10" t="str">
        <f>_xlfn.XLOOKUP(B223,DataSet!$N$2:$N$600,DataSet!$F$2:$F$600,0)</f>
        <v>JB-15925</v>
      </c>
      <c r="F223" s="10" t="str">
        <f>_xlfn.XLOOKUP(B223,DataSet!$N$2:$N$600,DataSet!$W$2:$W$600,0)</f>
        <v>Consumer</v>
      </c>
      <c r="G223" s="13">
        <f>_xlfn.XLOOKUP(B223,DataSet!$N$2:$N$600,DataSet!$C$2:$C$600,0)</f>
        <v>42362</v>
      </c>
      <c r="H223" s="10" t="str">
        <f>_xlfn.XLOOKUP(B223,DataSet!$N$2:$N$600,DataSet!$I$2:$I$600,0)</f>
        <v>United States</v>
      </c>
      <c r="I223" s="10" t="str">
        <f>_xlfn.XLOOKUP(B223,DataSet!$N$2:$N$600,DataSet!$X$2:$X$600,0)</f>
        <v>Dublin - Ohio</v>
      </c>
      <c r="J223" s="10" t="str">
        <f>_xlfn.XLOOKUP(B223,DataSet!$N$2:$N$600,DataSet!$M$2:$M$600,0)</f>
        <v>East</v>
      </c>
      <c r="K223" s="10" t="str">
        <f>_xlfn.XLOOKUP(B223,DataSet!$N$2:$N$600,DataSet!$O$2:$O$600,0)</f>
        <v>Office Supplies</v>
      </c>
      <c r="L223" s="10" t="str">
        <f>_xlfn.XLOOKUP(B223,DataSet!$N$2:$N$600,DataSet!$Y$2:$Y$600,0)</f>
        <v>Paper</v>
      </c>
      <c r="M223" s="10" t="str">
        <f>_xlfn.XLOOKUP(B223,DataSet!$N$2:$N$600,DataSet!$Q$2:$Q$600,0)</f>
        <v>While You Were Out Pads, 50 per Pad, 4 x 5 1/4, Green Cycle</v>
      </c>
      <c r="N223" s="16">
        <f>_xlfn.XLOOKUP(B223,DataSet!$N$2:$N$600,DataSet!$AA$2:$AA$600,0)</f>
        <v>22.704000000000001</v>
      </c>
      <c r="O223" s="10">
        <f>_xlfn.XLOOKUP(B223,DataSet!$N$2:$N$600,DataSet!$S$2:$S$600,0)</f>
        <v>6</v>
      </c>
      <c r="P223" s="15">
        <f>_xlfn.XLOOKUP(B223,DataSet!$N$2:$N$600,DataSet!$T$2:$T$600,0)</f>
        <v>0.2</v>
      </c>
      <c r="Q223" s="14">
        <f>_xlfn.XLOOKUP(B223,DataSet!$N$2:$N$600,DataSet!$U$2:$U$600,0)</f>
        <v>8.2302</v>
      </c>
      <c r="R223" s="16">
        <f>_xlfn.XLOOKUP(B223,DataSet!$N$2:$N$600,DataSet!$AB$2:$AB$600,0)</f>
        <v>136.22399999999999</v>
      </c>
      <c r="S223" s="9">
        <f>_xlfn.XLOOKUP(B223,DataSet!$N$2:$N$600,DataSet!$AC$2:$AC$600,0)</f>
        <v>108.97919999999999</v>
      </c>
    </row>
    <row r="224" spans="1:19" s="12" customFormat="1" x14ac:dyDescent="0.3">
      <c r="A224" s="27">
        <v>222</v>
      </c>
      <c r="B224" s="10" t="s">
        <v>412</v>
      </c>
      <c r="C224" s="10" t="str">
        <f>_xlfn.XLOOKUP(B224,DataSet!$N$2:$N$600,DataSet!$AF$2:$AF$600,0)</f>
        <v>149587</v>
      </c>
      <c r="D224" s="10" t="str">
        <f>_xlfn.XLOOKUP(B224,DataSet!$N$2:$N$600,DataSet!$G$2:$G$600,0)</f>
        <v>Karl Braun</v>
      </c>
      <c r="E224" s="10" t="str">
        <f>_xlfn.XLOOKUP(B224,DataSet!$N$2:$N$600,DataSet!$F$2:$F$600,0)</f>
        <v>KB-16315</v>
      </c>
      <c r="F224" s="10" t="str">
        <f>_xlfn.XLOOKUP(B224,DataSet!$N$2:$N$600,DataSet!$W$2:$W$600,0)</f>
        <v>Consumer</v>
      </c>
      <c r="G224" s="13">
        <f>_xlfn.XLOOKUP(B224,DataSet!$N$2:$N$600,DataSet!$C$2:$C$600,0)</f>
        <v>42035</v>
      </c>
      <c r="H224" s="10" t="str">
        <f>_xlfn.XLOOKUP(B224,DataSet!$N$2:$N$600,DataSet!$I$2:$I$600,0)</f>
        <v>United States</v>
      </c>
      <c r="I224" s="10" t="str">
        <f>_xlfn.XLOOKUP(B224,DataSet!$N$2:$N$600,DataSet!$X$2:$X$600,0)</f>
        <v>Minneapolis - Minnesota</v>
      </c>
      <c r="J224" s="10" t="str">
        <f>_xlfn.XLOOKUP(B224,DataSet!$N$2:$N$600,DataSet!$M$2:$M$600,0)</f>
        <v>Central</v>
      </c>
      <c r="K224" s="10" t="str">
        <f>_xlfn.XLOOKUP(B224,DataSet!$N$2:$N$600,DataSet!$O$2:$O$600,0)</f>
        <v>Office Supplies</v>
      </c>
      <c r="L224" s="10" t="str">
        <f>_xlfn.XLOOKUP(B224,DataSet!$N$2:$N$600,DataSet!$Y$2:$Y$600,0)</f>
        <v>Binders</v>
      </c>
      <c r="M224" s="10" t="str">
        <f>_xlfn.XLOOKUP(B224,DataSet!$N$2:$N$600,DataSet!$Q$2:$Q$600,0)</f>
        <v>Ibico Standard Transparent Covers</v>
      </c>
      <c r="N224" s="16">
        <f>_xlfn.XLOOKUP(B224,DataSet!$N$2:$N$600,DataSet!$AA$2:$AA$600,0)</f>
        <v>32.96</v>
      </c>
      <c r="O224" s="10">
        <f>_xlfn.XLOOKUP(B224,DataSet!$N$2:$N$600,DataSet!$S$2:$S$600,0)</f>
        <v>2</v>
      </c>
      <c r="P224" s="15">
        <f>_xlfn.XLOOKUP(B224,DataSet!$N$2:$N$600,DataSet!$T$2:$T$600,0)</f>
        <v>0</v>
      </c>
      <c r="Q224" s="14">
        <f>_xlfn.XLOOKUP(B224,DataSet!$N$2:$N$600,DataSet!$U$2:$U$600,0)</f>
        <v>16.150400000000001</v>
      </c>
      <c r="R224" s="16">
        <f>_xlfn.XLOOKUP(B224,DataSet!$N$2:$N$600,DataSet!$AB$2:$AB$600,0)</f>
        <v>65.92</v>
      </c>
      <c r="S224" s="9">
        <f>_xlfn.XLOOKUP(B224,DataSet!$N$2:$N$600,DataSet!$AC$2:$AC$600,0)</f>
        <v>65.92</v>
      </c>
    </row>
    <row r="225" spans="1:19" s="12" customFormat="1" x14ac:dyDescent="0.3">
      <c r="A225" s="27">
        <v>223</v>
      </c>
      <c r="B225" s="10" t="s">
        <v>871</v>
      </c>
      <c r="C225" s="10" t="str">
        <f>_xlfn.XLOOKUP(B225,DataSet!$N$2:$N$600,DataSet!$AF$2:$AF$600,0)</f>
        <v>169397</v>
      </c>
      <c r="D225" s="10" t="str">
        <f>_xlfn.XLOOKUP(B225,DataSet!$N$2:$N$600,DataSet!$G$2:$G$600,0)</f>
        <v>Joni Blumstein</v>
      </c>
      <c r="E225" s="10" t="str">
        <f>_xlfn.XLOOKUP(B225,DataSet!$N$2:$N$600,DataSet!$F$2:$F$600,0)</f>
        <v>JB-15925</v>
      </c>
      <c r="F225" s="10" t="str">
        <f>_xlfn.XLOOKUP(B225,DataSet!$N$2:$N$600,DataSet!$W$2:$W$600,0)</f>
        <v>Consumer</v>
      </c>
      <c r="G225" s="13">
        <f>_xlfn.XLOOKUP(B225,DataSet!$N$2:$N$600,DataSet!$C$2:$C$600,0)</f>
        <v>42362</v>
      </c>
      <c r="H225" s="10" t="str">
        <f>_xlfn.XLOOKUP(B225,DataSet!$N$2:$N$600,DataSet!$I$2:$I$600,0)</f>
        <v>United States</v>
      </c>
      <c r="I225" s="10" t="str">
        <f>_xlfn.XLOOKUP(B225,DataSet!$N$2:$N$600,DataSet!$X$2:$X$600,0)</f>
        <v>Dublin - Ohio</v>
      </c>
      <c r="J225" s="10" t="str">
        <f>_xlfn.XLOOKUP(B225,DataSet!$N$2:$N$600,DataSet!$M$2:$M$600,0)</f>
        <v>East</v>
      </c>
      <c r="K225" s="10" t="str">
        <f>_xlfn.XLOOKUP(B225,DataSet!$N$2:$N$600,DataSet!$O$2:$O$600,0)</f>
        <v>Furniture</v>
      </c>
      <c r="L225" s="10" t="str">
        <f>_xlfn.XLOOKUP(B225,DataSet!$N$2:$N$600,DataSet!$Y$2:$Y$600,0)</f>
        <v>Furnishings</v>
      </c>
      <c r="M225" s="10" t="str">
        <f>_xlfn.XLOOKUP(B225,DataSet!$N$2:$N$600,DataSet!$Q$2:$Q$600,0)</f>
        <v>Executive Impressions 14" Two-Color Numerals Wall Clock</v>
      </c>
      <c r="N225" s="16">
        <f>_xlfn.XLOOKUP(B225,DataSet!$N$2:$N$600,DataSet!$AA$2:$AA$600,0)</f>
        <v>72.703999999999994</v>
      </c>
      <c r="O225" s="10">
        <f>_xlfn.XLOOKUP(B225,DataSet!$N$2:$N$600,DataSet!$S$2:$S$600,0)</f>
        <v>4</v>
      </c>
      <c r="P225" s="15">
        <f>_xlfn.XLOOKUP(B225,DataSet!$N$2:$N$600,DataSet!$T$2:$T$600,0)</f>
        <v>0.2</v>
      </c>
      <c r="Q225" s="14">
        <f>_xlfn.XLOOKUP(B225,DataSet!$N$2:$N$600,DataSet!$U$2:$U$600,0)</f>
        <v>19.084800000000001</v>
      </c>
      <c r="R225" s="16">
        <f>_xlfn.XLOOKUP(B225,DataSet!$N$2:$N$600,DataSet!$AB$2:$AB$600,0)</f>
        <v>290.81599999999997</v>
      </c>
      <c r="S225" s="9">
        <f>_xlfn.XLOOKUP(B225,DataSet!$N$2:$N$600,DataSet!$AC$2:$AC$600,0)</f>
        <v>232.65279999999998</v>
      </c>
    </row>
    <row r="226" spans="1:19" s="12" customFormat="1" x14ac:dyDescent="0.3">
      <c r="A226" s="27">
        <v>224</v>
      </c>
      <c r="B226" s="10" t="s">
        <v>873</v>
      </c>
      <c r="C226" s="10" t="str">
        <f>_xlfn.XLOOKUP(B226,DataSet!$N$2:$N$600,DataSet!$AF$2:$AF$600,0)</f>
        <v>169397</v>
      </c>
      <c r="D226" s="10" t="str">
        <f>_xlfn.XLOOKUP(B226,DataSet!$N$2:$N$600,DataSet!$G$2:$G$600,0)</f>
        <v>Joni Blumstein</v>
      </c>
      <c r="E226" s="10" t="str">
        <f>_xlfn.XLOOKUP(B226,DataSet!$N$2:$N$600,DataSet!$F$2:$F$600,0)</f>
        <v>JB-15925</v>
      </c>
      <c r="F226" s="10" t="str">
        <f>_xlfn.XLOOKUP(B226,DataSet!$N$2:$N$600,DataSet!$W$2:$W$600,0)</f>
        <v>Consumer</v>
      </c>
      <c r="G226" s="13">
        <f>_xlfn.XLOOKUP(B226,DataSet!$N$2:$N$600,DataSet!$C$2:$C$600,0)</f>
        <v>42362</v>
      </c>
      <c r="H226" s="10" t="str">
        <f>_xlfn.XLOOKUP(B226,DataSet!$N$2:$N$600,DataSet!$I$2:$I$600,0)</f>
        <v>United States</v>
      </c>
      <c r="I226" s="10" t="str">
        <f>_xlfn.XLOOKUP(B226,DataSet!$N$2:$N$600,DataSet!$X$2:$X$600,0)</f>
        <v>Dublin - Ohio</v>
      </c>
      <c r="J226" s="10" t="str">
        <f>_xlfn.XLOOKUP(B226,DataSet!$N$2:$N$600,DataSet!$M$2:$M$600,0)</f>
        <v>East</v>
      </c>
      <c r="K226" s="10" t="str">
        <f>_xlfn.XLOOKUP(B226,DataSet!$N$2:$N$600,DataSet!$O$2:$O$600,0)</f>
        <v>Technology</v>
      </c>
      <c r="L226" s="10" t="str">
        <f>_xlfn.XLOOKUP(B226,DataSet!$N$2:$N$600,DataSet!$Y$2:$Y$600,0)</f>
        <v>Machines</v>
      </c>
      <c r="M226" s="10" t="str">
        <f>_xlfn.XLOOKUP(B226,DataSet!$N$2:$N$600,DataSet!$Q$2:$Q$600,0)</f>
        <v>Swingline SM12-08 MicroCut Jam Free Shredder</v>
      </c>
      <c r="N226" s="16">
        <f>_xlfn.XLOOKUP(B226,DataSet!$N$2:$N$600,DataSet!$AA$2:$AA$600,0)</f>
        <v>479.988</v>
      </c>
      <c r="O226" s="10">
        <f>_xlfn.XLOOKUP(B226,DataSet!$N$2:$N$600,DataSet!$S$2:$S$600,0)</f>
        <v>4</v>
      </c>
      <c r="P226" s="15">
        <f>_xlfn.XLOOKUP(B226,DataSet!$N$2:$N$600,DataSet!$T$2:$T$600,0)</f>
        <v>0.7</v>
      </c>
      <c r="Q226" s="14">
        <f>_xlfn.XLOOKUP(B226,DataSet!$N$2:$N$600,DataSet!$U$2:$U$600,0)</f>
        <v>-383.99040000000002</v>
      </c>
      <c r="R226" s="16">
        <f>_xlfn.XLOOKUP(B226,DataSet!$N$2:$N$600,DataSet!$AB$2:$AB$600,0)</f>
        <v>1919.952</v>
      </c>
      <c r="S226" s="9">
        <f>_xlfn.XLOOKUP(B226,DataSet!$N$2:$N$600,DataSet!$AC$2:$AC$600,0)</f>
        <v>575.98560000000009</v>
      </c>
    </row>
    <row r="227" spans="1:19" s="12" customFormat="1" x14ac:dyDescent="0.3">
      <c r="A227" s="27">
        <v>225</v>
      </c>
      <c r="B227" s="10" t="s">
        <v>875</v>
      </c>
      <c r="C227" s="10" t="str">
        <f>_xlfn.XLOOKUP(B227,DataSet!$N$2:$N$600,DataSet!$AF$2:$AF$600,0)</f>
        <v>169397</v>
      </c>
      <c r="D227" s="10" t="str">
        <f>_xlfn.XLOOKUP(B227,DataSet!$N$2:$N$600,DataSet!$G$2:$G$600,0)</f>
        <v>Joni Blumstein</v>
      </c>
      <c r="E227" s="10" t="str">
        <f>_xlfn.XLOOKUP(B227,DataSet!$N$2:$N$600,DataSet!$F$2:$F$600,0)</f>
        <v>JB-15925</v>
      </c>
      <c r="F227" s="10" t="str">
        <f>_xlfn.XLOOKUP(B227,DataSet!$N$2:$N$600,DataSet!$W$2:$W$600,0)</f>
        <v>Consumer</v>
      </c>
      <c r="G227" s="13">
        <f>_xlfn.XLOOKUP(B227,DataSet!$N$2:$N$600,DataSet!$C$2:$C$600,0)</f>
        <v>42362</v>
      </c>
      <c r="H227" s="10" t="str">
        <f>_xlfn.XLOOKUP(B227,DataSet!$N$2:$N$600,DataSet!$I$2:$I$600,0)</f>
        <v>United States</v>
      </c>
      <c r="I227" s="10" t="str">
        <f>_xlfn.XLOOKUP(B227,DataSet!$N$2:$N$600,DataSet!$X$2:$X$600,0)</f>
        <v>Dublin - Ohio</v>
      </c>
      <c r="J227" s="10" t="str">
        <f>_xlfn.XLOOKUP(B227,DataSet!$N$2:$N$600,DataSet!$M$2:$M$600,0)</f>
        <v>East</v>
      </c>
      <c r="K227" s="10" t="str">
        <f>_xlfn.XLOOKUP(B227,DataSet!$N$2:$N$600,DataSet!$O$2:$O$600,0)</f>
        <v>Office Supplies</v>
      </c>
      <c r="L227" s="10" t="str">
        <f>_xlfn.XLOOKUP(B227,DataSet!$N$2:$N$600,DataSet!$Y$2:$Y$600,0)</f>
        <v>Art</v>
      </c>
      <c r="M227" s="10" t="str">
        <f>_xlfn.XLOOKUP(B227,DataSet!$N$2:$N$600,DataSet!$Q$2:$Q$600,0)</f>
        <v>Stanley Bostitch Contemporary Electric Pencil Sharpeners</v>
      </c>
      <c r="N227" s="16">
        <f>_xlfn.XLOOKUP(B227,DataSet!$N$2:$N$600,DataSet!$AA$2:$AA$600,0)</f>
        <v>27.167999999999999</v>
      </c>
      <c r="O227" s="10">
        <f>_xlfn.XLOOKUP(B227,DataSet!$N$2:$N$600,DataSet!$S$2:$S$600,0)</f>
        <v>2</v>
      </c>
      <c r="P227" s="15">
        <f>_xlfn.XLOOKUP(B227,DataSet!$N$2:$N$600,DataSet!$T$2:$T$600,0)</f>
        <v>0.2</v>
      </c>
      <c r="Q227" s="14">
        <f>_xlfn.XLOOKUP(B227,DataSet!$N$2:$N$600,DataSet!$U$2:$U$600,0)</f>
        <v>2.7168000000000001</v>
      </c>
      <c r="R227" s="16">
        <f>_xlfn.XLOOKUP(B227,DataSet!$N$2:$N$600,DataSet!$AB$2:$AB$600,0)</f>
        <v>54.335999999999999</v>
      </c>
      <c r="S227" s="9">
        <f>_xlfn.XLOOKUP(B227,DataSet!$N$2:$N$600,DataSet!$AC$2:$AC$600,0)</f>
        <v>43.468800000000002</v>
      </c>
    </row>
    <row r="228" spans="1:19" s="12" customFormat="1" x14ac:dyDescent="0.3">
      <c r="A228" s="27">
        <v>226</v>
      </c>
      <c r="B228" s="10" t="s">
        <v>881</v>
      </c>
      <c r="C228" s="10" t="str">
        <f>_xlfn.XLOOKUP(B228,DataSet!$N$2:$N$600,DataSet!$AF$2:$AF$600,0)</f>
        <v>163055</v>
      </c>
      <c r="D228" s="10" t="str">
        <f>_xlfn.XLOOKUP(B228,DataSet!$N$2:$N$600,DataSet!$G$2:$G$600,0)</f>
        <v>David Smith</v>
      </c>
      <c r="E228" s="10" t="str">
        <f>_xlfn.XLOOKUP(B228,DataSet!$N$2:$N$600,DataSet!$F$2:$F$600,0)</f>
        <v>DS-13180</v>
      </c>
      <c r="F228" s="10" t="str">
        <f>_xlfn.XLOOKUP(B228,DataSet!$N$2:$N$600,DataSet!$W$2:$W$600,0)</f>
        <v>Corporate</v>
      </c>
      <c r="G228" s="13">
        <f>_xlfn.XLOOKUP(B228,DataSet!$N$2:$N$600,DataSet!$C$2:$C$600,0)</f>
        <v>42225</v>
      </c>
      <c r="H228" s="10" t="str">
        <f>_xlfn.XLOOKUP(B228,DataSet!$N$2:$N$600,DataSet!$I$2:$I$600,0)</f>
        <v>United States</v>
      </c>
      <c r="I228" s="10" t="str">
        <f>_xlfn.XLOOKUP(B228,DataSet!$N$2:$N$600,DataSet!$X$2:$X$600,0)</f>
        <v>Detroit - Michigan</v>
      </c>
      <c r="J228" s="10" t="str">
        <f>_xlfn.XLOOKUP(B228,DataSet!$N$2:$N$600,DataSet!$M$2:$M$600,0)</f>
        <v>Central</v>
      </c>
      <c r="K228" s="10" t="str">
        <f>_xlfn.XLOOKUP(B228,DataSet!$N$2:$N$600,DataSet!$O$2:$O$600,0)</f>
        <v>Office Supplies</v>
      </c>
      <c r="L228" s="10" t="str">
        <f>_xlfn.XLOOKUP(B228,DataSet!$N$2:$N$600,DataSet!$Y$2:$Y$600,0)</f>
        <v>Art</v>
      </c>
      <c r="M228" s="10" t="str">
        <f>_xlfn.XLOOKUP(B228,DataSet!$N$2:$N$600,DataSet!$Q$2:$Q$600,0)</f>
        <v>Sanford Uni-Blazer View Highlighters, Chisel Tip, Yellow</v>
      </c>
      <c r="N228" s="16">
        <f>_xlfn.XLOOKUP(B228,DataSet!$N$2:$N$600,DataSet!$AA$2:$AA$600,0)</f>
        <v>2.2000000000000002</v>
      </c>
      <c r="O228" s="10">
        <f>_xlfn.XLOOKUP(B228,DataSet!$N$2:$N$600,DataSet!$S$2:$S$600,0)</f>
        <v>1</v>
      </c>
      <c r="P228" s="15">
        <f>_xlfn.XLOOKUP(B228,DataSet!$N$2:$N$600,DataSet!$T$2:$T$600,0)</f>
        <v>0</v>
      </c>
      <c r="Q228" s="14">
        <f>_xlfn.XLOOKUP(B228,DataSet!$N$2:$N$600,DataSet!$U$2:$U$600,0)</f>
        <v>0.96799999999999997</v>
      </c>
      <c r="R228" s="16">
        <f>_xlfn.XLOOKUP(B228,DataSet!$N$2:$N$600,DataSet!$AB$2:$AB$600,0)</f>
        <v>2.2000000000000002</v>
      </c>
      <c r="S228" s="9">
        <f>_xlfn.XLOOKUP(B228,DataSet!$N$2:$N$600,DataSet!$AC$2:$AC$600,0)</f>
        <v>2.2000000000000002</v>
      </c>
    </row>
    <row r="229" spans="1:19" s="12" customFormat="1" x14ac:dyDescent="0.3">
      <c r="A229" s="27">
        <v>227</v>
      </c>
      <c r="B229" s="10" t="s">
        <v>883</v>
      </c>
      <c r="C229" s="10" t="str">
        <f>_xlfn.XLOOKUP(B229,DataSet!$N$2:$N$600,DataSet!$AF$2:$AF$600,0)</f>
        <v>163055</v>
      </c>
      <c r="D229" s="10" t="str">
        <f>_xlfn.XLOOKUP(B229,DataSet!$N$2:$N$600,DataSet!$G$2:$G$600,0)</f>
        <v>David Smith</v>
      </c>
      <c r="E229" s="10" t="str">
        <f>_xlfn.XLOOKUP(B229,DataSet!$N$2:$N$600,DataSet!$F$2:$F$600,0)</f>
        <v>DS-13180</v>
      </c>
      <c r="F229" s="10" t="str">
        <f>_xlfn.XLOOKUP(B229,DataSet!$N$2:$N$600,DataSet!$W$2:$W$600,0)</f>
        <v>Corporate</v>
      </c>
      <c r="G229" s="13">
        <f>_xlfn.XLOOKUP(B229,DataSet!$N$2:$N$600,DataSet!$C$2:$C$600,0)</f>
        <v>42225</v>
      </c>
      <c r="H229" s="10" t="str">
        <f>_xlfn.XLOOKUP(B229,DataSet!$N$2:$N$600,DataSet!$I$2:$I$600,0)</f>
        <v>United States</v>
      </c>
      <c r="I229" s="10" t="str">
        <f>_xlfn.XLOOKUP(B229,DataSet!$N$2:$N$600,DataSet!$X$2:$X$600,0)</f>
        <v>Detroit - Michigan</v>
      </c>
      <c r="J229" s="10" t="str">
        <f>_xlfn.XLOOKUP(B229,DataSet!$N$2:$N$600,DataSet!$M$2:$M$600,0)</f>
        <v>Central</v>
      </c>
      <c r="K229" s="10" t="str">
        <f>_xlfn.XLOOKUP(B229,DataSet!$N$2:$N$600,DataSet!$O$2:$O$600,0)</f>
        <v>Furniture</v>
      </c>
      <c r="L229" s="10" t="str">
        <f>_xlfn.XLOOKUP(B229,DataSet!$N$2:$N$600,DataSet!$Y$2:$Y$600,0)</f>
        <v>Tables</v>
      </c>
      <c r="M229" s="10" t="str">
        <f>_xlfn.XLOOKUP(B229,DataSet!$N$2:$N$600,DataSet!$Q$2:$Q$600,0)</f>
        <v>Bevis 36 x 72 Conference Tables</v>
      </c>
      <c r="N229" s="16">
        <f>_xlfn.XLOOKUP(B229,DataSet!$N$2:$N$600,DataSet!$AA$2:$AA$600,0)</f>
        <v>622.45000000000005</v>
      </c>
      <c r="O229" s="10">
        <f>_xlfn.XLOOKUP(B229,DataSet!$N$2:$N$600,DataSet!$S$2:$S$600,0)</f>
        <v>5</v>
      </c>
      <c r="P229" s="15">
        <f>_xlfn.XLOOKUP(B229,DataSet!$N$2:$N$600,DataSet!$T$2:$T$600,0)</f>
        <v>0</v>
      </c>
      <c r="Q229" s="14">
        <f>_xlfn.XLOOKUP(B229,DataSet!$N$2:$N$600,DataSet!$U$2:$U$600,0)</f>
        <v>136.93899999999999</v>
      </c>
      <c r="R229" s="16">
        <f>_xlfn.XLOOKUP(B229,DataSet!$N$2:$N$600,DataSet!$AB$2:$AB$600,0)</f>
        <v>3112.25</v>
      </c>
      <c r="S229" s="9">
        <f>_xlfn.XLOOKUP(B229,DataSet!$N$2:$N$600,DataSet!$AC$2:$AC$600,0)</f>
        <v>3112.25</v>
      </c>
    </row>
    <row r="230" spans="1:19" s="12" customFormat="1" x14ac:dyDescent="0.3">
      <c r="A230" s="27">
        <v>228</v>
      </c>
      <c r="B230" s="10" t="s">
        <v>885</v>
      </c>
      <c r="C230" s="10" t="str">
        <f>_xlfn.XLOOKUP(B230,DataSet!$N$2:$N$600,DataSet!$AF$2:$AF$600,0)</f>
        <v>163055</v>
      </c>
      <c r="D230" s="10" t="str">
        <f>_xlfn.XLOOKUP(B230,DataSet!$N$2:$N$600,DataSet!$G$2:$G$600,0)</f>
        <v>David Smith</v>
      </c>
      <c r="E230" s="10" t="str">
        <f>_xlfn.XLOOKUP(B230,DataSet!$N$2:$N$600,DataSet!$F$2:$F$600,0)</f>
        <v>DS-13180</v>
      </c>
      <c r="F230" s="10" t="str">
        <f>_xlfn.XLOOKUP(B230,DataSet!$N$2:$N$600,DataSet!$W$2:$W$600,0)</f>
        <v>Corporate</v>
      </c>
      <c r="G230" s="13">
        <f>_xlfn.XLOOKUP(B230,DataSet!$N$2:$N$600,DataSet!$C$2:$C$600,0)</f>
        <v>42225</v>
      </c>
      <c r="H230" s="10" t="str">
        <f>_xlfn.XLOOKUP(B230,DataSet!$N$2:$N$600,DataSet!$I$2:$I$600,0)</f>
        <v>United States</v>
      </c>
      <c r="I230" s="10" t="str">
        <f>_xlfn.XLOOKUP(B230,DataSet!$N$2:$N$600,DataSet!$X$2:$X$600,0)</f>
        <v>Detroit - Michigan</v>
      </c>
      <c r="J230" s="10" t="str">
        <f>_xlfn.XLOOKUP(B230,DataSet!$N$2:$N$600,DataSet!$M$2:$M$600,0)</f>
        <v>Central</v>
      </c>
      <c r="K230" s="10" t="str">
        <f>_xlfn.XLOOKUP(B230,DataSet!$N$2:$N$600,DataSet!$O$2:$O$600,0)</f>
        <v>Office Supplies</v>
      </c>
      <c r="L230" s="10" t="str">
        <f>_xlfn.XLOOKUP(B230,DataSet!$N$2:$N$600,DataSet!$Y$2:$Y$600,0)</f>
        <v>Storage</v>
      </c>
      <c r="M230" s="10" t="str">
        <f>_xlfn.XLOOKUP(B230,DataSet!$N$2:$N$600,DataSet!$Q$2:$Q$600,0)</f>
        <v>Rogers Deluxe File Chest</v>
      </c>
      <c r="N230" s="16">
        <f>_xlfn.XLOOKUP(B230,DataSet!$N$2:$N$600,DataSet!$AA$2:$AA$600,0)</f>
        <v>21.98</v>
      </c>
      <c r="O230" s="10">
        <f>_xlfn.XLOOKUP(B230,DataSet!$N$2:$N$600,DataSet!$S$2:$S$600,0)</f>
        <v>1</v>
      </c>
      <c r="P230" s="15">
        <f>_xlfn.XLOOKUP(B230,DataSet!$N$2:$N$600,DataSet!$T$2:$T$600,0)</f>
        <v>0</v>
      </c>
      <c r="Q230" s="14">
        <f>_xlfn.XLOOKUP(B230,DataSet!$N$2:$N$600,DataSet!$U$2:$U$600,0)</f>
        <v>0.2198</v>
      </c>
      <c r="R230" s="16">
        <f>_xlfn.XLOOKUP(B230,DataSet!$N$2:$N$600,DataSet!$AB$2:$AB$600,0)</f>
        <v>21.98</v>
      </c>
      <c r="S230" s="9">
        <f>_xlfn.XLOOKUP(B230,DataSet!$N$2:$N$600,DataSet!$AC$2:$AC$600,0)</f>
        <v>21.98</v>
      </c>
    </row>
    <row r="231" spans="1:19" s="12" customFormat="1" x14ac:dyDescent="0.3">
      <c r="A231" s="27">
        <v>229</v>
      </c>
      <c r="B231" s="10" t="s">
        <v>890</v>
      </c>
      <c r="C231" s="10" t="str">
        <f>_xlfn.XLOOKUP(B231,DataSet!$N$2:$N$600,DataSet!$AF$2:$AF$600,0)</f>
        <v>145436</v>
      </c>
      <c r="D231" s="10" t="str">
        <f>_xlfn.XLOOKUP(B231,DataSet!$N$2:$N$600,DataSet!$G$2:$G$600,0)</f>
        <v>Valerie Dominguez</v>
      </c>
      <c r="E231" s="10" t="str">
        <f>_xlfn.XLOOKUP(B231,DataSet!$N$2:$N$600,DataSet!$F$2:$F$600,0)</f>
        <v>VD-21670</v>
      </c>
      <c r="F231" s="10" t="str">
        <f>_xlfn.XLOOKUP(B231,DataSet!$N$2:$N$600,DataSet!$W$2:$W$600,0)</f>
        <v>Consumer</v>
      </c>
      <c r="G231" s="13">
        <f>_xlfn.XLOOKUP(B231,DataSet!$N$2:$N$600,DataSet!$C$2:$C$600,0)</f>
        <v>42063</v>
      </c>
      <c r="H231" s="10" t="str">
        <f>_xlfn.XLOOKUP(B231,DataSet!$N$2:$N$600,DataSet!$I$2:$I$600,0)</f>
        <v>United States</v>
      </c>
      <c r="I231" s="10" t="str">
        <f>_xlfn.XLOOKUP(B231,DataSet!$N$2:$N$600,DataSet!$X$2:$X$600,0)</f>
        <v>Columbia - Tennessee</v>
      </c>
      <c r="J231" s="10" t="str">
        <f>_xlfn.XLOOKUP(B231,DataSet!$N$2:$N$600,DataSet!$M$2:$M$600,0)</f>
        <v>South</v>
      </c>
      <c r="K231" s="10" t="str">
        <f>_xlfn.XLOOKUP(B231,DataSet!$N$2:$N$600,DataSet!$O$2:$O$600,0)</f>
        <v>Furniture</v>
      </c>
      <c r="L231" s="10" t="str">
        <f>_xlfn.XLOOKUP(B231,DataSet!$N$2:$N$600,DataSet!$Y$2:$Y$600,0)</f>
        <v>Chairs</v>
      </c>
      <c r="M231" s="10" t="str">
        <f>_xlfn.XLOOKUP(B231,DataSet!$N$2:$N$600,DataSet!$Q$2:$Q$600,0)</f>
        <v>Global Low Back Tilter Chair</v>
      </c>
      <c r="N231" s="16">
        <f>_xlfn.XLOOKUP(B231,DataSet!$N$2:$N$600,DataSet!$AA$2:$AA$600,0)</f>
        <v>161.56800000000001</v>
      </c>
      <c r="O231" s="10">
        <f>_xlfn.XLOOKUP(B231,DataSet!$N$2:$N$600,DataSet!$S$2:$S$600,0)</f>
        <v>2</v>
      </c>
      <c r="P231" s="15">
        <f>_xlfn.XLOOKUP(B231,DataSet!$N$2:$N$600,DataSet!$T$2:$T$600,0)</f>
        <v>0.2</v>
      </c>
      <c r="Q231" s="14">
        <f>_xlfn.XLOOKUP(B231,DataSet!$N$2:$N$600,DataSet!$U$2:$U$600,0)</f>
        <v>-28.2744</v>
      </c>
      <c r="R231" s="16">
        <f>_xlfn.XLOOKUP(B231,DataSet!$N$2:$N$600,DataSet!$AB$2:$AB$600,0)</f>
        <v>323.13600000000002</v>
      </c>
      <c r="S231" s="9">
        <f>_xlfn.XLOOKUP(B231,DataSet!$N$2:$N$600,DataSet!$AC$2:$AC$600,0)</f>
        <v>258.50880000000001</v>
      </c>
    </row>
    <row r="232" spans="1:19" s="12" customFormat="1" x14ac:dyDescent="0.3">
      <c r="A232" s="27">
        <v>230</v>
      </c>
      <c r="B232" s="10" t="s">
        <v>892</v>
      </c>
      <c r="C232" s="10" t="str">
        <f>_xlfn.XLOOKUP(B232,DataSet!$N$2:$N$600,DataSet!$AF$2:$AF$600,0)</f>
        <v>145436</v>
      </c>
      <c r="D232" s="10" t="str">
        <f>_xlfn.XLOOKUP(B232,DataSet!$N$2:$N$600,DataSet!$G$2:$G$600,0)</f>
        <v>Valerie Dominguez</v>
      </c>
      <c r="E232" s="10" t="str">
        <f>_xlfn.XLOOKUP(B232,DataSet!$N$2:$N$600,DataSet!$F$2:$F$600,0)</f>
        <v>VD-21670</v>
      </c>
      <c r="F232" s="10" t="str">
        <f>_xlfn.XLOOKUP(B232,DataSet!$N$2:$N$600,DataSet!$W$2:$W$600,0)</f>
        <v>Consumer</v>
      </c>
      <c r="G232" s="13">
        <f>_xlfn.XLOOKUP(B232,DataSet!$N$2:$N$600,DataSet!$C$2:$C$600,0)</f>
        <v>42063</v>
      </c>
      <c r="H232" s="10" t="str">
        <f>_xlfn.XLOOKUP(B232,DataSet!$N$2:$N$600,DataSet!$I$2:$I$600,0)</f>
        <v>United States</v>
      </c>
      <c r="I232" s="10" t="str">
        <f>_xlfn.XLOOKUP(B232,DataSet!$N$2:$N$600,DataSet!$X$2:$X$600,0)</f>
        <v>Columbia - Tennessee</v>
      </c>
      <c r="J232" s="10" t="str">
        <f>_xlfn.XLOOKUP(B232,DataSet!$N$2:$N$600,DataSet!$M$2:$M$600,0)</f>
        <v>South</v>
      </c>
      <c r="K232" s="10" t="str">
        <f>_xlfn.XLOOKUP(B232,DataSet!$N$2:$N$600,DataSet!$O$2:$O$600,0)</f>
        <v>Furniture</v>
      </c>
      <c r="L232" s="10" t="str">
        <f>_xlfn.XLOOKUP(B232,DataSet!$N$2:$N$600,DataSet!$Y$2:$Y$600,0)</f>
        <v>Chairs</v>
      </c>
      <c r="M232" s="10" t="str">
        <f>_xlfn.XLOOKUP(B232,DataSet!$N$2:$N$600,DataSet!$Q$2:$Q$600,0)</f>
        <v>Global Push Button Manager's Chair, Indigo</v>
      </c>
      <c r="N232" s="16">
        <f>_xlfn.XLOOKUP(B232,DataSet!$N$2:$N$600,DataSet!$AA$2:$AA$600,0)</f>
        <v>389.69600000000003</v>
      </c>
      <c r="O232" s="10">
        <f>_xlfn.XLOOKUP(B232,DataSet!$N$2:$N$600,DataSet!$S$2:$S$600,0)</f>
        <v>8</v>
      </c>
      <c r="P232" s="15">
        <f>_xlfn.XLOOKUP(B232,DataSet!$N$2:$N$600,DataSet!$T$2:$T$600,0)</f>
        <v>0.2</v>
      </c>
      <c r="Q232" s="14">
        <f>_xlfn.XLOOKUP(B232,DataSet!$N$2:$N$600,DataSet!$U$2:$U$600,0)</f>
        <v>43.840800000000002</v>
      </c>
      <c r="R232" s="16">
        <f>_xlfn.XLOOKUP(B232,DataSet!$N$2:$N$600,DataSet!$AB$2:$AB$600,0)</f>
        <v>3117.5680000000002</v>
      </c>
      <c r="S232" s="9">
        <f>_xlfn.XLOOKUP(B232,DataSet!$N$2:$N$600,DataSet!$AC$2:$AC$600,0)</f>
        <v>2494.0544000000004</v>
      </c>
    </row>
    <row r="233" spans="1:19" s="12" customFormat="1" x14ac:dyDescent="0.3">
      <c r="A233" s="27">
        <v>231</v>
      </c>
      <c r="B233" s="10" t="s">
        <v>897</v>
      </c>
      <c r="C233" s="10" t="str">
        <f>_xlfn.XLOOKUP(B233,DataSet!$N$2:$N$600,DataSet!$AF$2:$AF$600,0)</f>
        <v>156216</v>
      </c>
      <c r="D233" s="10" t="str">
        <f>_xlfn.XLOOKUP(B233,DataSet!$N$2:$N$600,DataSet!$G$2:$G$600,0)</f>
        <v>Erin Ashbrook</v>
      </c>
      <c r="E233" s="10" t="str">
        <f>_xlfn.XLOOKUP(B233,DataSet!$N$2:$N$600,DataSet!$F$2:$F$600,0)</f>
        <v>EA-14035</v>
      </c>
      <c r="F233" s="10" t="str">
        <f>_xlfn.XLOOKUP(B233,DataSet!$N$2:$N$600,DataSet!$W$2:$W$600,0)</f>
        <v>Corporate</v>
      </c>
      <c r="G233" s="13">
        <f>_xlfn.XLOOKUP(B233,DataSet!$N$2:$N$600,DataSet!$C$2:$C$600,0)</f>
        <v>41895</v>
      </c>
      <c r="H233" s="10" t="str">
        <f>_xlfn.XLOOKUP(B233,DataSet!$N$2:$N$600,DataSet!$I$2:$I$600,0)</f>
        <v>United States</v>
      </c>
      <c r="I233" s="10" t="str">
        <f>_xlfn.XLOOKUP(B233,DataSet!$N$2:$N$600,DataSet!$X$2:$X$600,0)</f>
        <v>Charlotte - North Carolina</v>
      </c>
      <c r="J233" s="10" t="str">
        <f>_xlfn.XLOOKUP(B233,DataSet!$N$2:$N$600,DataSet!$M$2:$M$600,0)</f>
        <v>South</v>
      </c>
      <c r="K233" s="10" t="str">
        <f>_xlfn.XLOOKUP(B233,DataSet!$N$2:$N$600,DataSet!$O$2:$O$600,0)</f>
        <v>Office Supplies</v>
      </c>
      <c r="L233" s="10" t="str">
        <f>_xlfn.XLOOKUP(B233,DataSet!$N$2:$N$600,DataSet!$Y$2:$Y$600,0)</f>
        <v>Binders</v>
      </c>
      <c r="M233" s="10" t="str">
        <f>_xlfn.XLOOKUP(B233,DataSet!$N$2:$N$600,DataSet!$Q$2:$Q$600,0)</f>
        <v>GBC Instant Index System for Binding Systems</v>
      </c>
      <c r="N233" s="16">
        <f>_xlfn.XLOOKUP(B233,DataSet!$N$2:$N$600,DataSet!$AA$2:$AA$600,0)</f>
        <v>18.648</v>
      </c>
      <c r="O233" s="10">
        <f>_xlfn.XLOOKUP(B233,DataSet!$N$2:$N$600,DataSet!$S$2:$S$600,0)</f>
        <v>7</v>
      </c>
      <c r="P233" s="15">
        <f>_xlfn.XLOOKUP(B233,DataSet!$N$2:$N$600,DataSet!$T$2:$T$600,0)</f>
        <v>0.7</v>
      </c>
      <c r="Q233" s="14">
        <f>_xlfn.XLOOKUP(B233,DataSet!$N$2:$N$600,DataSet!$U$2:$U$600,0)</f>
        <v>-12.432</v>
      </c>
      <c r="R233" s="16">
        <f>_xlfn.XLOOKUP(B233,DataSet!$N$2:$N$600,DataSet!$AB$2:$AB$600,0)</f>
        <v>130.536</v>
      </c>
      <c r="S233" s="9">
        <f>_xlfn.XLOOKUP(B233,DataSet!$N$2:$N$600,DataSet!$AC$2:$AC$600,0)</f>
        <v>39.160800000000009</v>
      </c>
    </row>
    <row r="234" spans="1:19" s="12" customFormat="1" x14ac:dyDescent="0.3">
      <c r="A234" s="27">
        <v>232</v>
      </c>
      <c r="B234" s="10" t="s">
        <v>901</v>
      </c>
      <c r="C234" s="10" t="str">
        <f>_xlfn.XLOOKUP(B234,DataSet!$N$2:$N$600,DataSet!$AF$2:$AF$600,0)</f>
        <v>100930</v>
      </c>
      <c r="D234" s="10" t="str">
        <f>_xlfn.XLOOKUP(B234,DataSet!$N$2:$N$600,DataSet!$G$2:$G$600,0)</f>
        <v>Christopher Schild</v>
      </c>
      <c r="E234" s="10" t="str">
        <f>_xlfn.XLOOKUP(B234,DataSet!$N$2:$N$600,DataSet!$F$2:$F$600,0)</f>
        <v>CS-12400</v>
      </c>
      <c r="F234" s="10" t="str">
        <f>_xlfn.XLOOKUP(B234,DataSet!$N$2:$N$600,DataSet!$W$2:$W$600,0)</f>
        <v>Home Office</v>
      </c>
      <c r="G234" s="13">
        <f>_xlfn.XLOOKUP(B234,DataSet!$N$2:$N$600,DataSet!$C$2:$C$600,0)</f>
        <v>42832</v>
      </c>
      <c r="H234" s="10" t="str">
        <f>_xlfn.XLOOKUP(B234,DataSet!$N$2:$N$600,DataSet!$I$2:$I$600,0)</f>
        <v>United States</v>
      </c>
      <c r="I234" s="10" t="str">
        <f>_xlfn.XLOOKUP(B234,DataSet!$N$2:$N$600,DataSet!$X$2:$X$600,0)</f>
        <v>Tampa - Florida</v>
      </c>
      <c r="J234" s="10" t="str">
        <f>_xlfn.XLOOKUP(B234,DataSet!$N$2:$N$600,DataSet!$M$2:$M$600,0)</f>
        <v>South</v>
      </c>
      <c r="K234" s="10" t="str">
        <f>_xlfn.XLOOKUP(B234,DataSet!$N$2:$N$600,DataSet!$O$2:$O$600,0)</f>
        <v>Furniture</v>
      </c>
      <c r="L234" s="10" t="str">
        <f>_xlfn.XLOOKUP(B234,DataSet!$N$2:$N$600,DataSet!$Y$2:$Y$600,0)</f>
        <v>Tables</v>
      </c>
      <c r="M234" s="10" t="str">
        <f>_xlfn.XLOOKUP(B234,DataSet!$N$2:$N$600,DataSet!$Q$2:$Q$600,0)</f>
        <v>Bush Advantage Collection Round Conference Table</v>
      </c>
      <c r="N234" s="16">
        <f>_xlfn.XLOOKUP(B234,DataSet!$N$2:$N$600,DataSet!$AA$2:$AA$600,0)</f>
        <v>233.86</v>
      </c>
      <c r="O234" s="10">
        <f>_xlfn.XLOOKUP(B234,DataSet!$N$2:$N$600,DataSet!$S$2:$S$600,0)</f>
        <v>2</v>
      </c>
      <c r="P234" s="15">
        <f>_xlfn.XLOOKUP(B234,DataSet!$N$2:$N$600,DataSet!$T$2:$T$600,0)</f>
        <v>0.45</v>
      </c>
      <c r="Q234" s="14">
        <f>_xlfn.XLOOKUP(B234,DataSet!$N$2:$N$600,DataSet!$U$2:$U$600,0)</f>
        <v>-102.048</v>
      </c>
      <c r="R234" s="16">
        <f>_xlfn.XLOOKUP(B234,DataSet!$N$2:$N$600,DataSet!$AB$2:$AB$600,0)</f>
        <v>467.72</v>
      </c>
      <c r="S234" s="9">
        <f>_xlfn.XLOOKUP(B234,DataSet!$N$2:$N$600,DataSet!$AC$2:$AC$600,0)</f>
        <v>257.24600000000004</v>
      </c>
    </row>
    <row r="235" spans="1:19" s="12" customFormat="1" x14ac:dyDescent="0.3">
      <c r="A235" s="27">
        <v>233</v>
      </c>
      <c r="B235" s="10" t="s">
        <v>903</v>
      </c>
      <c r="C235" s="10" t="str">
        <f>_xlfn.XLOOKUP(B235,DataSet!$N$2:$N$600,DataSet!$AF$2:$AF$600,0)</f>
        <v>100930</v>
      </c>
      <c r="D235" s="10" t="str">
        <f>_xlfn.XLOOKUP(B235,DataSet!$N$2:$N$600,DataSet!$G$2:$G$600,0)</f>
        <v>Christopher Schild</v>
      </c>
      <c r="E235" s="10" t="str">
        <f>_xlfn.XLOOKUP(B235,DataSet!$N$2:$N$600,DataSet!$F$2:$F$600,0)</f>
        <v>CS-12400</v>
      </c>
      <c r="F235" s="10" t="str">
        <f>_xlfn.XLOOKUP(B235,DataSet!$N$2:$N$600,DataSet!$W$2:$W$600,0)</f>
        <v>Home Office</v>
      </c>
      <c r="G235" s="13">
        <f>_xlfn.XLOOKUP(B235,DataSet!$N$2:$N$600,DataSet!$C$2:$C$600,0)</f>
        <v>42832</v>
      </c>
      <c r="H235" s="10" t="str">
        <f>_xlfn.XLOOKUP(B235,DataSet!$N$2:$N$600,DataSet!$I$2:$I$600,0)</f>
        <v>United States</v>
      </c>
      <c r="I235" s="10" t="str">
        <f>_xlfn.XLOOKUP(B235,DataSet!$N$2:$N$600,DataSet!$X$2:$X$600,0)</f>
        <v>Tampa - Florida</v>
      </c>
      <c r="J235" s="10" t="str">
        <f>_xlfn.XLOOKUP(B235,DataSet!$N$2:$N$600,DataSet!$M$2:$M$600,0)</f>
        <v>South</v>
      </c>
      <c r="K235" s="10" t="str">
        <f>_xlfn.XLOOKUP(B235,DataSet!$N$2:$N$600,DataSet!$O$2:$O$600,0)</f>
        <v>Furniture</v>
      </c>
      <c r="L235" s="10" t="str">
        <f>_xlfn.XLOOKUP(B235,DataSet!$N$2:$N$600,DataSet!$Y$2:$Y$600,0)</f>
        <v>Tables</v>
      </c>
      <c r="M235" s="10" t="str">
        <f>_xlfn.XLOOKUP(B235,DataSet!$N$2:$N$600,DataSet!$Q$2:$Q$600,0)</f>
        <v>Bretford Rectangular Conference Table Tops</v>
      </c>
      <c r="N235" s="16">
        <f>_xlfn.XLOOKUP(B235,DataSet!$N$2:$N$600,DataSet!$AA$2:$AA$600,0)</f>
        <v>620.61450000000002</v>
      </c>
      <c r="O235" s="10">
        <f>_xlfn.XLOOKUP(B235,DataSet!$N$2:$N$600,DataSet!$S$2:$S$600,0)</f>
        <v>3</v>
      </c>
      <c r="P235" s="15">
        <f>_xlfn.XLOOKUP(B235,DataSet!$N$2:$N$600,DataSet!$T$2:$T$600,0)</f>
        <v>0.45</v>
      </c>
      <c r="Q235" s="14">
        <f>_xlfn.XLOOKUP(B235,DataSet!$N$2:$N$600,DataSet!$U$2:$U$600,0)</f>
        <v>-248.2458</v>
      </c>
      <c r="R235" s="16">
        <f>_xlfn.XLOOKUP(B235,DataSet!$N$2:$N$600,DataSet!$AB$2:$AB$600,0)</f>
        <v>1861.8434999999999</v>
      </c>
      <c r="S235" s="9">
        <f>_xlfn.XLOOKUP(B235,DataSet!$N$2:$N$600,DataSet!$AC$2:$AC$600,0)</f>
        <v>1024.013925</v>
      </c>
    </row>
    <row r="236" spans="1:19" s="12" customFormat="1" x14ac:dyDescent="0.3">
      <c r="A236" s="27">
        <v>234</v>
      </c>
      <c r="B236" s="10" t="s">
        <v>897</v>
      </c>
      <c r="C236" s="10" t="str">
        <f>_xlfn.XLOOKUP(B236,DataSet!$N$2:$N$600,DataSet!$AF$2:$AF$600,0)</f>
        <v>156216</v>
      </c>
      <c r="D236" s="10" t="str">
        <f>_xlfn.XLOOKUP(B236,DataSet!$N$2:$N$600,DataSet!$G$2:$G$600,0)</f>
        <v>Erin Ashbrook</v>
      </c>
      <c r="E236" s="10" t="str">
        <f>_xlfn.XLOOKUP(B236,DataSet!$N$2:$N$600,DataSet!$F$2:$F$600,0)</f>
        <v>EA-14035</v>
      </c>
      <c r="F236" s="10" t="str">
        <f>_xlfn.XLOOKUP(B236,DataSet!$N$2:$N$600,DataSet!$W$2:$W$600,0)</f>
        <v>Corporate</v>
      </c>
      <c r="G236" s="13">
        <f>_xlfn.XLOOKUP(B236,DataSet!$N$2:$N$600,DataSet!$C$2:$C$600,0)</f>
        <v>41895</v>
      </c>
      <c r="H236" s="10" t="str">
        <f>_xlfn.XLOOKUP(B236,DataSet!$N$2:$N$600,DataSet!$I$2:$I$600,0)</f>
        <v>United States</v>
      </c>
      <c r="I236" s="10" t="str">
        <f>_xlfn.XLOOKUP(B236,DataSet!$N$2:$N$600,DataSet!$X$2:$X$600,0)</f>
        <v>Charlotte - North Carolina</v>
      </c>
      <c r="J236" s="10" t="str">
        <f>_xlfn.XLOOKUP(B236,DataSet!$N$2:$N$600,DataSet!$M$2:$M$600,0)</f>
        <v>South</v>
      </c>
      <c r="K236" s="10" t="str">
        <f>_xlfn.XLOOKUP(B236,DataSet!$N$2:$N$600,DataSet!$O$2:$O$600,0)</f>
        <v>Office Supplies</v>
      </c>
      <c r="L236" s="10" t="str">
        <f>_xlfn.XLOOKUP(B236,DataSet!$N$2:$N$600,DataSet!$Y$2:$Y$600,0)</f>
        <v>Binders</v>
      </c>
      <c r="M236" s="10" t="str">
        <f>_xlfn.XLOOKUP(B236,DataSet!$N$2:$N$600,DataSet!$Q$2:$Q$600,0)</f>
        <v>GBC Instant Index System for Binding Systems</v>
      </c>
      <c r="N236" s="16">
        <f>_xlfn.XLOOKUP(B236,DataSet!$N$2:$N$600,DataSet!$AA$2:$AA$600,0)</f>
        <v>18.648</v>
      </c>
      <c r="O236" s="10">
        <f>_xlfn.XLOOKUP(B236,DataSet!$N$2:$N$600,DataSet!$S$2:$S$600,0)</f>
        <v>7</v>
      </c>
      <c r="P236" s="15">
        <f>_xlfn.XLOOKUP(B236,DataSet!$N$2:$N$600,DataSet!$T$2:$T$600,0)</f>
        <v>0.7</v>
      </c>
      <c r="Q236" s="14">
        <f>_xlfn.XLOOKUP(B236,DataSet!$N$2:$N$600,DataSet!$U$2:$U$600,0)</f>
        <v>-12.432</v>
      </c>
      <c r="R236" s="16">
        <f>_xlfn.XLOOKUP(B236,DataSet!$N$2:$N$600,DataSet!$AB$2:$AB$600,0)</f>
        <v>130.536</v>
      </c>
      <c r="S236" s="9">
        <f>_xlfn.XLOOKUP(B236,DataSet!$N$2:$N$600,DataSet!$AC$2:$AC$600,0)</f>
        <v>39.160800000000009</v>
      </c>
    </row>
    <row r="237" spans="1:19" s="12" customFormat="1" x14ac:dyDescent="0.3">
      <c r="A237" s="27">
        <v>235</v>
      </c>
      <c r="B237" s="10" t="s">
        <v>905</v>
      </c>
      <c r="C237" s="10" t="str">
        <f>_xlfn.XLOOKUP(B237,DataSet!$N$2:$N$600,DataSet!$AF$2:$AF$600,0)</f>
        <v>100930</v>
      </c>
      <c r="D237" s="10" t="str">
        <f>_xlfn.XLOOKUP(B237,DataSet!$N$2:$N$600,DataSet!$G$2:$G$600,0)</f>
        <v>Christopher Schild</v>
      </c>
      <c r="E237" s="10" t="str">
        <f>_xlfn.XLOOKUP(B237,DataSet!$N$2:$N$600,DataSet!$F$2:$F$600,0)</f>
        <v>CS-12400</v>
      </c>
      <c r="F237" s="10" t="str">
        <f>_xlfn.XLOOKUP(B237,DataSet!$N$2:$N$600,DataSet!$W$2:$W$600,0)</f>
        <v>Home Office</v>
      </c>
      <c r="G237" s="13">
        <f>_xlfn.XLOOKUP(B237,DataSet!$N$2:$N$600,DataSet!$C$2:$C$600,0)</f>
        <v>42832</v>
      </c>
      <c r="H237" s="10" t="str">
        <f>_xlfn.XLOOKUP(B237,DataSet!$N$2:$N$600,DataSet!$I$2:$I$600,0)</f>
        <v>United States</v>
      </c>
      <c r="I237" s="10" t="str">
        <f>_xlfn.XLOOKUP(B237,DataSet!$N$2:$N$600,DataSet!$X$2:$X$600,0)</f>
        <v>Tampa - Florida</v>
      </c>
      <c r="J237" s="10" t="str">
        <f>_xlfn.XLOOKUP(B237,DataSet!$N$2:$N$600,DataSet!$M$2:$M$600,0)</f>
        <v>South</v>
      </c>
      <c r="K237" s="10" t="str">
        <f>_xlfn.XLOOKUP(B237,DataSet!$N$2:$N$600,DataSet!$O$2:$O$600,0)</f>
        <v>Furniture</v>
      </c>
      <c r="L237" s="10" t="str">
        <f>_xlfn.XLOOKUP(B237,DataSet!$N$2:$N$600,DataSet!$Y$2:$Y$600,0)</f>
        <v>Furnishings</v>
      </c>
      <c r="M237" s="10" t="str">
        <f>_xlfn.XLOOKUP(B237,DataSet!$N$2:$N$600,DataSet!$Q$2:$Q$600,0)</f>
        <v>Tenex Contemporary Contur Chairmats for Low and Medium Pile Carpet, Computer, 39" x 49"</v>
      </c>
      <c r="N237" s="16">
        <f>_xlfn.XLOOKUP(B237,DataSet!$N$2:$N$600,DataSet!$AA$2:$AA$600,0)</f>
        <v>258.072</v>
      </c>
      <c r="O237" s="10">
        <f>_xlfn.XLOOKUP(B237,DataSet!$N$2:$N$600,DataSet!$S$2:$S$600,0)</f>
        <v>3</v>
      </c>
      <c r="P237" s="15">
        <f>_xlfn.XLOOKUP(B237,DataSet!$N$2:$N$600,DataSet!$T$2:$T$600,0)</f>
        <v>0.2</v>
      </c>
      <c r="Q237" s="14">
        <f>_xlfn.XLOOKUP(B237,DataSet!$N$2:$N$600,DataSet!$U$2:$U$600,0)</f>
        <v>0</v>
      </c>
      <c r="R237" s="16">
        <f>_xlfn.XLOOKUP(B237,DataSet!$N$2:$N$600,DataSet!$AB$2:$AB$600,0)</f>
        <v>774.21600000000001</v>
      </c>
      <c r="S237" s="9">
        <f>_xlfn.XLOOKUP(B237,DataSet!$N$2:$N$600,DataSet!$AC$2:$AC$600,0)</f>
        <v>619.3728000000001</v>
      </c>
    </row>
    <row r="238" spans="1:19" s="12" customFormat="1" x14ac:dyDescent="0.3">
      <c r="A238" s="27">
        <v>236</v>
      </c>
      <c r="B238" s="10" t="s">
        <v>907</v>
      </c>
      <c r="C238" s="10" t="str">
        <f>_xlfn.XLOOKUP(B238,DataSet!$N$2:$N$600,DataSet!$AF$2:$AF$600,0)</f>
        <v>100930</v>
      </c>
      <c r="D238" s="10" t="str">
        <f>_xlfn.XLOOKUP(B238,DataSet!$N$2:$N$600,DataSet!$G$2:$G$600,0)</f>
        <v>Christopher Schild</v>
      </c>
      <c r="E238" s="10" t="str">
        <f>_xlfn.XLOOKUP(B238,DataSet!$N$2:$N$600,DataSet!$F$2:$F$600,0)</f>
        <v>CS-12400</v>
      </c>
      <c r="F238" s="10" t="str">
        <f>_xlfn.XLOOKUP(B238,DataSet!$N$2:$N$600,DataSet!$W$2:$W$600,0)</f>
        <v>Home Office</v>
      </c>
      <c r="G238" s="13">
        <f>_xlfn.XLOOKUP(B238,DataSet!$N$2:$N$600,DataSet!$C$2:$C$600,0)</f>
        <v>42832</v>
      </c>
      <c r="H238" s="10" t="str">
        <f>_xlfn.XLOOKUP(B238,DataSet!$N$2:$N$600,DataSet!$I$2:$I$600,0)</f>
        <v>United States</v>
      </c>
      <c r="I238" s="10" t="str">
        <f>_xlfn.XLOOKUP(B238,DataSet!$N$2:$N$600,DataSet!$X$2:$X$600,0)</f>
        <v>Tampa - Florida</v>
      </c>
      <c r="J238" s="10" t="str">
        <f>_xlfn.XLOOKUP(B238,DataSet!$N$2:$N$600,DataSet!$M$2:$M$600,0)</f>
        <v>South</v>
      </c>
      <c r="K238" s="10" t="str">
        <f>_xlfn.XLOOKUP(B238,DataSet!$N$2:$N$600,DataSet!$O$2:$O$600,0)</f>
        <v>Technology</v>
      </c>
      <c r="L238" s="10" t="str">
        <f>_xlfn.XLOOKUP(B238,DataSet!$N$2:$N$600,DataSet!$Y$2:$Y$600,0)</f>
        <v>Accessories</v>
      </c>
      <c r="M238" s="10" t="str">
        <f>_xlfn.XLOOKUP(B238,DataSet!$N$2:$N$600,DataSet!$Q$2:$Q$600,0)</f>
        <v>Logitech P710e Mobile Speakerphone</v>
      </c>
      <c r="N238" s="16">
        <f>_xlfn.XLOOKUP(B238,DataSet!$N$2:$N$600,DataSet!$AA$2:$AA$600,0)</f>
        <v>617.976</v>
      </c>
      <c r="O238" s="10">
        <f>_xlfn.XLOOKUP(B238,DataSet!$N$2:$N$600,DataSet!$S$2:$S$600,0)</f>
        <v>3</v>
      </c>
      <c r="P238" s="15">
        <f>_xlfn.XLOOKUP(B238,DataSet!$N$2:$N$600,DataSet!$T$2:$T$600,0)</f>
        <v>0.2</v>
      </c>
      <c r="Q238" s="14">
        <f>_xlfn.XLOOKUP(B238,DataSet!$N$2:$N$600,DataSet!$U$2:$U$600,0)</f>
        <v>-7.7247000000000003</v>
      </c>
      <c r="R238" s="16">
        <f>_xlfn.XLOOKUP(B238,DataSet!$N$2:$N$600,DataSet!$AB$2:$AB$600,0)</f>
        <v>1853.9279999999999</v>
      </c>
      <c r="S238" s="9">
        <f>_xlfn.XLOOKUP(B238,DataSet!$N$2:$N$600,DataSet!$AC$2:$AC$600,0)</f>
        <v>1483.1424</v>
      </c>
    </row>
    <row r="239" spans="1:19" s="12" customFormat="1" x14ac:dyDescent="0.3">
      <c r="A239" s="27">
        <v>237</v>
      </c>
      <c r="B239" s="10" t="s">
        <v>913</v>
      </c>
      <c r="C239" s="10" t="str">
        <f>_xlfn.XLOOKUP(B239,DataSet!$N$2:$N$600,DataSet!$AF$2:$AF$600,0)</f>
        <v>160514</v>
      </c>
      <c r="D239" s="10" t="str">
        <f>_xlfn.XLOOKUP(B239,DataSet!$N$2:$N$600,DataSet!$G$2:$G$600,0)</f>
        <v>David Bremer</v>
      </c>
      <c r="E239" s="10" t="str">
        <f>_xlfn.XLOOKUP(B239,DataSet!$N$2:$N$600,DataSet!$F$2:$F$600,0)</f>
        <v>DB-13120</v>
      </c>
      <c r="F239" s="10" t="str">
        <f>_xlfn.XLOOKUP(B239,DataSet!$N$2:$N$600,DataSet!$W$2:$W$600,0)</f>
        <v>Corporate</v>
      </c>
      <c r="G239" s="13">
        <f>_xlfn.XLOOKUP(B239,DataSet!$N$2:$N$600,DataSet!$C$2:$C$600,0)</f>
        <v>43051</v>
      </c>
      <c r="H239" s="10" t="str">
        <f>_xlfn.XLOOKUP(B239,DataSet!$N$2:$N$600,DataSet!$I$2:$I$600,0)</f>
        <v>United States</v>
      </c>
      <c r="I239" s="10" t="str">
        <f>_xlfn.XLOOKUP(B239,DataSet!$N$2:$N$600,DataSet!$X$2:$X$600,0)</f>
        <v>Santa Clara - California</v>
      </c>
      <c r="J239" s="10" t="str">
        <f>_xlfn.XLOOKUP(B239,DataSet!$N$2:$N$600,DataSet!$M$2:$M$600,0)</f>
        <v>West</v>
      </c>
      <c r="K239" s="10" t="str">
        <f>_xlfn.XLOOKUP(B239,DataSet!$N$2:$N$600,DataSet!$O$2:$O$600,0)</f>
        <v>Office Supplies</v>
      </c>
      <c r="L239" s="10" t="str">
        <f>_xlfn.XLOOKUP(B239,DataSet!$N$2:$N$600,DataSet!$Y$2:$Y$600,0)</f>
        <v>Paper</v>
      </c>
      <c r="M239" s="10" t="str">
        <f>_xlfn.XLOOKUP(B239,DataSet!$N$2:$N$600,DataSet!$Q$2:$Q$600,0)</f>
        <v>Xerox 4200 Series MultiUse Premium Copy Paper (20Lb. and 84 Bright)</v>
      </c>
      <c r="N239" s="16">
        <f>_xlfn.XLOOKUP(B239,DataSet!$N$2:$N$600,DataSet!$AA$2:$AA$600,0)</f>
        <v>10.56</v>
      </c>
      <c r="O239" s="10">
        <f>_xlfn.XLOOKUP(B239,DataSet!$N$2:$N$600,DataSet!$S$2:$S$600,0)</f>
        <v>2</v>
      </c>
      <c r="P239" s="15">
        <f>_xlfn.XLOOKUP(B239,DataSet!$N$2:$N$600,DataSet!$T$2:$T$600,0)</f>
        <v>0</v>
      </c>
      <c r="Q239" s="14">
        <f>_xlfn.XLOOKUP(B239,DataSet!$N$2:$N$600,DataSet!$U$2:$U$600,0)</f>
        <v>4.7519999999999998</v>
      </c>
      <c r="R239" s="16">
        <f>_xlfn.XLOOKUP(B239,DataSet!$N$2:$N$600,DataSet!$AB$2:$AB$600,0)</f>
        <v>21.12</v>
      </c>
      <c r="S239" s="9">
        <f>_xlfn.XLOOKUP(B239,DataSet!$N$2:$N$600,DataSet!$AC$2:$AC$600,0)</f>
        <v>21.12</v>
      </c>
    </row>
    <row r="240" spans="1:19" s="12" customFormat="1" x14ac:dyDescent="0.3">
      <c r="A240" s="27">
        <v>238</v>
      </c>
      <c r="B240" s="10" t="s">
        <v>918</v>
      </c>
      <c r="C240" s="10" t="str">
        <f>_xlfn.XLOOKUP(B240,DataSet!$N$2:$N$600,DataSet!$AF$2:$AF$600,0)</f>
        <v>157749</v>
      </c>
      <c r="D240" s="10" t="str">
        <f>_xlfn.XLOOKUP(B240,DataSet!$N$2:$N$600,DataSet!$G$2:$G$600,0)</f>
        <v>Ken Lonsdale</v>
      </c>
      <c r="E240" s="10" t="str">
        <f>_xlfn.XLOOKUP(B240,DataSet!$N$2:$N$600,DataSet!$F$2:$F$600,0)</f>
        <v>KL-16645</v>
      </c>
      <c r="F240" s="10" t="str">
        <f>_xlfn.XLOOKUP(B240,DataSet!$N$2:$N$600,DataSet!$W$2:$W$600,0)</f>
        <v>Consumer</v>
      </c>
      <c r="G240" s="13">
        <f>_xlfn.XLOOKUP(B240,DataSet!$N$2:$N$600,DataSet!$C$2:$C$600,0)</f>
        <v>42525</v>
      </c>
      <c r="H240" s="10" t="str">
        <f>_xlfn.XLOOKUP(B240,DataSet!$N$2:$N$600,DataSet!$I$2:$I$600,0)</f>
        <v>United States</v>
      </c>
      <c r="I240" s="10" t="str">
        <f>_xlfn.XLOOKUP(B240,DataSet!$N$2:$N$600,DataSet!$X$2:$X$600,0)</f>
        <v>Chicago - Illinois</v>
      </c>
      <c r="J240" s="10" t="str">
        <f>_xlfn.XLOOKUP(B240,DataSet!$N$2:$N$600,DataSet!$M$2:$M$600,0)</f>
        <v>Central</v>
      </c>
      <c r="K240" s="10" t="str">
        <f>_xlfn.XLOOKUP(B240,DataSet!$N$2:$N$600,DataSet!$O$2:$O$600,0)</f>
        <v>Office Supplies</v>
      </c>
      <c r="L240" s="10" t="str">
        <f>_xlfn.XLOOKUP(B240,DataSet!$N$2:$N$600,DataSet!$Y$2:$Y$600,0)</f>
        <v>Paper</v>
      </c>
      <c r="M240" s="10" t="str">
        <f>_xlfn.XLOOKUP(B240,DataSet!$N$2:$N$600,DataSet!$Q$2:$Q$600,0)</f>
        <v>Xerox 1957</v>
      </c>
      <c r="N240" s="16">
        <f>_xlfn.XLOOKUP(B240,DataSet!$N$2:$N$600,DataSet!$AA$2:$AA$600,0)</f>
        <v>25.92</v>
      </c>
      <c r="O240" s="10">
        <f>_xlfn.XLOOKUP(B240,DataSet!$N$2:$N$600,DataSet!$S$2:$S$600,0)</f>
        <v>5</v>
      </c>
      <c r="P240" s="15">
        <f>_xlfn.XLOOKUP(B240,DataSet!$N$2:$N$600,DataSet!$T$2:$T$600,0)</f>
        <v>0.2</v>
      </c>
      <c r="Q240" s="14">
        <f>_xlfn.XLOOKUP(B240,DataSet!$N$2:$N$600,DataSet!$U$2:$U$600,0)</f>
        <v>9.3960000000000008</v>
      </c>
      <c r="R240" s="16">
        <f>_xlfn.XLOOKUP(B240,DataSet!$N$2:$N$600,DataSet!$AB$2:$AB$600,0)</f>
        <v>129.60000000000002</v>
      </c>
      <c r="S240" s="9">
        <f>_xlfn.XLOOKUP(B240,DataSet!$N$2:$N$600,DataSet!$AC$2:$AC$600,0)</f>
        <v>103.68000000000002</v>
      </c>
    </row>
    <row r="241" spans="1:19" s="12" customFormat="1" x14ac:dyDescent="0.3">
      <c r="A241" s="27">
        <v>239</v>
      </c>
      <c r="B241" s="10" t="s">
        <v>920</v>
      </c>
      <c r="C241" s="10" t="str">
        <f>_xlfn.XLOOKUP(B241,DataSet!$N$2:$N$600,DataSet!$AF$2:$AF$600,0)</f>
        <v>157749</v>
      </c>
      <c r="D241" s="10" t="str">
        <f>_xlfn.XLOOKUP(B241,DataSet!$N$2:$N$600,DataSet!$G$2:$G$600,0)</f>
        <v>Ken Lonsdale</v>
      </c>
      <c r="E241" s="10" t="str">
        <f>_xlfn.XLOOKUP(B241,DataSet!$N$2:$N$600,DataSet!$F$2:$F$600,0)</f>
        <v>KL-16645</v>
      </c>
      <c r="F241" s="10" t="str">
        <f>_xlfn.XLOOKUP(B241,DataSet!$N$2:$N$600,DataSet!$W$2:$W$600,0)</f>
        <v>Consumer</v>
      </c>
      <c r="G241" s="13">
        <f>_xlfn.XLOOKUP(B241,DataSet!$N$2:$N$600,DataSet!$C$2:$C$600,0)</f>
        <v>42525</v>
      </c>
      <c r="H241" s="10" t="str">
        <f>_xlfn.XLOOKUP(B241,DataSet!$N$2:$N$600,DataSet!$I$2:$I$600,0)</f>
        <v>United States</v>
      </c>
      <c r="I241" s="10" t="str">
        <f>_xlfn.XLOOKUP(B241,DataSet!$N$2:$N$600,DataSet!$X$2:$X$600,0)</f>
        <v>Chicago - Illinois</v>
      </c>
      <c r="J241" s="10" t="str">
        <f>_xlfn.XLOOKUP(B241,DataSet!$N$2:$N$600,DataSet!$M$2:$M$600,0)</f>
        <v>Central</v>
      </c>
      <c r="K241" s="10" t="str">
        <f>_xlfn.XLOOKUP(B241,DataSet!$N$2:$N$600,DataSet!$O$2:$O$600,0)</f>
        <v>Furniture</v>
      </c>
      <c r="L241" s="10" t="str">
        <f>_xlfn.XLOOKUP(B241,DataSet!$N$2:$N$600,DataSet!$Y$2:$Y$600,0)</f>
        <v>Furnishings</v>
      </c>
      <c r="M241" s="10" t="str">
        <f>_xlfn.XLOOKUP(B241,DataSet!$N$2:$N$600,DataSet!$Q$2:$Q$600,0)</f>
        <v>Luxo Professional Fluorescent Magnifier Lamp with Clamp-Mount Base</v>
      </c>
      <c r="N241" s="16">
        <f>_xlfn.XLOOKUP(B241,DataSet!$N$2:$N$600,DataSet!$AA$2:$AA$600,0)</f>
        <v>419.68</v>
      </c>
      <c r="O241" s="10">
        <f>_xlfn.XLOOKUP(B241,DataSet!$N$2:$N$600,DataSet!$S$2:$S$600,0)</f>
        <v>5</v>
      </c>
      <c r="P241" s="15">
        <f>_xlfn.XLOOKUP(B241,DataSet!$N$2:$N$600,DataSet!$T$2:$T$600,0)</f>
        <v>0.6</v>
      </c>
      <c r="Q241" s="14">
        <f>_xlfn.XLOOKUP(B241,DataSet!$N$2:$N$600,DataSet!$U$2:$U$600,0)</f>
        <v>-356.72800000000001</v>
      </c>
      <c r="R241" s="16">
        <f>_xlfn.XLOOKUP(B241,DataSet!$N$2:$N$600,DataSet!$AB$2:$AB$600,0)</f>
        <v>2098.4</v>
      </c>
      <c r="S241" s="9">
        <f>_xlfn.XLOOKUP(B241,DataSet!$N$2:$N$600,DataSet!$AC$2:$AC$600,0)</f>
        <v>839.36000000000013</v>
      </c>
    </row>
    <row r="242" spans="1:19" s="12" customFormat="1" x14ac:dyDescent="0.3">
      <c r="A242" s="27">
        <v>240</v>
      </c>
      <c r="B242" s="10" t="s">
        <v>922</v>
      </c>
      <c r="C242" s="10" t="str">
        <f>_xlfn.XLOOKUP(B242,DataSet!$N$2:$N$600,DataSet!$AF$2:$AF$600,0)</f>
        <v>157749</v>
      </c>
      <c r="D242" s="10" t="str">
        <f>_xlfn.XLOOKUP(B242,DataSet!$N$2:$N$600,DataSet!$G$2:$G$600,0)</f>
        <v>Ken Lonsdale</v>
      </c>
      <c r="E242" s="10" t="str">
        <f>_xlfn.XLOOKUP(B242,DataSet!$N$2:$N$600,DataSet!$F$2:$F$600,0)</f>
        <v>KL-16645</v>
      </c>
      <c r="F242" s="10" t="str">
        <f>_xlfn.XLOOKUP(B242,DataSet!$N$2:$N$600,DataSet!$W$2:$W$600,0)</f>
        <v>Consumer</v>
      </c>
      <c r="G242" s="13">
        <f>_xlfn.XLOOKUP(B242,DataSet!$N$2:$N$600,DataSet!$C$2:$C$600,0)</f>
        <v>42525</v>
      </c>
      <c r="H242" s="10" t="str">
        <f>_xlfn.XLOOKUP(B242,DataSet!$N$2:$N$600,DataSet!$I$2:$I$600,0)</f>
        <v>United States</v>
      </c>
      <c r="I242" s="10" t="str">
        <f>_xlfn.XLOOKUP(B242,DataSet!$N$2:$N$600,DataSet!$X$2:$X$600,0)</f>
        <v>Chicago - Illinois</v>
      </c>
      <c r="J242" s="10" t="str">
        <f>_xlfn.XLOOKUP(B242,DataSet!$N$2:$N$600,DataSet!$M$2:$M$600,0)</f>
        <v>Central</v>
      </c>
      <c r="K242" s="10" t="str">
        <f>_xlfn.XLOOKUP(B242,DataSet!$N$2:$N$600,DataSet!$O$2:$O$600,0)</f>
        <v>Furniture</v>
      </c>
      <c r="L242" s="10" t="str">
        <f>_xlfn.XLOOKUP(B242,DataSet!$N$2:$N$600,DataSet!$Y$2:$Y$600,0)</f>
        <v>Furnishings</v>
      </c>
      <c r="M242" s="10" t="str">
        <f>_xlfn.XLOOKUP(B242,DataSet!$N$2:$N$600,DataSet!$Q$2:$Q$600,0)</f>
        <v>Staple-based wall hangings</v>
      </c>
      <c r="N242" s="16">
        <f>_xlfn.XLOOKUP(B242,DataSet!$N$2:$N$600,DataSet!$AA$2:$AA$600,0)</f>
        <v>11.688000000000001</v>
      </c>
      <c r="O242" s="10">
        <f>_xlfn.XLOOKUP(B242,DataSet!$N$2:$N$600,DataSet!$S$2:$S$600,0)</f>
        <v>3</v>
      </c>
      <c r="P242" s="15">
        <f>_xlfn.XLOOKUP(B242,DataSet!$N$2:$N$600,DataSet!$T$2:$T$600,0)</f>
        <v>0.6</v>
      </c>
      <c r="Q242" s="14">
        <f>_xlfn.XLOOKUP(B242,DataSet!$N$2:$N$600,DataSet!$U$2:$U$600,0)</f>
        <v>-4.6752000000000002</v>
      </c>
      <c r="R242" s="16">
        <f>_xlfn.XLOOKUP(B242,DataSet!$N$2:$N$600,DataSet!$AB$2:$AB$600,0)</f>
        <v>35.064</v>
      </c>
      <c r="S242" s="9">
        <f>_xlfn.XLOOKUP(B242,DataSet!$N$2:$N$600,DataSet!$AC$2:$AC$600,0)</f>
        <v>14.025600000000001</v>
      </c>
    </row>
    <row r="243" spans="1:19" s="12" customFormat="1" x14ac:dyDescent="0.3">
      <c r="A243" s="27">
        <v>241</v>
      </c>
      <c r="B243" s="10" t="s">
        <v>924</v>
      </c>
      <c r="C243" s="10" t="str">
        <f>_xlfn.XLOOKUP(B243,DataSet!$N$2:$N$600,DataSet!$AF$2:$AF$600,0)</f>
        <v>157749</v>
      </c>
      <c r="D243" s="10" t="str">
        <f>_xlfn.XLOOKUP(B243,DataSet!$N$2:$N$600,DataSet!$G$2:$G$600,0)</f>
        <v>Ken Lonsdale</v>
      </c>
      <c r="E243" s="10" t="str">
        <f>_xlfn.XLOOKUP(B243,DataSet!$N$2:$N$600,DataSet!$F$2:$F$600,0)</f>
        <v>KL-16645</v>
      </c>
      <c r="F243" s="10" t="str">
        <f>_xlfn.XLOOKUP(B243,DataSet!$N$2:$N$600,DataSet!$W$2:$W$600,0)</f>
        <v>Consumer</v>
      </c>
      <c r="G243" s="13">
        <f>_xlfn.XLOOKUP(B243,DataSet!$N$2:$N$600,DataSet!$C$2:$C$600,0)</f>
        <v>42525</v>
      </c>
      <c r="H243" s="10" t="str">
        <f>_xlfn.XLOOKUP(B243,DataSet!$N$2:$N$600,DataSet!$I$2:$I$600,0)</f>
        <v>United States</v>
      </c>
      <c r="I243" s="10" t="str">
        <f>_xlfn.XLOOKUP(B243,DataSet!$N$2:$N$600,DataSet!$X$2:$X$600,0)</f>
        <v>Chicago - Illinois</v>
      </c>
      <c r="J243" s="10" t="str">
        <f>_xlfn.XLOOKUP(B243,DataSet!$N$2:$N$600,DataSet!$M$2:$M$600,0)</f>
        <v>Central</v>
      </c>
      <c r="K243" s="10" t="str">
        <f>_xlfn.XLOOKUP(B243,DataSet!$N$2:$N$600,DataSet!$O$2:$O$600,0)</f>
        <v>Technology</v>
      </c>
      <c r="L243" s="10" t="str">
        <f>_xlfn.XLOOKUP(B243,DataSet!$N$2:$N$600,DataSet!$Y$2:$Y$600,0)</f>
        <v>Phones</v>
      </c>
      <c r="M243" s="10" t="str">
        <f>_xlfn.XLOOKUP(B243,DataSet!$N$2:$N$600,DataSet!$Q$2:$Q$600,0)</f>
        <v>PureGear Roll-On Screen Protector</v>
      </c>
      <c r="N243" s="16">
        <f>_xlfn.XLOOKUP(B243,DataSet!$N$2:$N$600,DataSet!$AA$2:$AA$600,0)</f>
        <v>31.984000000000002</v>
      </c>
      <c r="O243" s="10">
        <f>_xlfn.XLOOKUP(B243,DataSet!$N$2:$N$600,DataSet!$S$2:$S$600,0)</f>
        <v>2</v>
      </c>
      <c r="P243" s="15">
        <f>_xlfn.XLOOKUP(B243,DataSet!$N$2:$N$600,DataSet!$T$2:$T$600,0)</f>
        <v>0.2</v>
      </c>
      <c r="Q243" s="14">
        <f>_xlfn.XLOOKUP(B243,DataSet!$N$2:$N$600,DataSet!$U$2:$U$600,0)</f>
        <v>11.1944</v>
      </c>
      <c r="R243" s="16">
        <f>_xlfn.XLOOKUP(B243,DataSet!$N$2:$N$600,DataSet!$AB$2:$AB$600,0)</f>
        <v>63.968000000000004</v>
      </c>
      <c r="S243" s="9">
        <f>_xlfn.XLOOKUP(B243,DataSet!$N$2:$N$600,DataSet!$AC$2:$AC$600,0)</f>
        <v>51.174400000000006</v>
      </c>
    </row>
    <row r="244" spans="1:19" s="12" customFormat="1" x14ac:dyDescent="0.3">
      <c r="A244" s="27">
        <v>242</v>
      </c>
      <c r="B244" s="10" t="s">
        <v>926</v>
      </c>
      <c r="C244" s="10" t="str">
        <f>_xlfn.XLOOKUP(B244,DataSet!$N$2:$N$600,DataSet!$AF$2:$AF$600,0)</f>
        <v>157749</v>
      </c>
      <c r="D244" s="10" t="str">
        <f>_xlfn.XLOOKUP(B244,DataSet!$N$2:$N$600,DataSet!$G$2:$G$600,0)</f>
        <v>Ken Lonsdale</v>
      </c>
      <c r="E244" s="10" t="str">
        <f>_xlfn.XLOOKUP(B244,DataSet!$N$2:$N$600,DataSet!$F$2:$F$600,0)</f>
        <v>KL-16645</v>
      </c>
      <c r="F244" s="10" t="str">
        <f>_xlfn.XLOOKUP(B244,DataSet!$N$2:$N$600,DataSet!$W$2:$W$600,0)</f>
        <v>Consumer</v>
      </c>
      <c r="G244" s="13">
        <f>_xlfn.XLOOKUP(B244,DataSet!$N$2:$N$600,DataSet!$C$2:$C$600,0)</f>
        <v>42525</v>
      </c>
      <c r="H244" s="10" t="str">
        <f>_xlfn.XLOOKUP(B244,DataSet!$N$2:$N$600,DataSet!$I$2:$I$600,0)</f>
        <v>United States</v>
      </c>
      <c r="I244" s="10" t="str">
        <f>_xlfn.XLOOKUP(B244,DataSet!$N$2:$N$600,DataSet!$X$2:$X$600,0)</f>
        <v>Chicago - Illinois</v>
      </c>
      <c r="J244" s="10" t="str">
        <f>_xlfn.XLOOKUP(B244,DataSet!$N$2:$N$600,DataSet!$M$2:$M$600,0)</f>
        <v>Central</v>
      </c>
      <c r="K244" s="10" t="str">
        <f>_xlfn.XLOOKUP(B244,DataSet!$N$2:$N$600,DataSet!$O$2:$O$600,0)</f>
        <v>Furniture</v>
      </c>
      <c r="L244" s="10" t="str">
        <f>_xlfn.XLOOKUP(B244,DataSet!$N$2:$N$600,DataSet!$Y$2:$Y$600,0)</f>
        <v>Tables</v>
      </c>
      <c r="M244" s="10" t="str">
        <f>_xlfn.XLOOKUP(B244,DataSet!$N$2:$N$600,DataSet!$Q$2:$Q$600,0)</f>
        <v>KI Conference Tables</v>
      </c>
      <c r="N244" s="16">
        <f>_xlfn.XLOOKUP(B244,DataSet!$N$2:$N$600,DataSet!$AA$2:$AA$600,0)</f>
        <v>177.22499999999999</v>
      </c>
      <c r="O244" s="10">
        <f>_xlfn.XLOOKUP(B244,DataSet!$N$2:$N$600,DataSet!$S$2:$S$600,0)</f>
        <v>5</v>
      </c>
      <c r="P244" s="15">
        <f>_xlfn.XLOOKUP(B244,DataSet!$N$2:$N$600,DataSet!$T$2:$T$600,0)</f>
        <v>0.5</v>
      </c>
      <c r="Q244" s="14">
        <f>_xlfn.XLOOKUP(B244,DataSet!$N$2:$N$600,DataSet!$U$2:$U$600,0)</f>
        <v>-120.51300000000001</v>
      </c>
      <c r="R244" s="16">
        <f>_xlfn.XLOOKUP(B244,DataSet!$N$2:$N$600,DataSet!$AB$2:$AB$600,0)</f>
        <v>886.125</v>
      </c>
      <c r="S244" s="9">
        <f>_xlfn.XLOOKUP(B244,DataSet!$N$2:$N$600,DataSet!$AC$2:$AC$600,0)</f>
        <v>443.0625</v>
      </c>
    </row>
    <row r="245" spans="1:19" s="12" customFormat="1" x14ac:dyDescent="0.3">
      <c r="A245" s="27">
        <v>243</v>
      </c>
      <c r="B245" s="10" t="s">
        <v>928</v>
      </c>
      <c r="C245" s="10" t="str">
        <f>_xlfn.XLOOKUP(B245,DataSet!$N$2:$N$600,DataSet!$AF$2:$AF$600,0)</f>
        <v>157749</v>
      </c>
      <c r="D245" s="10" t="str">
        <f>_xlfn.XLOOKUP(B245,DataSet!$N$2:$N$600,DataSet!$G$2:$G$600,0)</f>
        <v>Ken Lonsdale</v>
      </c>
      <c r="E245" s="10" t="str">
        <f>_xlfn.XLOOKUP(B245,DataSet!$N$2:$N$600,DataSet!$F$2:$F$600,0)</f>
        <v>KL-16645</v>
      </c>
      <c r="F245" s="10" t="str">
        <f>_xlfn.XLOOKUP(B245,DataSet!$N$2:$N$600,DataSet!$W$2:$W$600,0)</f>
        <v>Consumer</v>
      </c>
      <c r="G245" s="13">
        <f>_xlfn.XLOOKUP(B245,DataSet!$N$2:$N$600,DataSet!$C$2:$C$600,0)</f>
        <v>42525</v>
      </c>
      <c r="H245" s="10" t="str">
        <f>_xlfn.XLOOKUP(B245,DataSet!$N$2:$N$600,DataSet!$I$2:$I$600,0)</f>
        <v>United States</v>
      </c>
      <c r="I245" s="10" t="str">
        <f>_xlfn.XLOOKUP(B245,DataSet!$N$2:$N$600,DataSet!$X$2:$X$600,0)</f>
        <v>Chicago - Illinois</v>
      </c>
      <c r="J245" s="10" t="str">
        <f>_xlfn.XLOOKUP(B245,DataSet!$N$2:$N$600,DataSet!$M$2:$M$600,0)</f>
        <v>Central</v>
      </c>
      <c r="K245" s="10" t="str">
        <f>_xlfn.XLOOKUP(B245,DataSet!$N$2:$N$600,DataSet!$O$2:$O$600,0)</f>
        <v>Furniture</v>
      </c>
      <c r="L245" s="10" t="str">
        <f>_xlfn.XLOOKUP(B245,DataSet!$N$2:$N$600,DataSet!$Y$2:$Y$600,0)</f>
        <v>Furnishings</v>
      </c>
      <c r="M245" s="10" t="str">
        <f>_xlfn.XLOOKUP(B245,DataSet!$N$2:$N$600,DataSet!$Q$2:$Q$600,0)</f>
        <v>Eldon 100 Class Desk Accessories</v>
      </c>
      <c r="N245" s="16">
        <f>_xlfn.XLOOKUP(B245,DataSet!$N$2:$N$600,DataSet!$AA$2:$AA$600,0)</f>
        <v>4.0439999999999996</v>
      </c>
      <c r="O245" s="10">
        <f>_xlfn.XLOOKUP(B245,DataSet!$N$2:$N$600,DataSet!$S$2:$S$600,0)</f>
        <v>3</v>
      </c>
      <c r="P245" s="15">
        <f>_xlfn.XLOOKUP(B245,DataSet!$N$2:$N$600,DataSet!$T$2:$T$600,0)</f>
        <v>0.6</v>
      </c>
      <c r="Q245" s="14">
        <f>_xlfn.XLOOKUP(B245,DataSet!$N$2:$N$600,DataSet!$U$2:$U$600,0)</f>
        <v>-2.8308</v>
      </c>
      <c r="R245" s="16">
        <f>_xlfn.XLOOKUP(B245,DataSet!$N$2:$N$600,DataSet!$AB$2:$AB$600,0)</f>
        <v>12.131999999999998</v>
      </c>
      <c r="S245" s="9">
        <f>_xlfn.XLOOKUP(B245,DataSet!$N$2:$N$600,DataSet!$AC$2:$AC$600,0)</f>
        <v>4.8527999999999993</v>
      </c>
    </row>
    <row r="246" spans="1:19" s="12" customFormat="1" x14ac:dyDescent="0.3">
      <c r="A246" s="27">
        <v>244</v>
      </c>
      <c r="B246" s="10" t="s">
        <v>780</v>
      </c>
      <c r="C246" s="10" t="str">
        <f>_xlfn.XLOOKUP(B246,DataSet!$N$2:$N$600,DataSet!$AF$2:$AF$600,0)</f>
        <v>140004</v>
      </c>
      <c r="D246" s="10" t="str">
        <f>_xlfn.XLOOKUP(B246,DataSet!$N$2:$N$600,DataSet!$G$2:$G$600,0)</f>
        <v>Cassandra Brandow</v>
      </c>
      <c r="E246" s="10" t="str">
        <f>_xlfn.XLOOKUP(B246,DataSet!$N$2:$N$600,DataSet!$F$2:$F$600,0)</f>
        <v>CB-12025</v>
      </c>
      <c r="F246" s="10" t="str">
        <f>_xlfn.XLOOKUP(B246,DataSet!$N$2:$N$600,DataSet!$W$2:$W$600,0)</f>
        <v>Consumer</v>
      </c>
      <c r="G246" s="13">
        <f>_xlfn.XLOOKUP(B246,DataSet!$N$2:$N$600,DataSet!$C$2:$C$600,0)</f>
        <v>41719</v>
      </c>
      <c r="H246" s="10" t="str">
        <f>_xlfn.XLOOKUP(B246,DataSet!$N$2:$N$600,DataSet!$I$2:$I$600,0)</f>
        <v>United States</v>
      </c>
      <c r="I246" s="10" t="str">
        <f>_xlfn.XLOOKUP(B246,DataSet!$N$2:$N$600,DataSet!$X$2:$X$600,0)</f>
        <v>Hamilton - Ohio</v>
      </c>
      <c r="J246" s="10" t="str">
        <f>_xlfn.XLOOKUP(B246,DataSet!$N$2:$N$600,DataSet!$M$2:$M$600,0)</f>
        <v>East</v>
      </c>
      <c r="K246" s="10" t="str">
        <f>_xlfn.XLOOKUP(B246,DataSet!$N$2:$N$600,DataSet!$O$2:$O$600,0)</f>
        <v>Office Supplies</v>
      </c>
      <c r="L246" s="10" t="str">
        <f>_xlfn.XLOOKUP(B246,DataSet!$N$2:$N$600,DataSet!$Y$2:$Y$600,0)</f>
        <v>Art</v>
      </c>
      <c r="M246" s="10" t="str">
        <f>_xlfn.XLOOKUP(B246,DataSet!$N$2:$N$600,DataSet!$Q$2:$Q$600,0)</f>
        <v>Binney &amp; Smith Crayola Metallic Colored Pencils, 8-Color Set</v>
      </c>
      <c r="N246" s="16">
        <f>_xlfn.XLOOKUP(B246,DataSet!$N$2:$N$600,DataSet!$AA$2:$AA$600,0)</f>
        <v>7.4080000000000004</v>
      </c>
      <c r="O246" s="10">
        <f>_xlfn.XLOOKUP(B246,DataSet!$N$2:$N$600,DataSet!$S$2:$S$600,0)</f>
        <v>2</v>
      </c>
      <c r="P246" s="15">
        <f>_xlfn.XLOOKUP(B246,DataSet!$N$2:$N$600,DataSet!$T$2:$T$600,0)</f>
        <v>0.2</v>
      </c>
      <c r="Q246" s="14">
        <f>_xlfn.XLOOKUP(B246,DataSet!$N$2:$N$600,DataSet!$U$2:$U$600,0)</f>
        <v>1.2038</v>
      </c>
      <c r="R246" s="16">
        <f>_xlfn.XLOOKUP(B246,DataSet!$N$2:$N$600,DataSet!$AB$2:$AB$600,0)</f>
        <v>14.816000000000001</v>
      </c>
      <c r="S246" s="9">
        <f>_xlfn.XLOOKUP(B246,DataSet!$N$2:$N$600,DataSet!$AC$2:$AC$600,0)</f>
        <v>11.852800000000002</v>
      </c>
    </row>
    <row r="247" spans="1:19" s="12" customFormat="1" x14ac:dyDescent="0.3">
      <c r="A247" s="27">
        <v>245</v>
      </c>
      <c r="B247" s="10" t="s">
        <v>531</v>
      </c>
      <c r="C247" s="10" t="str">
        <f>_xlfn.XLOOKUP(B247,DataSet!$N$2:$N$600,DataSet!$AF$2:$AF$600,0)</f>
        <v>152030</v>
      </c>
      <c r="D247" s="10" t="str">
        <f>_xlfn.XLOOKUP(B247,DataSet!$N$2:$N$600,DataSet!$G$2:$G$600,0)</f>
        <v>Alan Dominguez</v>
      </c>
      <c r="E247" s="10" t="str">
        <f>_xlfn.XLOOKUP(B247,DataSet!$N$2:$N$600,DataSet!$F$2:$F$600,0)</f>
        <v>AD-10180</v>
      </c>
      <c r="F247" s="10" t="str">
        <f>_xlfn.XLOOKUP(B247,DataSet!$N$2:$N$600,DataSet!$W$2:$W$600,0)</f>
        <v>Home Office</v>
      </c>
      <c r="G247" s="13">
        <f>_xlfn.XLOOKUP(B247,DataSet!$N$2:$N$600,DataSet!$C$2:$C$600,0)</f>
        <v>41999</v>
      </c>
      <c r="H247" s="10" t="str">
        <f>_xlfn.XLOOKUP(B247,DataSet!$N$2:$N$600,DataSet!$I$2:$I$600,0)</f>
        <v>United States</v>
      </c>
      <c r="I247" s="10" t="str">
        <f>_xlfn.XLOOKUP(B247,DataSet!$N$2:$N$600,DataSet!$X$2:$X$600,0)</f>
        <v>Houston - Texas</v>
      </c>
      <c r="J247" s="10" t="str">
        <f>_xlfn.XLOOKUP(B247,DataSet!$N$2:$N$600,DataSet!$M$2:$M$600,0)</f>
        <v>Central</v>
      </c>
      <c r="K247" s="10" t="str">
        <f>_xlfn.XLOOKUP(B247,DataSet!$N$2:$N$600,DataSet!$O$2:$O$600,0)</f>
        <v>Furniture</v>
      </c>
      <c r="L247" s="10" t="str">
        <f>_xlfn.XLOOKUP(B247,DataSet!$N$2:$N$600,DataSet!$Y$2:$Y$600,0)</f>
        <v>Chairs</v>
      </c>
      <c r="M247" s="10" t="str">
        <f>_xlfn.XLOOKUP(B247,DataSet!$N$2:$N$600,DataSet!$Q$2:$Q$600,0)</f>
        <v>Global Deluxe High-Back Manager's Chair</v>
      </c>
      <c r="N247" s="16">
        <f ca="1">_xlfn.XLOOKUP(B247,DataSet!$N$2:$N$600,DataSet!$AA$2:$AA$600,0)</f>
        <v>503</v>
      </c>
      <c r="O247" s="10">
        <f>_xlfn.XLOOKUP(B247,DataSet!$N$2:$N$600,DataSet!$S$2:$S$600,0)</f>
        <v>3</v>
      </c>
      <c r="P247" s="15">
        <f>_xlfn.XLOOKUP(B247,DataSet!$N$2:$N$600,DataSet!$T$2:$T$600,0)</f>
        <v>0.3</v>
      </c>
      <c r="Q247" s="14">
        <f>_xlfn.XLOOKUP(B247,DataSet!$N$2:$N$600,DataSet!$U$2:$U$600,0)</f>
        <v>-8.5793999999999997</v>
      </c>
      <c r="R247" s="16">
        <f ca="1">_xlfn.XLOOKUP(B247,DataSet!$N$2:$N$600,DataSet!$AB$2:$AB$600,0)</f>
        <v>1509</v>
      </c>
      <c r="S247" s="9">
        <f ca="1">_xlfn.XLOOKUP(B247,DataSet!$N$2:$N$600,DataSet!$AC$2:$AC$600,0)</f>
        <v>1056.3</v>
      </c>
    </row>
    <row r="248" spans="1:19" s="12" customFormat="1" x14ac:dyDescent="0.3">
      <c r="A248" s="27">
        <v>246</v>
      </c>
      <c r="B248" s="10" t="s">
        <v>934</v>
      </c>
      <c r="C248" s="10" t="str">
        <f>_xlfn.XLOOKUP(B248,DataSet!$N$2:$N$600,DataSet!$AF$2:$AF$600,0)</f>
        <v>131926</v>
      </c>
      <c r="D248" s="10" t="str">
        <f>_xlfn.XLOOKUP(B248,DataSet!$N$2:$N$600,DataSet!$G$2:$G$600,0)</f>
        <v>Dianna Wilson</v>
      </c>
      <c r="E248" s="10" t="str">
        <f>_xlfn.XLOOKUP(B248,DataSet!$N$2:$N$600,DataSet!$F$2:$F$600,0)</f>
        <v>DW-13480</v>
      </c>
      <c r="F248" s="10" t="str">
        <f>_xlfn.XLOOKUP(B248,DataSet!$N$2:$N$600,DataSet!$W$2:$W$600,0)</f>
        <v>Home Office</v>
      </c>
      <c r="G248" s="13">
        <f>_xlfn.XLOOKUP(B248,DataSet!$N$2:$N$600,DataSet!$C$2:$C$600,0)</f>
        <v>41791</v>
      </c>
      <c r="H248" s="10" t="str">
        <f>_xlfn.XLOOKUP(B248,DataSet!$N$2:$N$600,DataSet!$I$2:$I$600,0)</f>
        <v>United States</v>
      </c>
      <c r="I248" s="10" t="str">
        <f>_xlfn.XLOOKUP(B248,DataSet!$N$2:$N$600,DataSet!$X$2:$X$600,0)</f>
        <v>Lakeville - Minnesota</v>
      </c>
      <c r="J248" s="10" t="str">
        <f>_xlfn.XLOOKUP(B248,DataSet!$N$2:$N$600,DataSet!$M$2:$M$600,0)</f>
        <v>Central</v>
      </c>
      <c r="K248" s="10" t="str">
        <f>_xlfn.XLOOKUP(B248,DataSet!$N$2:$N$600,DataSet!$O$2:$O$600,0)</f>
        <v>Office Supplies</v>
      </c>
      <c r="L248" s="10" t="str">
        <f>_xlfn.XLOOKUP(B248,DataSet!$N$2:$N$600,DataSet!$Y$2:$Y$600,0)</f>
        <v>Storage</v>
      </c>
      <c r="M248" s="10" t="str">
        <f>_xlfn.XLOOKUP(B248,DataSet!$N$2:$N$600,DataSet!$Q$2:$Q$600,0)</f>
        <v>Safco Steel Mobile File Cart</v>
      </c>
      <c r="N248" s="16">
        <f>_xlfn.XLOOKUP(B248,DataSet!$N$2:$N$600,DataSet!$AA$2:$AA$600,0)</f>
        <v>166.72</v>
      </c>
      <c r="O248" s="10">
        <f>_xlfn.XLOOKUP(B248,DataSet!$N$2:$N$600,DataSet!$S$2:$S$600,0)</f>
        <v>2</v>
      </c>
      <c r="P248" s="15">
        <f>_xlfn.XLOOKUP(B248,DataSet!$N$2:$N$600,DataSet!$T$2:$T$600,0)</f>
        <v>0</v>
      </c>
      <c r="Q248" s="14">
        <f>_xlfn.XLOOKUP(B248,DataSet!$N$2:$N$600,DataSet!$U$2:$U$600,0)</f>
        <v>41.68</v>
      </c>
      <c r="R248" s="16">
        <f>_xlfn.XLOOKUP(B248,DataSet!$N$2:$N$600,DataSet!$AB$2:$AB$600,0)</f>
        <v>333.44</v>
      </c>
      <c r="S248" s="9">
        <f>_xlfn.XLOOKUP(B248,DataSet!$N$2:$N$600,DataSet!$AC$2:$AC$600,0)</f>
        <v>333.44</v>
      </c>
    </row>
    <row r="249" spans="1:19" s="12" customFormat="1" x14ac:dyDescent="0.3">
      <c r="A249" s="27">
        <v>247</v>
      </c>
      <c r="B249" s="10" t="s">
        <v>936</v>
      </c>
      <c r="C249" s="10" t="str">
        <f>_xlfn.XLOOKUP(B249,DataSet!$N$2:$N$600,DataSet!$AF$2:$AF$600,0)</f>
        <v>131926</v>
      </c>
      <c r="D249" s="10" t="str">
        <f>_xlfn.XLOOKUP(B249,DataSet!$N$2:$N$600,DataSet!$G$2:$G$600,0)</f>
        <v>Dianna Wilson</v>
      </c>
      <c r="E249" s="10" t="str">
        <f>_xlfn.XLOOKUP(B249,DataSet!$N$2:$N$600,DataSet!$F$2:$F$600,0)</f>
        <v>DW-13480</v>
      </c>
      <c r="F249" s="10" t="str">
        <f>_xlfn.XLOOKUP(B249,DataSet!$N$2:$N$600,DataSet!$W$2:$W$600,0)</f>
        <v>UNKNOWN</v>
      </c>
      <c r="G249" s="13">
        <f>_xlfn.XLOOKUP(B249,DataSet!$N$2:$N$600,DataSet!$C$2:$C$600,0)</f>
        <v>41791</v>
      </c>
      <c r="H249" s="10" t="str">
        <f>_xlfn.XLOOKUP(B249,DataSet!$N$2:$N$600,DataSet!$I$2:$I$600,0)</f>
        <v>United States</v>
      </c>
      <c r="I249" s="10" t="str">
        <f>_xlfn.XLOOKUP(B249,DataSet!$N$2:$N$600,DataSet!$X$2:$X$600,0)</f>
        <v>Lakeville - Minnesota</v>
      </c>
      <c r="J249" s="10" t="str">
        <f>_xlfn.XLOOKUP(B249,DataSet!$N$2:$N$600,DataSet!$M$2:$M$600,0)</f>
        <v>Central</v>
      </c>
      <c r="K249" s="10" t="str">
        <f>_xlfn.XLOOKUP(B249,DataSet!$N$2:$N$600,DataSet!$O$2:$O$600,0)</f>
        <v>Office Supplies</v>
      </c>
      <c r="L249" s="10" t="str">
        <f>_xlfn.XLOOKUP(B249,DataSet!$N$2:$N$600,DataSet!$Y$2:$Y$600,0)</f>
        <v>Paper</v>
      </c>
      <c r="M249" s="10" t="str">
        <f>_xlfn.XLOOKUP(B249,DataSet!$N$2:$N$600,DataSet!$Q$2:$Q$600,0)</f>
        <v>Adams Telephone Message Book w/Frequently-Called Numbers Space, 400 Messages per Book</v>
      </c>
      <c r="N249" s="16">
        <f>_xlfn.XLOOKUP(B249,DataSet!$N$2:$N$600,DataSet!$AA$2:$AA$600,0)</f>
        <v>47.88</v>
      </c>
      <c r="O249" s="10">
        <f>_xlfn.XLOOKUP(B249,DataSet!$N$2:$N$600,DataSet!$S$2:$S$600,0)</f>
        <v>6</v>
      </c>
      <c r="P249" s="15">
        <f>_xlfn.XLOOKUP(B249,DataSet!$N$2:$N$600,DataSet!$T$2:$T$600,0)</f>
        <v>0</v>
      </c>
      <c r="Q249" s="14">
        <f>_xlfn.XLOOKUP(B249,DataSet!$N$2:$N$600,DataSet!$U$2:$U$600,0)</f>
        <v>23.94</v>
      </c>
      <c r="R249" s="16">
        <f>_xlfn.XLOOKUP(B249,DataSet!$N$2:$N$600,DataSet!$AB$2:$AB$600,0)</f>
        <v>287.28000000000003</v>
      </c>
      <c r="S249" s="9">
        <f>_xlfn.XLOOKUP(B249,DataSet!$N$2:$N$600,DataSet!$AC$2:$AC$600,0)</f>
        <v>287.28000000000003</v>
      </c>
    </row>
    <row r="250" spans="1:19" s="12" customFormat="1" x14ac:dyDescent="0.3">
      <c r="A250" s="27">
        <v>248</v>
      </c>
      <c r="B250" s="10" t="s">
        <v>938</v>
      </c>
      <c r="C250" s="10" t="str">
        <f>_xlfn.XLOOKUP(B250,DataSet!$N$2:$N$600,DataSet!$AF$2:$AF$600,0)</f>
        <v>131926</v>
      </c>
      <c r="D250" s="10" t="str">
        <f>_xlfn.XLOOKUP(B250,DataSet!$N$2:$N$600,DataSet!$G$2:$G$600,0)</f>
        <v>Dianna Wilson</v>
      </c>
      <c r="E250" s="10" t="str">
        <f>_xlfn.XLOOKUP(B250,DataSet!$N$2:$N$600,DataSet!$F$2:$F$600,0)</f>
        <v>DW-13480</v>
      </c>
      <c r="F250" s="10" t="str">
        <f>_xlfn.XLOOKUP(B250,DataSet!$N$2:$N$600,DataSet!$W$2:$W$600,0)</f>
        <v>Home Office</v>
      </c>
      <c r="G250" s="13">
        <f>_xlfn.XLOOKUP(B250,DataSet!$N$2:$N$600,DataSet!$C$2:$C$600,0)</f>
        <v>41791</v>
      </c>
      <c r="H250" s="10" t="str">
        <f>_xlfn.XLOOKUP(B250,DataSet!$N$2:$N$600,DataSet!$I$2:$I$600,0)</f>
        <v>United States</v>
      </c>
      <c r="I250" s="10" t="str">
        <f>_xlfn.XLOOKUP(B250,DataSet!$N$2:$N$600,DataSet!$X$2:$X$600,0)</f>
        <v>Lakeville - Minnesota</v>
      </c>
      <c r="J250" s="10" t="str">
        <f>_xlfn.XLOOKUP(B250,DataSet!$N$2:$N$600,DataSet!$M$2:$M$600,0)</f>
        <v>Central</v>
      </c>
      <c r="K250" s="10" t="str">
        <f>_xlfn.XLOOKUP(B250,DataSet!$N$2:$N$600,DataSet!$O$2:$O$600,0)</f>
        <v>Office Supplies</v>
      </c>
      <c r="L250" s="10" t="str">
        <f>_xlfn.XLOOKUP(B250,DataSet!$N$2:$N$600,DataSet!$Y$2:$Y$600,0)</f>
        <v>Appliances</v>
      </c>
      <c r="M250" s="10" t="str">
        <f>_xlfn.XLOOKUP(B250,DataSet!$N$2:$N$600,DataSet!$Q$2:$Q$600,0)</f>
        <v>Honeywell Enviracaire Portable HEPA Air Cleaner for 17' x 22' Room</v>
      </c>
      <c r="N250" s="16">
        <f>_xlfn.XLOOKUP(B250,DataSet!$N$2:$N$600,DataSet!$AA$2:$AA$600,0)</f>
        <v>1503.25</v>
      </c>
      <c r="O250" s="10">
        <f>_xlfn.XLOOKUP(B250,DataSet!$N$2:$N$600,DataSet!$S$2:$S$600,0)</f>
        <v>5</v>
      </c>
      <c r="P250" s="15">
        <f>_xlfn.XLOOKUP(B250,DataSet!$N$2:$N$600,DataSet!$T$2:$T$600,0)</f>
        <v>0</v>
      </c>
      <c r="Q250" s="14">
        <f>_xlfn.XLOOKUP(B250,DataSet!$N$2:$N$600,DataSet!$U$2:$U$600,0)</f>
        <v>496.07249999999999</v>
      </c>
      <c r="R250" s="16">
        <f>_xlfn.XLOOKUP(B250,DataSet!$N$2:$N$600,DataSet!$AB$2:$AB$600,0)</f>
        <v>7516.25</v>
      </c>
      <c r="S250" s="9">
        <f>_xlfn.XLOOKUP(B250,DataSet!$N$2:$N$600,DataSet!$AC$2:$AC$600,0)</f>
        <v>7516.25</v>
      </c>
    </row>
    <row r="251" spans="1:19" s="12" customFormat="1" x14ac:dyDescent="0.3">
      <c r="A251" s="27">
        <v>249</v>
      </c>
      <c r="B251" s="10" t="s">
        <v>768</v>
      </c>
      <c r="C251" s="10" t="str">
        <f>_xlfn.XLOOKUP(B251,DataSet!$N$2:$N$600,DataSet!$AF$2:$AF$600,0)</f>
        <v>102281</v>
      </c>
      <c r="D251" s="10" t="str">
        <f>_xlfn.XLOOKUP(B251,DataSet!$N$2:$N$600,DataSet!$G$2:$G$600,0)</f>
        <v>Mark Packer</v>
      </c>
      <c r="E251" s="10" t="str">
        <f>_xlfn.XLOOKUP(B251,DataSet!$N$2:$N$600,DataSet!$F$2:$F$600,0)</f>
        <v>MP-17470</v>
      </c>
      <c r="F251" s="10" t="str">
        <f>_xlfn.XLOOKUP(B251,DataSet!$N$2:$N$600,DataSet!$W$2:$W$600,0)</f>
        <v>Home Office</v>
      </c>
      <c r="G251" s="13">
        <f>_xlfn.XLOOKUP(B251,DataSet!$N$2:$N$600,DataSet!$C$2:$C$600,0)</f>
        <v>42289</v>
      </c>
      <c r="H251" s="10" t="str">
        <f>_xlfn.XLOOKUP(B251,DataSet!$N$2:$N$600,DataSet!$I$2:$I$600,0)</f>
        <v>United States</v>
      </c>
      <c r="I251" s="10" t="str">
        <f>_xlfn.XLOOKUP(B251,DataSet!$N$2:$N$600,DataSet!$X$2:$X$600,0)</f>
        <v>New York City - New York</v>
      </c>
      <c r="J251" s="10" t="str">
        <f>_xlfn.XLOOKUP(B251,DataSet!$N$2:$N$600,DataSet!$M$2:$M$600,0)</f>
        <v>East</v>
      </c>
      <c r="K251" s="10" t="str">
        <f>_xlfn.XLOOKUP(B251,DataSet!$N$2:$N$600,DataSet!$O$2:$O$600,0)</f>
        <v>Office Supplies</v>
      </c>
      <c r="L251" s="10" t="str">
        <f>_xlfn.XLOOKUP(B251,DataSet!$N$2:$N$600,DataSet!$Y$2:$Y$600,0)</f>
        <v>Paper</v>
      </c>
      <c r="M251" s="10" t="str">
        <f>_xlfn.XLOOKUP(B251,DataSet!$N$2:$N$600,DataSet!$Q$2:$Q$600,0)</f>
        <v>Xerox 205</v>
      </c>
      <c r="N251" s="16">
        <f>_xlfn.XLOOKUP(B251,DataSet!$N$2:$N$600,DataSet!$AA$2:$AA$600,0)</f>
        <v>51.84</v>
      </c>
      <c r="O251" s="10">
        <f>_xlfn.XLOOKUP(B251,DataSet!$N$2:$N$600,DataSet!$S$2:$S$600,0)</f>
        <v>8</v>
      </c>
      <c r="P251" s="15">
        <f>_xlfn.XLOOKUP(B251,DataSet!$N$2:$N$600,DataSet!$T$2:$T$600,0)</f>
        <v>0</v>
      </c>
      <c r="Q251" s="14">
        <f>_xlfn.XLOOKUP(B251,DataSet!$N$2:$N$600,DataSet!$U$2:$U$600,0)</f>
        <v>24.883199999999999</v>
      </c>
      <c r="R251" s="16">
        <f>_xlfn.XLOOKUP(B251,DataSet!$N$2:$N$600,DataSet!$AB$2:$AB$600,0)</f>
        <v>414.72</v>
      </c>
      <c r="S251" s="9">
        <f>_xlfn.XLOOKUP(B251,DataSet!$N$2:$N$600,DataSet!$AC$2:$AC$600,0)</f>
        <v>414.72</v>
      </c>
    </row>
    <row r="252" spans="1:19" s="12" customFormat="1" x14ac:dyDescent="0.3">
      <c r="A252" s="27">
        <v>250</v>
      </c>
      <c r="B252" s="10" t="s">
        <v>943</v>
      </c>
      <c r="C252" s="10" t="str">
        <f>_xlfn.XLOOKUP(B252,DataSet!$N$2:$N$600,DataSet!$AF$2:$AF$600,0)</f>
        <v>154739</v>
      </c>
      <c r="D252" s="10" t="str">
        <f>_xlfn.XLOOKUP(B252,DataSet!$N$2:$N$600,DataSet!$G$2:$G$600,0)</f>
        <v>Logan Haushalter</v>
      </c>
      <c r="E252" s="10" t="str">
        <f>_xlfn.XLOOKUP(B252,DataSet!$N$2:$N$600,DataSet!$F$2:$F$600,0)</f>
        <v>LH-17155</v>
      </c>
      <c r="F252" s="10" t="str">
        <f>_xlfn.XLOOKUP(B252,DataSet!$N$2:$N$600,DataSet!$W$2:$W$600,0)</f>
        <v>Consumer</v>
      </c>
      <c r="G252" s="13">
        <f>_xlfn.XLOOKUP(B252,DataSet!$N$2:$N$600,DataSet!$C$2:$C$600,0)</f>
        <v>42714</v>
      </c>
      <c r="H252" s="10" t="str">
        <f>_xlfn.XLOOKUP(B252,DataSet!$N$2:$N$600,DataSet!$I$2:$I$600,0)</f>
        <v>United States</v>
      </c>
      <c r="I252" s="10" t="str">
        <f>_xlfn.XLOOKUP(B252,DataSet!$N$2:$N$600,DataSet!$X$2:$X$600,0)</f>
        <v>San Francisco - California</v>
      </c>
      <c r="J252" s="10" t="str">
        <f>_xlfn.XLOOKUP(B252,DataSet!$N$2:$N$600,DataSet!$M$2:$M$600,0)</f>
        <v>West</v>
      </c>
      <c r="K252" s="10" t="str">
        <f>_xlfn.XLOOKUP(B252,DataSet!$N$2:$N$600,DataSet!$O$2:$O$600,0)</f>
        <v>Furniture</v>
      </c>
      <c r="L252" s="10" t="str">
        <f>_xlfn.XLOOKUP(B252,DataSet!$N$2:$N$600,DataSet!$Y$2:$Y$600,0)</f>
        <v>Chairs</v>
      </c>
      <c r="M252" s="10" t="str">
        <f>_xlfn.XLOOKUP(B252,DataSet!$N$2:$N$600,DataSet!$Q$2:$Q$600,0)</f>
        <v>Global Leather Highback Executive Chair with Pneumatic Height Adjustment, Black</v>
      </c>
      <c r="N252" s="16">
        <f>_xlfn.XLOOKUP(B252,DataSet!$N$2:$N$600,DataSet!$AA$2:$AA$600,0)</f>
        <v>321.56799999999998</v>
      </c>
      <c r="O252" s="10">
        <f>_xlfn.XLOOKUP(B252,DataSet!$N$2:$N$600,DataSet!$S$2:$S$600,0)</f>
        <v>2</v>
      </c>
      <c r="P252" s="15">
        <f>_xlfn.XLOOKUP(B252,DataSet!$N$2:$N$600,DataSet!$T$2:$T$600,0)</f>
        <v>0.2</v>
      </c>
      <c r="Q252" s="14">
        <f>_xlfn.XLOOKUP(B252,DataSet!$N$2:$N$600,DataSet!$U$2:$U$600,0)</f>
        <v>28.1372</v>
      </c>
      <c r="R252" s="16">
        <f>_xlfn.XLOOKUP(B252,DataSet!$N$2:$N$600,DataSet!$AB$2:$AB$600,0)</f>
        <v>643.13599999999997</v>
      </c>
      <c r="S252" s="9">
        <f>_xlfn.XLOOKUP(B252,DataSet!$N$2:$N$600,DataSet!$AC$2:$AC$600,0)</f>
        <v>514.50879999999995</v>
      </c>
    </row>
    <row r="253" spans="1:19" s="12" customFormat="1" x14ac:dyDescent="0.3">
      <c r="A253" s="27">
        <v>251</v>
      </c>
      <c r="B253" s="10" t="s">
        <v>949</v>
      </c>
      <c r="C253" s="10" t="str">
        <f>_xlfn.XLOOKUP(B253,DataSet!$N$2:$N$600,DataSet!$AF$2:$AF$600,0)</f>
        <v>145625</v>
      </c>
      <c r="D253" s="10" t="str">
        <f>_xlfn.XLOOKUP(B253,DataSet!$N$2:$N$600,DataSet!$G$2:$G$600,0)</f>
        <v>Kelly Collister</v>
      </c>
      <c r="E253" s="10" t="str">
        <f>_xlfn.XLOOKUP(B253,DataSet!$N$2:$N$600,DataSet!$F$2:$F$600,0)</f>
        <v>KC-16540</v>
      </c>
      <c r="F253" s="10" t="str">
        <f>_xlfn.XLOOKUP(B253,DataSet!$N$2:$N$600,DataSet!$W$2:$W$600,0)</f>
        <v>Consumer</v>
      </c>
      <c r="G253" s="13">
        <f>_xlfn.XLOOKUP(B253,DataSet!$N$2:$N$600,DataSet!$C$2:$C$600,0)</f>
        <v>42624</v>
      </c>
      <c r="H253" s="10" t="str">
        <f>_xlfn.XLOOKUP(B253,DataSet!$N$2:$N$600,DataSet!$I$2:$I$600,0)</f>
        <v>United States</v>
      </c>
      <c r="I253" s="10" t="str">
        <f>_xlfn.XLOOKUP(B253,DataSet!$N$2:$N$600,DataSet!$X$2:$X$600,0)</f>
        <v>San Diego - California</v>
      </c>
      <c r="J253" s="10" t="str">
        <f>_xlfn.XLOOKUP(B253,DataSet!$N$2:$N$600,DataSet!$M$2:$M$600,0)</f>
        <v>West</v>
      </c>
      <c r="K253" s="10" t="str">
        <f>_xlfn.XLOOKUP(B253,DataSet!$N$2:$N$600,DataSet!$O$2:$O$600,0)</f>
        <v>Office Supplies</v>
      </c>
      <c r="L253" s="10" t="str">
        <f>_xlfn.XLOOKUP(B253,DataSet!$N$2:$N$600,DataSet!$Y$2:$Y$600,0)</f>
        <v>Paper</v>
      </c>
      <c r="M253" s="10" t="str">
        <f>_xlfn.XLOOKUP(B253,DataSet!$N$2:$N$600,DataSet!$Q$2:$Q$600,0)</f>
        <v>Wirebound Message Books, Two 4 1/4" x 5" Forms per Page</v>
      </c>
      <c r="N253" s="16">
        <f>_xlfn.XLOOKUP(B253,DataSet!$N$2:$N$600,DataSet!$AA$2:$AA$600,0)</f>
        <v>7.61</v>
      </c>
      <c r="O253" s="10">
        <f>_xlfn.XLOOKUP(B253,DataSet!$N$2:$N$600,DataSet!$S$2:$S$600,0)</f>
        <v>1</v>
      </c>
      <c r="P253" s="15">
        <f>_xlfn.XLOOKUP(B253,DataSet!$N$2:$N$600,DataSet!$T$2:$T$600,0)</f>
        <v>0</v>
      </c>
      <c r="Q253" s="14">
        <f>_xlfn.XLOOKUP(B253,DataSet!$N$2:$N$600,DataSet!$U$2:$U$600,0)</f>
        <v>3.5767000000000002</v>
      </c>
      <c r="R253" s="16">
        <f>_xlfn.XLOOKUP(B253,DataSet!$N$2:$N$600,DataSet!$AB$2:$AB$600,0)</f>
        <v>7.61</v>
      </c>
      <c r="S253" s="9">
        <f>_xlfn.XLOOKUP(B253,DataSet!$N$2:$N$600,DataSet!$AC$2:$AC$600,0)</f>
        <v>7.61</v>
      </c>
    </row>
    <row r="254" spans="1:19" s="12" customFormat="1" x14ac:dyDescent="0.3">
      <c r="A254" s="27">
        <v>252</v>
      </c>
      <c r="B254" s="10" t="s">
        <v>907</v>
      </c>
      <c r="C254" s="10" t="str">
        <f>_xlfn.XLOOKUP(B254,DataSet!$N$2:$N$600,DataSet!$AF$2:$AF$600,0)</f>
        <v>100930</v>
      </c>
      <c r="D254" s="10" t="str">
        <f>_xlfn.XLOOKUP(B254,DataSet!$N$2:$N$600,DataSet!$G$2:$G$600,0)</f>
        <v>Christopher Schild</v>
      </c>
      <c r="E254" s="10" t="str">
        <f>_xlfn.XLOOKUP(B254,DataSet!$N$2:$N$600,DataSet!$F$2:$F$600,0)</f>
        <v>CS-12400</v>
      </c>
      <c r="F254" s="10" t="str">
        <f>_xlfn.XLOOKUP(B254,DataSet!$N$2:$N$600,DataSet!$W$2:$W$600,0)</f>
        <v>Home Office</v>
      </c>
      <c r="G254" s="13">
        <f>_xlfn.XLOOKUP(B254,DataSet!$N$2:$N$600,DataSet!$C$2:$C$600,0)</f>
        <v>42832</v>
      </c>
      <c r="H254" s="10" t="str">
        <f>_xlfn.XLOOKUP(B254,DataSet!$N$2:$N$600,DataSet!$I$2:$I$600,0)</f>
        <v>United States</v>
      </c>
      <c r="I254" s="10" t="str">
        <f>_xlfn.XLOOKUP(B254,DataSet!$N$2:$N$600,DataSet!$X$2:$X$600,0)</f>
        <v>Tampa - Florida</v>
      </c>
      <c r="J254" s="10" t="str">
        <f>_xlfn.XLOOKUP(B254,DataSet!$N$2:$N$600,DataSet!$M$2:$M$600,0)</f>
        <v>South</v>
      </c>
      <c r="K254" s="10" t="str">
        <f>_xlfn.XLOOKUP(B254,DataSet!$N$2:$N$600,DataSet!$O$2:$O$600,0)</f>
        <v>Technology</v>
      </c>
      <c r="L254" s="10" t="str">
        <f>_xlfn.XLOOKUP(B254,DataSet!$N$2:$N$600,DataSet!$Y$2:$Y$600,0)</f>
        <v>Accessories</v>
      </c>
      <c r="M254" s="10" t="str">
        <f>_xlfn.XLOOKUP(B254,DataSet!$N$2:$N$600,DataSet!$Q$2:$Q$600,0)</f>
        <v>Logitech P710e Mobile Speakerphone</v>
      </c>
      <c r="N254" s="16">
        <f>_xlfn.XLOOKUP(B254,DataSet!$N$2:$N$600,DataSet!$AA$2:$AA$600,0)</f>
        <v>617.976</v>
      </c>
      <c r="O254" s="10">
        <f>_xlfn.XLOOKUP(B254,DataSet!$N$2:$N$600,DataSet!$S$2:$S$600,0)</f>
        <v>3</v>
      </c>
      <c r="P254" s="15">
        <f>_xlfn.XLOOKUP(B254,DataSet!$N$2:$N$600,DataSet!$T$2:$T$600,0)</f>
        <v>0.2</v>
      </c>
      <c r="Q254" s="14">
        <f>_xlfn.XLOOKUP(B254,DataSet!$N$2:$N$600,DataSet!$U$2:$U$600,0)</f>
        <v>-7.7247000000000003</v>
      </c>
      <c r="R254" s="16">
        <f>_xlfn.XLOOKUP(B254,DataSet!$N$2:$N$600,DataSet!$AB$2:$AB$600,0)</f>
        <v>1853.9279999999999</v>
      </c>
      <c r="S254" s="9">
        <f>_xlfn.XLOOKUP(B254,DataSet!$N$2:$N$600,DataSet!$AC$2:$AC$600,0)</f>
        <v>1483.1424</v>
      </c>
    </row>
    <row r="255" spans="1:19" s="12" customFormat="1" x14ac:dyDescent="0.3">
      <c r="A255" s="27">
        <v>253</v>
      </c>
      <c r="B255" s="10" t="s">
        <v>954</v>
      </c>
      <c r="C255" s="10" t="str">
        <f>_xlfn.XLOOKUP(B255,DataSet!$N$2:$N$600,DataSet!$AF$2:$AF$600,0)</f>
        <v>146941</v>
      </c>
      <c r="D255" s="10" t="str">
        <f>_xlfn.XLOOKUP(B255,DataSet!$N$2:$N$600,DataSet!$G$2:$G$600,0)</f>
        <v>Delfina Latchford</v>
      </c>
      <c r="E255" s="10" t="str">
        <f>_xlfn.XLOOKUP(B255,DataSet!$N$2:$N$600,DataSet!$F$2:$F$600,0)</f>
        <v>DL-13315</v>
      </c>
      <c r="F255" s="10" t="str">
        <f>_xlfn.XLOOKUP(B255,DataSet!$N$2:$N$600,DataSet!$W$2:$W$600,0)</f>
        <v>Consumer</v>
      </c>
      <c r="G255" s="13">
        <f>_xlfn.XLOOKUP(B255,DataSet!$N$2:$N$600,DataSet!$C$2:$C$600,0)</f>
        <v>42714</v>
      </c>
      <c r="H255" s="10" t="str">
        <f>_xlfn.XLOOKUP(B255,DataSet!$N$2:$N$600,DataSet!$I$2:$I$600,0)</f>
        <v>United States</v>
      </c>
      <c r="I255" s="10" t="str">
        <f>_xlfn.XLOOKUP(B255,DataSet!$N$2:$N$600,DataSet!$X$2:$X$600,0)</f>
        <v>New York City - New York</v>
      </c>
      <c r="J255" s="10" t="str">
        <f>_xlfn.XLOOKUP(B255,DataSet!$N$2:$N$600,DataSet!$M$2:$M$600,0)</f>
        <v>East</v>
      </c>
      <c r="K255" s="10" t="str">
        <f>_xlfn.XLOOKUP(B255,DataSet!$N$2:$N$600,DataSet!$O$2:$O$600,0)</f>
        <v>Office Supplies</v>
      </c>
      <c r="L255" s="10" t="str">
        <f>_xlfn.XLOOKUP(B255,DataSet!$N$2:$N$600,DataSet!$Y$2:$Y$600,0)</f>
        <v>Storage</v>
      </c>
      <c r="M255" s="10" t="str">
        <f>_xlfn.XLOOKUP(B255,DataSet!$N$2:$N$600,DataSet!$Q$2:$Q$600,0)</f>
        <v>Fellowes Personal Hanging Folder Files, Navy</v>
      </c>
      <c r="N255" s="16">
        <f>_xlfn.XLOOKUP(B255,DataSet!$N$2:$N$600,DataSet!$AA$2:$AA$600,0)</f>
        <v>80.58</v>
      </c>
      <c r="O255" s="10">
        <f>_xlfn.XLOOKUP(B255,DataSet!$N$2:$N$600,DataSet!$S$2:$S$600,0)</f>
        <v>6</v>
      </c>
      <c r="P255" s="15">
        <f>_xlfn.XLOOKUP(B255,DataSet!$N$2:$N$600,DataSet!$T$2:$T$600,0)</f>
        <v>0</v>
      </c>
      <c r="Q255" s="14">
        <f>_xlfn.XLOOKUP(B255,DataSet!$N$2:$N$600,DataSet!$U$2:$U$600,0)</f>
        <v>22.5624</v>
      </c>
      <c r="R255" s="16">
        <f>_xlfn.XLOOKUP(B255,DataSet!$N$2:$N$600,DataSet!$AB$2:$AB$600,0)</f>
        <v>483.48</v>
      </c>
      <c r="S255" s="9">
        <f>_xlfn.XLOOKUP(B255,DataSet!$N$2:$N$600,DataSet!$AC$2:$AC$600,0)</f>
        <v>483.48</v>
      </c>
    </row>
    <row r="256" spans="1:19" s="12" customFormat="1" x14ac:dyDescent="0.3">
      <c r="A256" s="27">
        <v>254</v>
      </c>
      <c r="B256" s="10" t="s">
        <v>956</v>
      </c>
      <c r="C256" s="10" t="str">
        <f>_xlfn.XLOOKUP(B256,DataSet!$N$2:$N$600,DataSet!$AF$2:$AF$600,0)</f>
        <v>146941</v>
      </c>
      <c r="D256" s="10" t="str">
        <f>_xlfn.XLOOKUP(B256,DataSet!$N$2:$N$600,DataSet!$G$2:$G$600,0)</f>
        <v>Delfina Latchford</v>
      </c>
      <c r="E256" s="10" t="str">
        <f>_xlfn.XLOOKUP(B256,DataSet!$N$2:$N$600,DataSet!$F$2:$F$600,0)</f>
        <v>DL-13315</v>
      </c>
      <c r="F256" s="10" t="str">
        <f>_xlfn.XLOOKUP(B256,DataSet!$N$2:$N$600,DataSet!$W$2:$W$600,0)</f>
        <v>Consumer</v>
      </c>
      <c r="G256" s="13">
        <f>_xlfn.XLOOKUP(B256,DataSet!$N$2:$N$600,DataSet!$C$2:$C$600,0)</f>
        <v>42714</v>
      </c>
      <c r="H256" s="10" t="str">
        <f>_xlfn.XLOOKUP(B256,DataSet!$N$2:$N$600,DataSet!$I$2:$I$600,0)</f>
        <v>United States</v>
      </c>
      <c r="I256" s="10" t="str">
        <f>_xlfn.XLOOKUP(B256,DataSet!$N$2:$N$600,DataSet!$X$2:$X$600,0)</f>
        <v>New York City - New York</v>
      </c>
      <c r="J256" s="10" t="str">
        <f>_xlfn.XLOOKUP(B256,DataSet!$N$2:$N$600,DataSet!$M$2:$M$600,0)</f>
        <v>East</v>
      </c>
      <c r="K256" s="10" t="str">
        <f>_xlfn.XLOOKUP(B256,DataSet!$N$2:$N$600,DataSet!$O$2:$O$600,0)</f>
        <v>Office Supplies</v>
      </c>
      <c r="L256" s="10" t="str">
        <f>_xlfn.XLOOKUP(B256,DataSet!$N$2:$N$600,DataSet!$Y$2:$Y$600,0)</f>
        <v>Envelopes</v>
      </c>
      <c r="M256" s="10" t="str">
        <f>_xlfn.XLOOKUP(B256,DataSet!$N$2:$N$600,DataSet!$Q$2:$Q$600,0)</f>
        <v>Tyvek Side-Opening Peel &amp; Seel Expanding Envelopes</v>
      </c>
      <c r="N256" s="16">
        <f>_xlfn.XLOOKUP(B256,DataSet!$N$2:$N$600,DataSet!$AA$2:$AA$600,0)</f>
        <v>361.92</v>
      </c>
      <c r="O256" s="10">
        <f>_xlfn.XLOOKUP(B256,DataSet!$N$2:$N$600,DataSet!$S$2:$S$600,0)</f>
        <v>4</v>
      </c>
      <c r="P256" s="15">
        <f>_xlfn.XLOOKUP(B256,DataSet!$N$2:$N$600,DataSet!$T$2:$T$600,0)</f>
        <v>0</v>
      </c>
      <c r="Q256" s="14">
        <f>_xlfn.XLOOKUP(B256,DataSet!$N$2:$N$600,DataSet!$U$2:$U$600,0)</f>
        <v>162.864</v>
      </c>
      <c r="R256" s="16">
        <f>_xlfn.XLOOKUP(B256,DataSet!$N$2:$N$600,DataSet!$AB$2:$AB$600,0)</f>
        <v>1447.68</v>
      </c>
      <c r="S256" s="9">
        <f>_xlfn.XLOOKUP(B256,DataSet!$N$2:$N$600,DataSet!$AC$2:$AC$600,0)</f>
        <v>1447.68</v>
      </c>
    </row>
    <row r="257" spans="1:19" s="12" customFormat="1" x14ac:dyDescent="0.3">
      <c r="A257" s="27">
        <v>255</v>
      </c>
      <c r="B257" s="10" t="s">
        <v>928</v>
      </c>
      <c r="C257" s="10" t="str">
        <f>_xlfn.XLOOKUP(B257,DataSet!$N$2:$N$600,DataSet!$AF$2:$AF$600,0)</f>
        <v>157749</v>
      </c>
      <c r="D257" s="10" t="str">
        <f>_xlfn.XLOOKUP(B257,DataSet!$N$2:$N$600,DataSet!$G$2:$G$600,0)</f>
        <v>Ken Lonsdale</v>
      </c>
      <c r="E257" s="10" t="str">
        <f>_xlfn.XLOOKUP(B257,DataSet!$N$2:$N$600,DataSet!$F$2:$F$600,0)</f>
        <v>KL-16645</v>
      </c>
      <c r="F257" s="10" t="str">
        <f>_xlfn.XLOOKUP(B257,DataSet!$N$2:$N$600,DataSet!$W$2:$W$600,0)</f>
        <v>Consumer</v>
      </c>
      <c r="G257" s="13">
        <f>_xlfn.XLOOKUP(B257,DataSet!$N$2:$N$600,DataSet!$C$2:$C$600,0)</f>
        <v>42525</v>
      </c>
      <c r="H257" s="10" t="str">
        <f>_xlfn.XLOOKUP(B257,DataSet!$N$2:$N$600,DataSet!$I$2:$I$600,0)</f>
        <v>United States</v>
      </c>
      <c r="I257" s="10" t="str">
        <f>_xlfn.XLOOKUP(B257,DataSet!$N$2:$N$600,DataSet!$X$2:$X$600,0)</f>
        <v>Chicago - Illinois</v>
      </c>
      <c r="J257" s="10" t="str">
        <f>_xlfn.XLOOKUP(B257,DataSet!$N$2:$N$600,DataSet!$M$2:$M$600,0)</f>
        <v>Central</v>
      </c>
      <c r="K257" s="10" t="str">
        <f>_xlfn.XLOOKUP(B257,DataSet!$N$2:$N$600,DataSet!$O$2:$O$600,0)</f>
        <v>Furniture</v>
      </c>
      <c r="L257" s="10" t="str">
        <f>_xlfn.XLOOKUP(B257,DataSet!$N$2:$N$600,DataSet!$Y$2:$Y$600,0)</f>
        <v>Furnishings</v>
      </c>
      <c r="M257" s="10" t="str">
        <f>_xlfn.XLOOKUP(B257,DataSet!$N$2:$N$600,DataSet!$Q$2:$Q$600,0)</f>
        <v>Eldon 100 Class Desk Accessories</v>
      </c>
      <c r="N257" s="16">
        <f>_xlfn.XLOOKUP(B257,DataSet!$N$2:$N$600,DataSet!$AA$2:$AA$600,0)</f>
        <v>4.0439999999999996</v>
      </c>
      <c r="O257" s="10">
        <f>_xlfn.XLOOKUP(B257,DataSet!$N$2:$N$600,DataSet!$S$2:$S$600,0)</f>
        <v>3</v>
      </c>
      <c r="P257" s="15">
        <f>_xlfn.XLOOKUP(B257,DataSet!$N$2:$N$600,DataSet!$T$2:$T$600,0)</f>
        <v>0.6</v>
      </c>
      <c r="Q257" s="14">
        <f>_xlfn.XLOOKUP(B257,DataSet!$N$2:$N$600,DataSet!$U$2:$U$600,0)</f>
        <v>-2.8308</v>
      </c>
      <c r="R257" s="16">
        <f>_xlfn.XLOOKUP(B257,DataSet!$N$2:$N$600,DataSet!$AB$2:$AB$600,0)</f>
        <v>12.131999999999998</v>
      </c>
      <c r="S257" s="9">
        <f>_xlfn.XLOOKUP(B257,DataSet!$N$2:$N$600,DataSet!$AC$2:$AC$600,0)</f>
        <v>4.8527999999999993</v>
      </c>
    </row>
    <row r="258" spans="1:19" s="12" customFormat="1" x14ac:dyDescent="0.3">
      <c r="A258" s="27">
        <v>256</v>
      </c>
      <c r="B258" s="10" t="s">
        <v>961</v>
      </c>
      <c r="C258" s="10" t="str">
        <f>_xlfn.XLOOKUP(B258,DataSet!$N$2:$N$600,DataSet!$AF$2:$AF$600,0)</f>
        <v>159982</v>
      </c>
      <c r="D258" s="10" t="str">
        <f>_xlfn.XLOOKUP(B258,DataSet!$N$2:$N$600,DataSet!$G$2:$G$600,0)</f>
        <v>Dan Reichenbach</v>
      </c>
      <c r="E258" s="10" t="str">
        <f>_xlfn.XLOOKUP(B258,DataSet!$N$2:$N$600,DataSet!$F$2:$F$600,0)</f>
        <v>DR-12880</v>
      </c>
      <c r="F258" s="10" t="str">
        <f>_xlfn.XLOOKUP(B258,DataSet!$N$2:$N$600,DataSet!$W$2:$W$600,0)</f>
        <v>Corporate</v>
      </c>
      <c r="G258" s="13">
        <f>_xlfn.XLOOKUP(B258,DataSet!$N$2:$N$600,DataSet!$C$2:$C$600,0)</f>
        <v>42336</v>
      </c>
      <c r="H258" s="10" t="str">
        <f>_xlfn.XLOOKUP(B258,DataSet!$N$2:$N$600,DataSet!$I$2:$I$600,0)</f>
        <v>United States</v>
      </c>
      <c r="I258" s="10" t="str">
        <f>_xlfn.XLOOKUP(B258,DataSet!$N$2:$N$600,DataSet!$X$2:$X$600,0)</f>
        <v>Chicago - Illinois</v>
      </c>
      <c r="J258" s="10" t="str">
        <f>_xlfn.XLOOKUP(B258,DataSet!$N$2:$N$600,DataSet!$M$2:$M$600,0)</f>
        <v>Central</v>
      </c>
      <c r="K258" s="10" t="str">
        <f>_xlfn.XLOOKUP(B258,DataSet!$N$2:$N$600,DataSet!$O$2:$O$600,0)</f>
        <v>Office Supplies</v>
      </c>
      <c r="L258" s="10" t="str">
        <f>_xlfn.XLOOKUP(B258,DataSet!$N$2:$N$600,DataSet!$Y$2:$Y$600,0)</f>
        <v>Storage</v>
      </c>
      <c r="M258" s="10" t="str">
        <f>_xlfn.XLOOKUP(B258,DataSet!$N$2:$N$600,DataSet!$Q$2:$Q$600,0)</f>
        <v>Belkin 19" Vented Equipment Shelf, Black</v>
      </c>
      <c r="N258" s="16">
        <f>_xlfn.XLOOKUP(B258,DataSet!$N$2:$N$600,DataSet!$AA$2:$AA$600,0)</f>
        <v>82.367999999999995</v>
      </c>
      <c r="O258" s="10">
        <f>_xlfn.XLOOKUP(B258,DataSet!$N$2:$N$600,DataSet!$S$2:$S$600,0)</f>
        <v>2</v>
      </c>
      <c r="P258" s="15">
        <f>_xlfn.XLOOKUP(B258,DataSet!$N$2:$N$600,DataSet!$T$2:$T$600,0)</f>
        <v>0.2</v>
      </c>
      <c r="Q258" s="14">
        <f>_xlfn.XLOOKUP(B258,DataSet!$N$2:$N$600,DataSet!$U$2:$U$600,0)</f>
        <v>-19.5624</v>
      </c>
      <c r="R258" s="16">
        <f>_xlfn.XLOOKUP(B258,DataSet!$N$2:$N$600,DataSet!$AB$2:$AB$600,0)</f>
        <v>164.73599999999999</v>
      </c>
      <c r="S258" s="9">
        <f>_xlfn.XLOOKUP(B258,DataSet!$N$2:$N$600,DataSet!$AC$2:$AC$600,0)</f>
        <v>131.78880000000001</v>
      </c>
    </row>
    <row r="259" spans="1:19" s="12" customFormat="1" x14ac:dyDescent="0.3">
      <c r="A259" s="27">
        <v>257</v>
      </c>
      <c r="B259" s="10" t="s">
        <v>634</v>
      </c>
      <c r="C259" s="10" t="str">
        <f>_xlfn.XLOOKUP(B259,DataSet!$N$2:$N$600,DataSet!$AF$2:$AF$600,0)</f>
        <v>124919</v>
      </c>
      <c r="D259" s="10" t="str">
        <f>_xlfn.XLOOKUP(B259,DataSet!$N$2:$N$600,DataSet!$G$2:$G$600,0)</f>
        <v>Stephanie Phelps</v>
      </c>
      <c r="E259" s="10" t="str">
        <f>_xlfn.XLOOKUP(B259,DataSet!$N$2:$N$600,DataSet!$F$2:$F$600,0)</f>
        <v>SP-20650</v>
      </c>
      <c r="F259" s="10" t="str">
        <f>_xlfn.XLOOKUP(B259,DataSet!$N$2:$N$600,DataSet!$W$2:$W$600,0)</f>
        <v>Corporate</v>
      </c>
      <c r="G259" s="13">
        <f>_xlfn.XLOOKUP(B259,DataSet!$N$2:$N$600,DataSet!$C$2:$C$600,0)</f>
        <v>42155</v>
      </c>
      <c r="H259" s="10" t="str">
        <f>_xlfn.XLOOKUP(B259,DataSet!$N$2:$N$600,DataSet!$I$2:$I$600,0)</f>
        <v>United States</v>
      </c>
      <c r="I259" s="10" t="str">
        <f>_xlfn.XLOOKUP(B259,DataSet!$N$2:$N$600,DataSet!$X$2:$X$600,0)</f>
        <v>San Jose - California</v>
      </c>
      <c r="J259" s="10" t="str">
        <f>_xlfn.XLOOKUP(B259,DataSet!$N$2:$N$600,DataSet!$M$2:$M$600,0)</f>
        <v>West</v>
      </c>
      <c r="K259" s="10" t="str">
        <f>_xlfn.XLOOKUP(B259,DataSet!$N$2:$N$600,DataSet!$O$2:$O$600,0)</f>
        <v>Office Supplies</v>
      </c>
      <c r="L259" s="10" t="str">
        <f>_xlfn.XLOOKUP(B259,DataSet!$N$2:$N$600,DataSet!$Y$2:$Y$600,0)</f>
        <v>Storage</v>
      </c>
      <c r="M259" s="10" t="str">
        <f>_xlfn.XLOOKUP(B259,DataSet!$N$2:$N$600,DataSet!$Q$2:$Q$600,0)</f>
        <v>Tenex Personal Project File with Scoop Front Design, Black</v>
      </c>
      <c r="N259" s="16">
        <f>_xlfn.XLOOKUP(B259,DataSet!$N$2:$N$600,DataSet!$AA$2:$AA$600,0)</f>
        <v>80.88</v>
      </c>
      <c r="O259" s="10">
        <f>_xlfn.XLOOKUP(B259,DataSet!$N$2:$N$600,DataSet!$S$2:$S$600,0)</f>
        <v>6</v>
      </c>
      <c r="P259" s="15">
        <f>_xlfn.XLOOKUP(B259,DataSet!$N$2:$N$600,DataSet!$T$2:$T$600,0)</f>
        <v>0</v>
      </c>
      <c r="Q259" s="14">
        <f>_xlfn.XLOOKUP(B259,DataSet!$N$2:$N$600,DataSet!$U$2:$U$600,0)</f>
        <v>21.0288</v>
      </c>
      <c r="R259" s="16">
        <f>_xlfn.XLOOKUP(B259,DataSet!$N$2:$N$600,DataSet!$AB$2:$AB$600,0)</f>
        <v>485.28</v>
      </c>
      <c r="S259" s="9">
        <f>_xlfn.XLOOKUP(B259,DataSet!$N$2:$N$600,DataSet!$AC$2:$AC$600,0)</f>
        <v>485.28</v>
      </c>
    </row>
    <row r="260" spans="1:19" s="12" customFormat="1" x14ac:dyDescent="0.3">
      <c r="A260" s="27">
        <v>258</v>
      </c>
      <c r="B260" s="10" t="s">
        <v>963</v>
      </c>
      <c r="C260" s="10" t="str">
        <f>_xlfn.XLOOKUP(B260,DataSet!$N$2:$N$600,DataSet!$AF$2:$AF$600,0)</f>
        <v>159982</v>
      </c>
      <c r="D260" s="10" t="str">
        <f>_xlfn.XLOOKUP(B260,DataSet!$N$2:$N$600,DataSet!$G$2:$G$600,0)</f>
        <v>Dan Reichenbach</v>
      </c>
      <c r="E260" s="10" t="str">
        <f>_xlfn.XLOOKUP(B260,DataSet!$N$2:$N$600,DataSet!$F$2:$F$600,0)</f>
        <v>DR-12880</v>
      </c>
      <c r="F260" s="10" t="str">
        <f>_xlfn.XLOOKUP(B260,DataSet!$N$2:$N$600,DataSet!$W$2:$W$600,0)</f>
        <v>Corporate</v>
      </c>
      <c r="G260" s="13">
        <f>_xlfn.XLOOKUP(B260,DataSet!$N$2:$N$600,DataSet!$C$2:$C$600,0)</f>
        <v>42336</v>
      </c>
      <c r="H260" s="10" t="str">
        <f>_xlfn.XLOOKUP(B260,DataSet!$N$2:$N$600,DataSet!$I$2:$I$600,0)</f>
        <v>United States</v>
      </c>
      <c r="I260" s="10" t="str">
        <f>_xlfn.XLOOKUP(B260,DataSet!$N$2:$N$600,DataSet!$X$2:$X$600,0)</f>
        <v>Chicago - Illinois</v>
      </c>
      <c r="J260" s="10" t="str">
        <f>_xlfn.XLOOKUP(B260,DataSet!$N$2:$N$600,DataSet!$M$2:$M$600,0)</f>
        <v>Central</v>
      </c>
      <c r="K260" s="10" t="str">
        <f>_xlfn.XLOOKUP(B260,DataSet!$N$2:$N$600,DataSet!$O$2:$O$600,0)</f>
        <v>Technology</v>
      </c>
      <c r="L260" s="10" t="str">
        <f>_xlfn.XLOOKUP(B260,DataSet!$N$2:$N$600,DataSet!$Y$2:$Y$600,0)</f>
        <v>Phones</v>
      </c>
      <c r="M260" s="10" t="str">
        <f>_xlfn.XLOOKUP(B260,DataSet!$N$2:$N$600,DataSet!$Q$2:$Q$600,0)</f>
        <v>Logitech Mobile Speakerphone P710e - speaker phone</v>
      </c>
      <c r="N260" s="16">
        <f>_xlfn.XLOOKUP(B260,DataSet!$N$2:$N$600,DataSet!$AA$2:$AA$600,0)</f>
        <v>647.904</v>
      </c>
      <c r="O260" s="10">
        <f>_xlfn.XLOOKUP(B260,DataSet!$N$2:$N$600,DataSet!$S$2:$S$600,0)</f>
        <v>6</v>
      </c>
      <c r="P260" s="15">
        <f>_xlfn.XLOOKUP(B260,DataSet!$N$2:$N$600,DataSet!$T$2:$T$600,0)</f>
        <v>0.2</v>
      </c>
      <c r="Q260" s="14">
        <f>_xlfn.XLOOKUP(B260,DataSet!$N$2:$N$600,DataSet!$U$2:$U$600,0)</f>
        <v>56.691600000000001</v>
      </c>
      <c r="R260" s="16">
        <f>_xlfn.XLOOKUP(B260,DataSet!$N$2:$N$600,DataSet!$AB$2:$AB$600,0)</f>
        <v>3887.424</v>
      </c>
      <c r="S260" s="9">
        <f>_xlfn.XLOOKUP(B260,DataSet!$N$2:$N$600,DataSet!$AC$2:$AC$600,0)</f>
        <v>3109.9392000000003</v>
      </c>
    </row>
    <row r="261" spans="1:19" s="12" customFormat="1" x14ac:dyDescent="0.3">
      <c r="A261" s="27">
        <v>259</v>
      </c>
      <c r="B261" s="10" t="s">
        <v>968</v>
      </c>
      <c r="C261" s="10" t="str">
        <f>_xlfn.XLOOKUP(B261,DataSet!$N$2:$N$600,DataSet!$AF$2:$AF$600,0)</f>
        <v>163139</v>
      </c>
      <c r="D261" s="10" t="str">
        <f>_xlfn.XLOOKUP(B261,DataSet!$N$2:$N$600,DataSet!$G$2:$G$600,0)</f>
        <v>Craig Carreira</v>
      </c>
      <c r="E261" s="10" t="str">
        <f>_xlfn.XLOOKUP(B261,DataSet!$N$2:$N$600,DataSet!$F$2:$F$600,0)</f>
        <v>CC-12670</v>
      </c>
      <c r="F261" s="10" t="str">
        <f>_xlfn.XLOOKUP(B261,DataSet!$N$2:$N$600,DataSet!$W$2:$W$600,0)</f>
        <v>Consumer</v>
      </c>
      <c r="G261" s="13">
        <f>_xlfn.XLOOKUP(B261,DataSet!$N$2:$N$600,DataSet!$C$2:$C$600,0)</f>
        <v>43070</v>
      </c>
      <c r="H261" s="10" t="str">
        <f>_xlfn.XLOOKUP(B261,DataSet!$N$2:$N$600,DataSet!$I$2:$I$600,0)</f>
        <v>United States</v>
      </c>
      <c r="I261" s="10" t="str">
        <f>_xlfn.XLOOKUP(B261,DataSet!$N$2:$N$600,DataSet!$X$2:$X$600,0)</f>
        <v>New York City - New York</v>
      </c>
      <c r="J261" s="10" t="str">
        <f>_xlfn.XLOOKUP(B261,DataSet!$N$2:$N$600,DataSet!$M$2:$M$600,0)</f>
        <v>East</v>
      </c>
      <c r="K261" s="10" t="str">
        <f>_xlfn.XLOOKUP(B261,DataSet!$N$2:$N$600,DataSet!$O$2:$O$600,0)</f>
        <v>Technology</v>
      </c>
      <c r="L261" s="10" t="str">
        <f>_xlfn.XLOOKUP(B261,DataSet!$N$2:$N$600,DataSet!$Y$2:$Y$600,0)</f>
        <v>Accessories</v>
      </c>
      <c r="M261" s="10" t="str">
        <f>_xlfn.XLOOKUP(B261,DataSet!$N$2:$N$600,DataSet!$Q$2:$Q$600,0)</f>
        <v>Sabrent 4-Port USB 2.0 Hub</v>
      </c>
      <c r="N261" s="16">
        <f>_xlfn.XLOOKUP(B261,DataSet!$N$2:$N$600,DataSet!$AA$2:$AA$600,0)</f>
        <v>20.37</v>
      </c>
      <c r="O261" s="10">
        <f>_xlfn.XLOOKUP(B261,DataSet!$N$2:$N$600,DataSet!$S$2:$S$600,0)</f>
        <v>3</v>
      </c>
      <c r="P261" s="15">
        <f>_xlfn.XLOOKUP(B261,DataSet!$N$2:$N$600,DataSet!$T$2:$T$600,0)</f>
        <v>0</v>
      </c>
      <c r="Q261" s="14">
        <f>_xlfn.XLOOKUP(B261,DataSet!$N$2:$N$600,DataSet!$U$2:$U$600,0)</f>
        <v>6.9257999999999997</v>
      </c>
      <c r="R261" s="16">
        <f>_xlfn.XLOOKUP(B261,DataSet!$N$2:$N$600,DataSet!$AB$2:$AB$600,0)</f>
        <v>61.11</v>
      </c>
      <c r="S261" s="9">
        <f>_xlfn.XLOOKUP(B261,DataSet!$N$2:$N$600,DataSet!$AC$2:$AC$600,0)</f>
        <v>61.11</v>
      </c>
    </row>
    <row r="262" spans="1:19" s="12" customFormat="1" x14ac:dyDescent="0.3">
      <c r="A262" s="27">
        <v>260</v>
      </c>
      <c r="B262" s="10" t="s">
        <v>970</v>
      </c>
      <c r="C262" s="10" t="str">
        <f>_xlfn.XLOOKUP(B262,DataSet!$N$2:$N$600,DataSet!$AF$2:$AF$600,0)</f>
        <v>163139</v>
      </c>
      <c r="D262" s="10" t="str">
        <f>_xlfn.XLOOKUP(B262,DataSet!$N$2:$N$600,DataSet!$G$2:$G$600,0)</f>
        <v>Craig Carreira</v>
      </c>
      <c r="E262" s="10" t="str">
        <f>_xlfn.XLOOKUP(B262,DataSet!$N$2:$N$600,DataSet!$F$2:$F$600,0)</f>
        <v>CC-12670</v>
      </c>
      <c r="F262" s="10" t="str">
        <f>_xlfn.XLOOKUP(B262,DataSet!$N$2:$N$600,DataSet!$W$2:$W$600,0)</f>
        <v>Consumer</v>
      </c>
      <c r="G262" s="13">
        <f>_xlfn.XLOOKUP(B262,DataSet!$N$2:$N$600,DataSet!$C$2:$C$600,0)</f>
        <v>43070</v>
      </c>
      <c r="H262" s="10" t="str">
        <f>_xlfn.XLOOKUP(B262,DataSet!$N$2:$N$600,DataSet!$I$2:$I$600,0)</f>
        <v>United States</v>
      </c>
      <c r="I262" s="10" t="str">
        <f>_xlfn.XLOOKUP(B262,DataSet!$N$2:$N$600,DataSet!$X$2:$X$600,0)</f>
        <v>New York City - New York</v>
      </c>
      <c r="J262" s="10" t="str">
        <f>_xlfn.XLOOKUP(B262,DataSet!$N$2:$N$600,DataSet!$M$2:$M$600,0)</f>
        <v>East</v>
      </c>
      <c r="K262" s="10" t="str">
        <f>_xlfn.XLOOKUP(B262,DataSet!$N$2:$N$600,DataSet!$O$2:$O$600,0)</f>
        <v>Office Supplies</v>
      </c>
      <c r="L262" s="10" t="str">
        <f>_xlfn.XLOOKUP(B262,DataSet!$N$2:$N$600,DataSet!$Y$2:$Y$600,0)</f>
        <v>Storage</v>
      </c>
      <c r="M262" s="10" t="str">
        <f>_xlfn.XLOOKUP(B262,DataSet!$N$2:$N$600,DataSet!$Q$2:$Q$600,0)</f>
        <v>Safco Industrial Shelving</v>
      </c>
      <c r="N262" s="16">
        <f>_xlfn.XLOOKUP(B262,DataSet!$N$2:$N$600,DataSet!$AA$2:$AA$600,0)</f>
        <v>221.55</v>
      </c>
      <c r="O262" s="10">
        <f>_xlfn.XLOOKUP(B262,DataSet!$N$2:$N$600,DataSet!$S$2:$S$600,0)</f>
        <v>3</v>
      </c>
      <c r="P262" s="15">
        <f>_xlfn.XLOOKUP(B262,DataSet!$N$2:$N$600,DataSet!$T$2:$T$600,0)</f>
        <v>0</v>
      </c>
      <c r="Q262" s="14">
        <f>_xlfn.XLOOKUP(B262,DataSet!$N$2:$N$600,DataSet!$U$2:$U$600,0)</f>
        <v>6.6464999999999996</v>
      </c>
      <c r="R262" s="16">
        <f>_xlfn.XLOOKUP(B262,DataSet!$N$2:$N$600,DataSet!$AB$2:$AB$600,0)</f>
        <v>664.65000000000009</v>
      </c>
      <c r="S262" s="9">
        <f>_xlfn.XLOOKUP(B262,DataSet!$N$2:$N$600,DataSet!$AC$2:$AC$600,0)</f>
        <v>664.65000000000009</v>
      </c>
    </row>
    <row r="263" spans="1:19" s="12" customFormat="1" x14ac:dyDescent="0.3">
      <c r="A263" s="27">
        <v>261</v>
      </c>
      <c r="B263" s="10" t="s">
        <v>972</v>
      </c>
      <c r="C263" s="10" t="str">
        <f>_xlfn.XLOOKUP(B263,DataSet!$N$2:$N$600,DataSet!$AF$2:$AF$600,0)</f>
        <v>163139</v>
      </c>
      <c r="D263" s="10" t="str">
        <f>_xlfn.XLOOKUP(B263,DataSet!$N$2:$N$600,DataSet!$G$2:$G$600,0)</f>
        <v>Craig Carreira</v>
      </c>
      <c r="E263" s="10" t="str">
        <f>_xlfn.XLOOKUP(B263,DataSet!$N$2:$N$600,DataSet!$F$2:$F$600,0)</f>
        <v>CC-12670</v>
      </c>
      <c r="F263" s="10" t="str">
        <f>_xlfn.XLOOKUP(B263,DataSet!$N$2:$N$600,DataSet!$W$2:$W$600,0)</f>
        <v>Consumer</v>
      </c>
      <c r="G263" s="13">
        <f>_xlfn.XLOOKUP(B263,DataSet!$N$2:$N$600,DataSet!$C$2:$C$600,0)</f>
        <v>43070</v>
      </c>
      <c r="H263" s="10" t="str">
        <f>_xlfn.XLOOKUP(B263,DataSet!$N$2:$N$600,DataSet!$I$2:$I$600,0)</f>
        <v>United States</v>
      </c>
      <c r="I263" s="10" t="str">
        <f>_xlfn.XLOOKUP(B263,DataSet!$N$2:$N$600,DataSet!$X$2:$X$600,0)</f>
        <v>New York City - New York</v>
      </c>
      <c r="J263" s="10" t="str">
        <f>_xlfn.XLOOKUP(B263,DataSet!$N$2:$N$600,DataSet!$M$2:$M$600,0)</f>
        <v>East</v>
      </c>
      <c r="K263" s="10" t="str">
        <f>_xlfn.XLOOKUP(B263,DataSet!$N$2:$N$600,DataSet!$O$2:$O$600,0)</f>
        <v>Office Supplies</v>
      </c>
      <c r="L263" s="10" t="str">
        <f>_xlfn.XLOOKUP(B263,DataSet!$N$2:$N$600,DataSet!$Y$2:$Y$600,0)</f>
        <v>Binders</v>
      </c>
      <c r="M263" s="10" t="str">
        <f>_xlfn.XLOOKUP(B263,DataSet!$N$2:$N$600,DataSet!$Q$2:$Q$600,0)</f>
        <v>Acco 3-Hole Punch</v>
      </c>
      <c r="N263" s="16">
        <f>_xlfn.XLOOKUP(B263,DataSet!$N$2:$N$600,DataSet!$AA$2:$AA$600,0)</f>
        <v>17.52</v>
      </c>
      <c r="O263" s="10">
        <f>_xlfn.XLOOKUP(B263,DataSet!$N$2:$N$600,DataSet!$S$2:$S$600,0)</f>
        <v>5</v>
      </c>
      <c r="P263" s="15">
        <f>_xlfn.XLOOKUP(B263,DataSet!$N$2:$N$600,DataSet!$T$2:$T$600,0)</f>
        <v>0.2</v>
      </c>
      <c r="Q263" s="14">
        <f>_xlfn.XLOOKUP(B263,DataSet!$N$2:$N$600,DataSet!$U$2:$U$600,0)</f>
        <v>6.1319999999999997</v>
      </c>
      <c r="R263" s="16">
        <f>_xlfn.XLOOKUP(B263,DataSet!$N$2:$N$600,DataSet!$AB$2:$AB$600,0)</f>
        <v>87.6</v>
      </c>
      <c r="S263" s="9">
        <f>_xlfn.XLOOKUP(B263,DataSet!$N$2:$N$600,DataSet!$AC$2:$AC$600,0)</f>
        <v>70.08</v>
      </c>
    </row>
    <row r="264" spans="1:19" s="12" customFormat="1" x14ac:dyDescent="0.3">
      <c r="A264" s="27">
        <v>262</v>
      </c>
      <c r="B264" s="10" t="s">
        <v>977</v>
      </c>
      <c r="C264" s="10" t="str">
        <f>_xlfn.XLOOKUP(B264,DataSet!$N$2:$N$600,DataSet!$AF$2:$AF$600,0)</f>
        <v>155299</v>
      </c>
      <c r="D264" s="10" t="str">
        <f>_xlfn.XLOOKUP(B264,DataSet!$N$2:$N$600,DataSet!$G$2:$G$600,0)</f>
        <v>Dorris liebe</v>
      </c>
      <c r="E264" s="10" t="str">
        <f>_xlfn.XLOOKUP(B264,DataSet!$N$2:$N$600,DataSet!$F$2:$F$600,0)</f>
        <v>Dl-13600</v>
      </c>
      <c r="F264" s="10" t="str">
        <f>_xlfn.XLOOKUP(B264,DataSet!$N$2:$N$600,DataSet!$W$2:$W$600,0)</f>
        <v>Corporate</v>
      </c>
      <c r="G264" s="13">
        <f>_xlfn.XLOOKUP(B264,DataSet!$N$2:$N$600,DataSet!$C$2:$C$600,0)</f>
        <v>42894</v>
      </c>
      <c r="H264" s="10" t="str">
        <f>_xlfn.XLOOKUP(B264,DataSet!$N$2:$N$600,DataSet!$I$2:$I$600,0)</f>
        <v>United States</v>
      </c>
      <c r="I264" s="10" t="str">
        <f>_xlfn.XLOOKUP(B264,DataSet!$N$2:$N$600,DataSet!$X$2:$X$600,0)</f>
        <v>Pasadena - Texas</v>
      </c>
      <c r="J264" s="10" t="str">
        <f>_xlfn.XLOOKUP(B264,DataSet!$N$2:$N$600,DataSet!$M$2:$M$600,0)</f>
        <v>Central</v>
      </c>
      <c r="K264" s="10" t="str">
        <f>_xlfn.XLOOKUP(B264,DataSet!$N$2:$N$600,DataSet!$O$2:$O$600,0)</f>
        <v>Office Supplies</v>
      </c>
      <c r="L264" s="10" t="str">
        <f>_xlfn.XLOOKUP(B264,DataSet!$N$2:$N$600,DataSet!$Y$2:$Y$600,0)</f>
        <v>Appliances</v>
      </c>
      <c r="M264" s="10" t="str">
        <f>_xlfn.XLOOKUP(B264,DataSet!$N$2:$N$600,DataSet!$Q$2:$Q$600,0)</f>
        <v>Eureka Disposable Bags for Sanitaire Vibra Groomer I Upright Vac</v>
      </c>
      <c r="N264" s="16">
        <f>_xlfn.XLOOKUP(B264,DataSet!$N$2:$N$600,DataSet!$AA$2:$AA$600,0)</f>
        <v>1.6240000000000001</v>
      </c>
      <c r="O264" s="10">
        <f>_xlfn.XLOOKUP(B264,DataSet!$N$2:$N$600,DataSet!$S$2:$S$600,0)</f>
        <v>2</v>
      </c>
      <c r="P264" s="15">
        <f>_xlfn.XLOOKUP(B264,DataSet!$N$2:$N$600,DataSet!$T$2:$T$600,0)</f>
        <v>0.8</v>
      </c>
      <c r="Q264" s="14">
        <f>_xlfn.XLOOKUP(B264,DataSet!$N$2:$N$600,DataSet!$U$2:$U$600,0)</f>
        <v>-4.4660000000000002</v>
      </c>
      <c r="R264" s="16">
        <f>_xlfn.XLOOKUP(B264,DataSet!$N$2:$N$600,DataSet!$AB$2:$AB$600,0)</f>
        <v>3.2480000000000002</v>
      </c>
      <c r="S264" s="9">
        <f>_xlfn.XLOOKUP(B264,DataSet!$N$2:$N$600,DataSet!$AC$2:$AC$600,0)</f>
        <v>0.64959999999999996</v>
      </c>
    </row>
    <row r="265" spans="1:19" s="12" customFormat="1" x14ac:dyDescent="0.3">
      <c r="A265" s="27">
        <v>263</v>
      </c>
      <c r="B265" s="10" t="s">
        <v>681</v>
      </c>
      <c r="C265" s="10" t="str">
        <f>_xlfn.XLOOKUP(B265,DataSet!$N$2:$N$600,DataSet!$AF$2:$AF$600,0)</f>
        <v>139892</v>
      </c>
      <c r="D265" s="10" t="str">
        <f>_xlfn.XLOOKUP(B265,DataSet!$N$2:$N$600,DataSet!$G$2:$G$600,0)</f>
        <v>Becky Martin</v>
      </c>
      <c r="E265" s="10" t="str">
        <f>_xlfn.XLOOKUP(B265,DataSet!$N$2:$N$600,DataSet!$F$2:$F$600,0)</f>
        <v>BM-11140</v>
      </c>
      <c r="F265" s="10" t="str">
        <f>_xlfn.XLOOKUP(B265,DataSet!$N$2:$N$600,DataSet!$W$2:$W$600,0)</f>
        <v>Consumer</v>
      </c>
      <c r="G265" s="13">
        <f>_xlfn.XLOOKUP(B265,DataSet!$N$2:$N$600,DataSet!$C$2:$C$600,0)</f>
        <v>41890</v>
      </c>
      <c r="H265" s="10" t="str">
        <f>_xlfn.XLOOKUP(B265,DataSet!$N$2:$N$600,DataSet!$I$2:$I$600,0)</f>
        <v>United States</v>
      </c>
      <c r="I265" s="10" t="str">
        <f>_xlfn.XLOOKUP(B265,DataSet!$N$2:$N$600,DataSet!$X$2:$X$600,0)</f>
        <v>San Antonio - Texas</v>
      </c>
      <c r="J265" s="10" t="str">
        <f>_xlfn.XLOOKUP(B265,DataSet!$N$2:$N$600,DataSet!$M$2:$M$600,0)</f>
        <v>Central</v>
      </c>
      <c r="K265" s="10" t="str">
        <f>_xlfn.XLOOKUP(B265,DataSet!$N$2:$N$600,DataSet!$O$2:$O$600,0)</f>
        <v>Technology</v>
      </c>
      <c r="L265" s="10" t="str">
        <f>_xlfn.XLOOKUP(B265,DataSet!$N$2:$N$600,DataSet!$Y$2:$Y$600,0)</f>
        <v>Machines</v>
      </c>
      <c r="M265" s="10" t="str">
        <f>_xlfn.XLOOKUP(B265,DataSet!$N$2:$N$600,DataSet!$Q$2:$Q$600,0)</f>
        <v>Lexmark MX611dhe Monochrome Laser Printer</v>
      </c>
      <c r="N265" s="16">
        <f>_xlfn.XLOOKUP(B265,DataSet!$N$2:$N$600,DataSet!$AA$2:$AA$600,0)</f>
        <v>8159.9520000000002</v>
      </c>
      <c r="O265" s="10">
        <f>_xlfn.XLOOKUP(B265,DataSet!$N$2:$N$600,DataSet!$S$2:$S$600,0)</f>
        <v>8</v>
      </c>
      <c r="P265" s="15">
        <f>_xlfn.XLOOKUP(B265,DataSet!$N$2:$N$600,DataSet!$T$2:$T$600,0)</f>
        <v>0.4</v>
      </c>
      <c r="Q265" s="14">
        <f>_xlfn.XLOOKUP(B265,DataSet!$N$2:$N$600,DataSet!$U$2:$U$600,0)</f>
        <v>-1359.992</v>
      </c>
      <c r="R265" s="16">
        <f>_xlfn.XLOOKUP(B265,DataSet!$N$2:$N$600,DataSet!$AB$2:$AB$600,0)</f>
        <v>65279.616000000002</v>
      </c>
      <c r="S265" s="9">
        <f>_xlfn.XLOOKUP(B265,DataSet!$N$2:$N$600,DataSet!$AC$2:$AC$600,0)</f>
        <v>39167.7696</v>
      </c>
    </row>
    <row r="266" spans="1:19" s="12" customFormat="1" x14ac:dyDescent="0.3">
      <c r="A266" s="27">
        <v>264</v>
      </c>
      <c r="B266" s="10" t="s">
        <v>982</v>
      </c>
      <c r="C266" s="10" t="str">
        <f>_xlfn.XLOOKUP(B266,DataSet!$N$2:$N$600,DataSet!$AF$2:$AF$600,0)</f>
        <v>106992</v>
      </c>
      <c r="D266" s="10" t="str">
        <f>_xlfn.XLOOKUP(B266,DataSet!$N$2:$N$600,DataSet!$G$2:$G$600,0)</f>
        <v>Sean Braxton</v>
      </c>
      <c r="E266" s="10" t="str">
        <f>_xlfn.XLOOKUP(B266,DataSet!$N$2:$N$600,DataSet!$F$2:$F$600,0)</f>
        <v>SB-20290</v>
      </c>
      <c r="F266" s="10" t="str">
        <f>_xlfn.XLOOKUP(B266,DataSet!$N$2:$N$600,DataSet!$W$2:$W$600,0)</f>
        <v>Corporate</v>
      </c>
      <c r="G266" s="13">
        <f>_xlfn.XLOOKUP(B266,DataSet!$N$2:$N$600,DataSet!$C$2:$C$600,0)</f>
        <v>41901</v>
      </c>
      <c r="H266" s="10" t="str">
        <f>_xlfn.XLOOKUP(B266,DataSet!$N$2:$N$600,DataSet!$I$2:$I$600,0)</f>
        <v>United States</v>
      </c>
      <c r="I266" s="10" t="str">
        <f>_xlfn.XLOOKUP(B266,DataSet!$N$2:$N$600,DataSet!$X$2:$X$600,0)</f>
        <v>Houston - Texas</v>
      </c>
      <c r="J266" s="10" t="str">
        <f>_xlfn.XLOOKUP(B266,DataSet!$N$2:$N$600,DataSet!$M$2:$M$600,0)</f>
        <v>Central</v>
      </c>
      <c r="K266" s="10" t="str">
        <f>_xlfn.XLOOKUP(B266,DataSet!$N$2:$N$600,DataSet!$O$2:$O$600,0)</f>
        <v>Technology</v>
      </c>
      <c r="L266" s="10" t="str">
        <f>_xlfn.XLOOKUP(B266,DataSet!$N$2:$N$600,DataSet!$Y$2:$Y$600,0)</f>
        <v>Machines</v>
      </c>
      <c r="M266" s="10" t="str">
        <f>_xlfn.XLOOKUP(B266,DataSet!$N$2:$N$600,DataSet!$Q$2:$Q$600,0)</f>
        <v>Xerox WorkCentre 6505DN Laser Multifunction Printer</v>
      </c>
      <c r="N266" s="16">
        <f ca="1">_xlfn.XLOOKUP(B266,DataSet!$N$2:$N$600,DataSet!$AA$2:$AA$600,0)</f>
        <v>2305</v>
      </c>
      <c r="O266" s="10">
        <f>_xlfn.XLOOKUP(B266,DataSet!$N$2:$N$600,DataSet!$S$2:$S$600,0)</f>
        <v>7</v>
      </c>
      <c r="P266" s="15">
        <f>_xlfn.XLOOKUP(B266,DataSet!$N$2:$N$600,DataSet!$T$2:$T$600,0)</f>
        <v>0.4</v>
      </c>
      <c r="Q266" s="14">
        <f>_xlfn.XLOOKUP(B266,DataSet!$N$2:$N$600,DataSet!$U$2:$U$600,0)</f>
        <v>-251.9958</v>
      </c>
      <c r="R266" s="16">
        <f ca="1">_xlfn.XLOOKUP(B266,DataSet!$N$2:$N$600,DataSet!$AB$2:$AB$600,0)</f>
        <v>16135</v>
      </c>
      <c r="S266" s="9">
        <f ca="1">_xlfn.XLOOKUP(B266,DataSet!$N$2:$N$600,DataSet!$AC$2:$AC$600,0)</f>
        <v>9681</v>
      </c>
    </row>
    <row r="267" spans="1:19" s="12" customFormat="1" x14ac:dyDescent="0.3">
      <c r="A267" s="27">
        <v>265</v>
      </c>
      <c r="B267" s="10" t="s">
        <v>987</v>
      </c>
      <c r="C267" s="10" t="str">
        <f>_xlfn.XLOOKUP(B267,DataSet!$N$2:$N$600,DataSet!$AF$2:$AF$600,0)</f>
        <v>125318</v>
      </c>
      <c r="D267" s="10" t="str">
        <f>_xlfn.XLOOKUP(B267,DataSet!$N$2:$N$600,DataSet!$G$2:$G$600,0)</f>
        <v>Roy Collins</v>
      </c>
      <c r="E267" s="10" t="str">
        <f>_xlfn.XLOOKUP(B267,DataSet!$N$2:$N$600,DataSet!$F$2:$F$600,0)</f>
        <v>RC-19825</v>
      </c>
      <c r="F267" s="10" t="str">
        <f>_xlfn.XLOOKUP(B267,DataSet!$N$2:$N$600,DataSet!$W$2:$W$600,0)</f>
        <v>Consumer</v>
      </c>
      <c r="G267" s="13">
        <f>_xlfn.XLOOKUP(B267,DataSet!$N$2:$N$600,DataSet!$C$2:$C$600,0)</f>
        <v>42527</v>
      </c>
      <c r="H267" s="10" t="str">
        <f>_xlfn.XLOOKUP(B267,DataSet!$N$2:$N$600,DataSet!$I$2:$I$600,0)</f>
        <v>United States</v>
      </c>
      <c r="I267" s="10" t="str">
        <f>_xlfn.XLOOKUP(B267,DataSet!$N$2:$N$600,DataSet!$X$2:$X$600,0)</f>
        <v>Chicago - Illinois</v>
      </c>
      <c r="J267" s="10" t="str">
        <f>_xlfn.XLOOKUP(B267,DataSet!$N$2:$N$600,DataSet!$M$2:$M$600,0)</f>
        <v>Central</v>
      </c>
      <c r="K267" s="10" t="str">
        <f>_xlfn.XLOOKUP(B267,DataSet!$N$2:$N$600,DataSet!$O$2:$O$600,0)</f>
        <v>Technology</v>
      </c>
      <c r="L267" s="10" t="str">
        <f>_xlfn.XLOOKUP(B267,DataSet!$N$2:$N$600,DataSet!$Y$2:$Y$600,0)</f>
        <v>Phones</v>
      </c>
      <c r="M267" s="10" t="str">
        <f>_xlfn.XLOOKUP(B267,DataSet!$N$2:$N$600,DataSet!$Q$2:$Q$600,0)</f>
        <v>Cisco Small Business SPA 502G VoIP phone</v>
      </c>
      <c r="N267" s="16">
        <f>_xlfn.XLOOKUP(B267,DataSet!$N$2:$N$600,DataSet!$AA$2:$AA$600,0)</f>
        <v>328.22399999999999</v>
      </c>
      <c r="O267" s="10">
        <f>_xlfn.XLOOKUP(B267,DataSet!$N$2:$N$600,DataSet!$S$2:$S$600,0)</f>
        <v>4</v>
      </c>
      <c r="P267" s="15">
        <f>_xlfn.XLOOKUP(B267,DataSet!$N$2:$N$600,DataSet!$T$2:$T$600,0)</f>
        <v>0.2</v>
      </c>
      <c r="Q267" s="14">
        <f>_xlfn.XLOOKUP(B267,DataSet!$N$2:$N$600,DataSet!$U$2:$U$600,0)</f>
        <v>28.7196</v>
      </c>
      <c r="R267" s="16">
        <f>_xlfn.XLOOKUP(B267,DataSet!$N$2:$N$600,DataSet!$AB$2:$AB$600,0)</f>
        <v>1312.896</v>
      </c>
      <c r="S267" s="9">
        <f>_xlfn.XLOOKUP(B267,DataSet!$N$2:$N$600,DataSet!$AC$2:$AC$600,0)</f>
        <v>1050.3168000000001</v>
      </c>
    </row>
    <row r="268" spans="1:19" s="12" customFormat="1" x14ac:dyDescent="0.3">
      <c r="A268" s="27">
        <v>266</v>
      </c>
      <c r="B268" s="10" t="s">
        <v>993</v>
      </c>
      <c r="C268" s="10" t="str">
        <f>_xlfn.XLOOKUP(B268,DataSet!$N$2:$N$600,DataSet!$AF$2:$AF$600,0)</f>
        <v>155040</v>
      </c>
      <c r="D268" s="10" t="str">
        <f>_xlfn.XLOOKUP(B268,DataSet!$N$2:$N$600,DataSet!$G$2:$G$600,0)</f>
        <v>Alan Hwang</v>
      </c>
      <c r="E268" s="10" t="str">
        <f>_xlfn.XLOOKUP(B268,DataSet!$N$2:$N$600,DataSet!$F$2:$F$600,0)</f>
        <v>AH-10210</v>
      </c>
      <c r="F268" s="10" t="str">
        <f>_xlfn.XLOOKUP(B268,DataSet!$N$2:$N$600,DataSet!$W$2:$W$600,0)</f>
        <v>Consumer</v>
      </c>
      <c r="G268" s="13">
        <f>_xlfn.XLOOKUP(B268,DataSet!$N$2:$N$600,DataSet!$C$2:$C$600,0)</f>
        <v>42318</v>
      </c>
      <c r="H268" s="10" t="str">
        <f>_xlfn.XLOOKUP(B268,DataSet!$N$2:$N$600,DataSet!$I$2:$I$600,0)</f>
        <v>United States</v>
      </c>
      <c r="I268" s="10" t="str">
        <f>_xlfn.XLOOKUP(B268,DataSet!$N$2:$N$600,DataSet!$X$2:$X$600,0)</f>
        <v>Brentwood - California</v>
      </c>
      <c r="J268" s="10" t="str">
        <f>_xlfn.XLOOKUP(B268,DataSet!$N$2:$N$600,DataSet!$M$2:$M$600,0)</f>
        <v>West</v>
      </c>
      <c r="K268" s="10" t="str">
        <f>_xlfn.XLOOKUP(B268,DataSet!$N$2:$N$600,DataSet!$O$2:$O$600,0)</f>
        <v>Technology</v>
      </c>
      <c r="L268" s="10" t="str">
        <f>_xlfn.XLOOKUP(B268,DataSet!$N$2:$N$600,DataSet!$Y$2:$Y$600,0)</f>
        <v>Accessories</v>
      </c>
      <c r="M268" s="10" t="str">
        <f>_xlfn.XLOOKUP(B268,DataSet!$N$2:$N$600,DataSet!$Q$2:$Q$600,0)</f>
        <v>Microsoft Sculpt Comfort Mouse</v>
      </c>
      <c r="N268" s="16">
        <f>_xlfn.XLOOKUP(B268,DataSet!$N$2:$N$600,DataSet!$AA$2:$AA$600,0)</f>
        <v>79.900000000000006</v>
      </c>
      <c r="O268" s="10">
        <f>_xlfn.XLOOKUP(B268,DataSet!$N$2:$N$600,DataSet!$S$2:$S$600,0)</f>
        <v>2</v>
      </c>
      <c r="P268" s="15">
        <f>_xlfn.XLOOKUP(B268,DataSet!$N$2:$N$600,DataSet!$T$2:$T$600,0)</f>
        <v>0</v>
      </c>
      <c r="Q268" s="14">
        <f>_xlfn.XLOOKUP(B268,DataSet!$N$2:$N$600,DataSet!$U$2:$U$600,0)</f>
        <v>35.155999999999999</v>
      </c>
      <c r="R268" s="16">
        <f>_xlfn.XLOOKUP(B268,DataSet!$N$2:$N$600,DataSet!$AB$2:$AB$600,0)</f>
        <v>159.80000000000001</v>
      </c>
      <c r="S268" s="9">
        <f>_xlfn.XLOOKUP(B268,DataSet!$N$2:$N$600,DataSet!$AC$2:$AC$600,0)</f>
        <v>159.80000000000001</v>
      </c>
    </row>
    <row r="269" spans="1:19" s="12" customFormat="1" x14ac:dyDescent="0.3">
      <c r="A269" s="27">
        <v>267</v>
      </c>
      <c r="B269" s="10" t="s">
        <v>999</v>
      </c>
      <c r="C269" s="10" t="str">
        <f>_xlfn.XLOOKUP(B269,DataSet!$N$2:$N$600,DataSet!$AF$2:$AF$600,0)</f>
        <v>136826</v>
      </c>
      <c r="D269" s="10" t="str">
        <f>_xlfn.XLOOKUP(B269,DataSet!$N$2:$N$600,DataSet!$G$2:$G$600,0)</f>
        <v>Claudia Bergmann</v>
      </c>
      <c r="E269" s="10" t="str">
        <f>_xlfn.XLOOKUP(B269,DataSet!$N$2:$N$600,DataSet!$F$2:$F$600,0)</f>
        <v>CB-12535</v>
      </c>
      <c r="F269" s="10" t="str">
        <f>_xlfn.XLOOKUP(B269,DataSet!$N$2:$N$600,DataSet!$W$2:$W$600,0)</f>
        <v>Corporate</v>
      </c>
      <c r="G269" s="13">
        <f>_xlfn.XLOOKUP(B269,DataSet!$N$2:$N$600,DataSet!$C$2:$C$600,0)</f>
        <v>42902</v>
      </c>
      <c r="H269" s="10" t="str">
        <f>_xlfn.XLOOKUP(B269,DataSet!$N$2:$N$600,DataSet!$I$2:$I$600,0)</f>
        <v>United States</v>
      </c>
      <c r="I269" s="10" t="str">
        <f>_xlfn.XLOOKUP(B269,DataSet!$N$2:$N$600,DataSet!$X$2:$X$600,0)</f>
        <v>Chapel Hill - North Carolina</v>
      </c>
      <c r="J269" s="10" t="str">
        <f>_xlfn.XLOOKUP(B269,DataSet!$N$2:$N$600,DataSet!$M$2:$M$600,0)</f>
        <v>South</v>
      </c>
      <c r="K269" s="10" t="str">
        <f>_xlfn.XLOOKUP(B269,DataSet!$N$2:$N$600,DataSet!$O$2:$O$600,0)</f>
        <v>Office Supplies</v>
      </c>
      <c r="L269" s="10" t="str">
        <f>_xlfn.XLOOKUP(B269,DataSet!$N$2:$N$600,DataSet!$Y$2:$Y$600,0)</f>
        <v>Art</v>
      </c>
      <c r="M269" s="10" t="str">
        <f>_xlfn.XLOOKUP(B269,DataSet!$N$2:$N$600,DataSet!$Q$2:$Q$600,0)</f>
        <v>Quartet Omega Colored Chalk, 12/Pack</v>
      </c>
      <c r="N269" s="16">
        <f>_xlfn.XLOOKUP(B269,DataSet!$N$2:$N$600,DataSet!$AA$2:$AA$600,0)</f>
        <v>14.016</v>
      </c>
      <c r="O269" s="10">
        <f>_xlfn.XLOOKUP(B269,DataSet!$N$2:$N$600,DataSet!$S$2:$S$600,0)</f>
        <v>3</v>
      </c>
      <c r="P269" s="15">
        <f>_xlfn.XLOOKUP(B269,DataSet!$N$2:$N$600,DataSet!$T$2:$T$600,0)</f>
        <v>0.2</v>
      </c>
      <c r="Q269" s="14">
        <f>_xlfn.XLOOKUP(B269,DataSet!$N$2:$N$600,DataSet!$U$2:$U$600,0)</f>
        <v>4.7304000000000004</v>
      </c>
      <c r="R269" s="16">
        <f>_xlfn.XLOOKUP(B269,DataSet!$N$2:$N$600,DataSet!$AB$2:$AB$600,0)</f>
        <v>42.048000000000002</v>
      </c>
      <c r="S269" s="9">
        <f>_xlfn.XLOOKUP(B269,DataSet!$N$2:$N$600,DataSet!$AC$2:$AC$600,0)</f>
        <v>33.638400000000004</v>
      </c>
    </row>
    <row r="270" spans="1:19" s="12" customFormat="1" x14ac:dyDescent="0.3">
      <c r="A270" s="27">
        <v>268</v>
      </c>
      <c r="B270" s="10" t="s">
        <v>1003</v>
      </c>
      <c r="C270" s="10" t="str">
        <f>_xlfn.XLOOKUP(B270,DataSet!$N$2:$N$600,DataSet!$AF$2:$AF$600,0)</f>
        <v>111010</v>
      </c>
      <c r="D270" s="10" t="str">
        <f>_xlfn.XLOOKUP(B270,DataSet!$N$2:$N$600,DataSet!$G$2:$G$600,0)</f>
        <v>Paul Gonzalez</v>
      </c>
      <c r="E270" s="10" t="str">
        <f>_xlfn.XLOOKUP(B270,DataSet!$N$2:$N$600,DataSet!$F$2:$F$600,0)</f>
        <v>PG-18895</v>
      </c>
      <c r="F270" s="10" t="str">
        <f>_xlfn.XLOOKUP(B270,DataSet!$N$2:$N$600,DataSet!$W$2:$W$600,0)</f>
        <v>Consumer</v>
      </c>
      <c r="G270" s="13">
        <f>_xlfn.XLOOKUP(B270,DataSet!$N$2:$N$600,DataSet!$C$2:$C$600,0)</f>
        <v>42391</v>
      </c>
      <c r="H270" s="10" t="str">
        <f>_xlfn.XLOOKUP(B270,DataSet!$N$2:$N$600,DataSet!$I$2:$I$600,0)</f>
        <v>United States</v>
      </c>
      <c r="I270" s="10" t="str">
        <f>_xlfn.XLOOKUP(B270,DataSet!$N$2:$N$600,DataSet!$X$2:$X$600,0)</f>
        <v>Morristown - New Jersey</v>
      </c>
      <c r="J270" s="10" t="str">
        <f>_xlfn.XLOOKUP(B270,DataSet!$N$2:$N$600,DataSet!$M$2:$M$600,0)</f>
        <v>East</v>
      </c>
      <c r="K270" s="10" t="str">
        <f>_xlfn.XLOOKUP(B270,DataSet!$N$2:$N$600,DataSet!$O$2:$O$600,0)</f>
        <v>Office Supplies</v>
      </c>
      <c r="L270" s="10" t="str">
        <f>_xlfn.XLOOKUP(B270,DataSet!$N$2:$N$600,DataSet!$Y$2:$Y$600,0)</f>
        <v>Fasteners</v>
      </c>
      <c r="M270" s="10" t="str">
        <f>_xlfn.XLOOKUP(B270,DataSet!$N$2:$N$600,DataSet!$Q$2:$Q$600,0)</f>
        <v>Bagged Rubber Bands</v>
      </c>
      <c r="N270" s="16">
        <f>_xlfn.XLOOKUP(B270,DataSet!$N$2:$N$600,DataSet!$AA$2:$AA$600,0)</f>
        <v>7.56</v>
      </c>
      <c r="O270" s="10">
        <f>_xlfn.XLOOKUP(B270,DataSet!$N$2:$N$600,DataSet!$S$2:$S$600,0)</f>
        <v>6</v>
      </c>
      <c r="P270" s="15">
        <f>_xlfn.XLOOKUP(B270,DataSet!$N$2:$N$600,DataSet!$T$2:$T$600,0)</f>
        <v>0</v>
      </c>
      <c r="Q270" s="14">
        <f>_xlfn.XLOOKUP(B270,DataSet!$N$2:$N$600,DataSet!$U$2:$U$600,0)</f>
        <v>0.3024</v>
      </c>
      <c r="R270" s="16">
        <f>_xlfn.XLOOKUP(B270,DataSet!$N$2:$N$600,DataSet!$AB$2:$AB$600,0)</f>
        <v>45.36</v>
      </c>
      <c r="S270" s="9">
        <f>_xlfn.XLOOKUP(B270,DataSet!$N$2:$N$600,DataSet!$AC$2:$AC$600,0)</f>
        <v>45.36</v>
      </c>
    </row>
    <row r="271" spans="1:19" s="12" customFormat="1" x14ac:dyDescent="0.3">
      <c r="A271" s="27">
        <v>269</v>
      </c>
      <c r="B271" s="10" t="s">
        <v>1009</v>
      </c>
      <c r="C271" s="10" t="str">
        <f>_xlfn.XLOOKUP(B271,DataSet!$N$2:$N$600,DataSet!$AF$2:$AF$600,0)</f>
        <v>145366</v>
      </c>
      <c r="D271" s="10" t="str">
        <f>_xlfn.XLOOKUP(B271,DataSet!$N$2:$N$600,DataSet!$G$2:$G$600,0)</f>
        <v>Christine Abelman</v>
      </c>
      <c r="E271" s="10" t="str">
        <f>_xlfn.XLOOKUP(B271,DataSet!$N$2:$N$600,DataSet!$F$2:$F$600,0)</f>
        <v>CA-12310</v>
      </c>
      <c r="F271" s="10" t="str">
        <f>_xlfn.XLOOKUP(B271,DataSet!$N$2:$N$600,DataSet!$W$2:$W$600,0)</f>
        <v>Corporate</v>
      </c>
      <c r="G271" s="13">
        <f>_xlfn.XLOOKUP(B271,DataSet!$N$2:$N$600,DataSet!$C$2:$C$600,0)</f>
        <v>43078</v>
      </c>
      <c r="H271" s="10" t="str">
        <f>_xlfn.XLOOKUP(B271,DataSet!$N$2:$N$600,DataSet!$I$2:$I$600,0)</f>
        <v>United States</v>
      </c>
      <c r="I271" s="10" t="str">
        <f>_xlfn.XLOOKUP(B271,DataSet!$N$2:$N$600,DataSet!$X$2:$X$600,0)</f>
        <v>Cincinnati - Ohio</v>
      </c>
      <c r="J271" s="10" t="str">
        <f>_xlfn.XLOOKUP(B271,DataSet!$N$2:$N$600,DataSet!$M$2:$M$600,0)</f>
        <v>East</v>
      </c>
      <c r="K271" s="10" t="str">
        <f>_xlfn.XLOOKUP(B271,DataSet!$N$2:$N$600,DataSet!$O$2:$O$600,0)</f>
        <v>Office Supplies</v>
      </c>
      <c r="L271" s="10" t="str">
        <f>_xlfn.XLOOKUP(B271,DataSet!$N$2:$N$600,DataSet!$Y$2:$Y$600,0)</f>
        <v>Storage</v>
      </c>
      <c r="M271" s="10" t="str">
        <f>_xlfn.XLOOKUP(B271,DataSet!$N$2:$N$600,DataSet!$Q$2:$Q$600,0)</f>
        <v>Safco Commercial Shelving</v>
      </c>
      <c r="N271" s="16">
        <f>_xlfn.XLOOKUP(B271,DataSet!$N$2:$N$600,DataSet!$AA$2:$AA$600,0)</f>
        <v>37.207999999999998</v>
      </c>
      <c r="O271" s="10">
        <f>_xlfn.XLOOKUP(B271,DataSet!$N$2:$N$600,DataSet!$S$2:$S$600,0)</f>
        <v>1</v>
      </c>
      <c r="P271" s="15">
        <f>_xlfn.XLOOKUP(B271,DataSet!$N$2:$N$600,DataSet!$T$2:$T$600,0)</f>
        <v>0.2</v>
      </c>
      <c r="Q271" s="14">
        <f>_xlfn.XLOOKUP(B271,DataSet!$N$2:$N$600,DataSet!$U$2:$U$600,0)</f>
        <v>-7.4416000000000002</v>
      </c>
      <c r="R271" s="16">
        <f>_xlfn.XLOOKUP(B271,DataSet!$N$2:$N$600,DataSet!$AB$2:$AB$600,0)</f>
        <v>37.207999999999998</v>
      </c>
      <c r="S271" s="9">
        <f>_xlfn.XLOOKUP(B271,DataSet!$N$2:$N$600,DataSet!$AC$2:$AC$600,0)</f>
        <v>29.766400000000001</v>
      </c>
    </row>
    <row r="272" spans="1:19" s="12" customFormat="1" x14ac:dyDescent="0.3">
      <c r="A272" s="27">
        <v>270</v>
      </c>
      <c r="B272" s="10" t="s">
        <v>1011</v>
      </c>
      <c r="C272" s="10" t="str">
        <f>_xlfn.XLOOKUP(B272,DataSet!$N$2:$N$600,DataSet!$AF$2:$AF$600,0)</f>
        <v>145366</v>
      </c>
      <c r="D272" s="10" t="str">
        <f>_xlfn.XLOOKUP(B272,DataSet!$N$2:$N$600,DataSet!$G$2:$G$600,0)</f>
        <v>Christine Abelman</v>
      </c>
      <c r="E272" s="10" t="str">
        <f>_xlfn.XLOOKUP(B272,DataSet!$N$2:$N$600,DataSet!$F$2:$F$600,0)</f>
        <v>CA-12310</v>
      </c>
      <c r="F272" s="10" t="str">
        <f>_xlfn.XLOOKUP(B272,DataSet!$N$2:$N$600,DataSet!$W$2:$W$600,0)</f>
        <v>Corporate</v>
      </c>
      <c r="G272" s="13">
        <f>_xlfn.XLOOKUP(B272,DataSet!$N$2:$N$600,DataSet!$C$2:$C$600,0)</f>
        <v>43078</v>
      </c>
      <c r="H272" s="10" t="str">
        <f>_xlfn.XLOOKUP(B272,DataSet!$N$2:$N$600,DataSet!$I$2:$I$600,0)</f>
        <v>United States</v>
      </c>
      <c r="I272" s="10" t="str">
        <f>_xlfn.XLOOKUP(B272,DataSet!$N$2:$N$600,DataSet!$X$2:$X$600,0)</f>
        <v>Cincinnati - Ohio</v>
      </c>
      <c r="J272" s="10" t="str">
        <f>_xlfn.XLOOKUP(B272,DataSet!$N$2:$N$600,DataSet!$M$2:$M$600,0)</f>
        <v>East</v>
      </c>
      <c r="K272" s="10" t="str">
        <f>_xlfn.XLOOKUP(B272,DataSet!$N$2:$N$600,DataSet!$O$2:$O$600,0)</f>
        <v>Office Supplies</v>
      </c>
      <c r="L272" s="10" t="str">
        <f>_xlfn.XLOOKUP(B272,DataSet!$N$2:$N$600,DataSet!$Y$2:$Y$600,0)</f>
        <v>Envelopes</v>
      </c>
      <c r="M272" s="10" t="str">
        <f>_xlfn.XLOOKUP(B272,DataSet!$N$2:$N$600,DataSet!$Q$2:$Q$600,0)</f>
        <v>Recycled Interoffice Envelopes with String and Button Closure, 10 x 13</v>
      </c>
      <c r="N272" s="16">
        <f>_xlfn.XLOOKUP(B272,DataSet!$N$2:$N$600,DataSet!$AA$2:$AA$600,0)</f>
        <v>57.576000000000001</v>
      </c>
      <c r="O272" s="10">
        <f>_xlfn.XLOOKUP(B272,DataSet!$N$2:$N$600,DataSet!$S$2:$S$600,0)</f>
        <v>3</v>
      </c>
      <c r="P272" s="15">
        <f>_xlfn.XLOOKUP(B272,DataSet!$N$2:$N$600,DataSet!$T$2:$T$600,0)</f>
        <v>0.2</v>
      </c>
      <c r="Q272" s="14">
        <f>_xlfn.XLOOKUP(B272,DataSet!$N$2:$N$600,DataSet!$U$2:$U$600,0)</f>
        <v>21.591000000000001</v>
      </c>
      <c r="R272" s="16">
        <f>_xlfn.XLOOKUP(B272,DataSet!$N$2:$N$600,DataSet!$AB$2:$AB$600,0)</f>
        <v>172.72800000000001</v>
      </c>
      <c r="S272" s="9">
        <f>_xlfn.XLOOKUP(B272,DataSet!$N$2:$N$600,DataSet!$AC$2:$AC$600,0)</f>
        <v>138.1824</v>
      </c>
    </row>
    <row r="273" spans="1:19" s="12" customFormat="1" x14ac:dyDescent="0.3">
      <c r="A273" s="27">
        <v>271</v>
      </c>
      <c r="B273" s="10" t="s">
        <v>1016</v>
      </c>
      <c r="C273" s="10" t="str">
        <f>_xlfn.XLOOKUP(B273,DataSet!$N$2:$N$600,DataSet!$AF$2:$AF$600,0)</f>
        <v>163979</v>
      </c>
      <c r="D273" s="10" t="str">
        <f>_xlfn.XLOOKUP(B273,DataSet!$N$2:$N$600,DataSet!$G$2:$G$600,0)</f>
        <v>Kristen Hastings</v>
      </c>
      <c r="E273" s="10" t="str">
        <f>_xlfn.XLOOKUP(B273,DataSet!$N$2:$N$600,DataSet!$F$2:$F$600,0)</f>
        <v>KH-16690</v>
      </c>
      <c r="F273" s="10" t="str">
        <f>_xlfn.XLOOKUP(B273,DataSet!$N$2:$N$600,DataSet!$W$2:$W$600,0)</f>
        <v>Corporate</v>
      </c>
      <c r="G273" s="13">
        <f>_xlfn.XLOOKUP(B273,DataSet!$N$2:$N$600,DataSet!$C$2:$C$600,0)</f>
        <v>43097</v>
      </c>
      <c r="H273" s="10" t="str">
        <f>_xlfn.XLOOKUP(B273,DataSet!$N$2:$N$600,DataSet!$I$2:$I$600,0)</f>
        <v>United States</v>
      </c>
      <c r="I273" s="10" t="str">
        <f>_xlfn.XLOOKUP(B273,DataSet!$N$2:$N$600,DataSet!$X$2:$X$600,0)</f>
        <v>San Francisco - California</v>
      </c>
      <c r="J273" s="10" t="str">
        <f>_xlfn.XLOOKUP(B273,DataSet!$N$2:$N$600,DataSet!$M$2:$M$600,0)</f>
        <v>West</v>
      </c>
      <c r="K273" s="10" t="str">
        <f>_xlfn.XLOOKUP(B273,DataSet!$N$2:$N$600,DataSet!$O$2:$O$600,0)</f>
        <v>Office Supplies</v>
      </c>
      <c r="L273" s="10" t="str">
        <f>_xlfn.XLOOKUP(B273,DataSet!$N$2:$N$600,DataSet!$Y$2:$Y$600,0)</f>
        <v>Storage</v>
      </c>
      <c r="M273" s="10" t="str">
        <f>_xlfn.XLOOKUP(B273,DataSet!$N$2:$N$600,DataSet!$Q$2:$Q$600,0)</f>
        <v>Adjustable Depth Letter/Legal Cart</v>
      </c>
      <c r="N273" s="16">
        <f>_xlfn.XLOOKUP(B273,DataSet!$N$2:$N$600,DataSet!$AA$2:$AA$600,0)</f>
        <v>725.84</v>
      </c>
      <c r="O273" s="10">
        <f>_xlfn.XLOOKUP(B273,DataSet!$N$2:$N$600,DataSet!$S$2:$S$600,0)</f>
        <v>4</v>
      </c>
      <c r="P273" s="15">
        <f>_xlfn.XLOOKUP(B273,DataSet!$N$2:$N$600,DataSet!$T$2:$T$600,0)</f>
        <v>0</v>
      </c>
      <c r="Q273" s="14">
        <f>_xlfn.XLOOKUP(B273,DataSet!$N$2:$N$600,DataSet!$U$2:$U$600,0)</f>
        <v>210.49359999999999</v>
      </c>
      <c r="R273" s="16">
        <f>_xlfn.XLOOKUP(B273,DataSet!$N$2:$N$600,DataSet!$AB$2:$AB$600,0)</f>
        <v>2903.36</v>
      </c>
      <c r="S273" s="9">
        <f>_xlfn.XLOOKUP(B273,DataSet!$N$2:$N$600,DataSet!$AC$2:$AC$600,0)</f>
        <v>2903.36</v>
      </c>
    </row>
    <row r="274" spans="1:19" s="12" customFormat="1" x14ac:dyDescent="0.3">
      <c r="A274" s="27">
        <v>272</v>
      </c>
      <c r="B274" s="10" t="s">
        <v>1019</v>
      </c>
      <c r="C274" s="10" t="str">
        <f>_xlfn.XLOOKUP(B274,DataSet!$N$2:$N$600,DataSet!$AF$2:$AF$600,0)</f>
        <v>155334</v>
      </c>
      <c r="D274" s="10" t="str">
        <f>_xlfn.XLOOKUP(B274,DataSet!$N$2:$N$600,DataSet!$G$2:$G$600,0)</f>
        <v>Helen Andreada</v>
      </c>
      <c r="E274" s="10" t="str">
        <f>_xlfn.XLOOKUP(B274,DataSet!$N$2:$N$600,DataSet!$F$2:$F$600,0)</f>
        <v>HA-14920</v>
      </c>
      <c r="F274" s="10" t="str">
        <f>_xlfn.XLOOKUP(B274,DataSet!$N$2:$N$600,DataSet!$W$2:$W$600,0)</f>
        <v>Consumer</v>
      </c>
      <c r="G274" s="13">
        <f>_xlfn.XLOOKUP(B274,DataSet!$N$2:$N$600,DataSet!$C$2:$C$600,0)</f>
        <v>42215</v>
      </c>
      <c r="H274" s="10" t="str">
        <f>_xlfn.XLOOKUP(B274,DataSet!$N$2:$N$600,DataSet!$I$2:$I$600,0)</f>
        <v>United States</v>
      </c>
      <c r="I274" s="10" t="str">
        <f>_xlfn.XLOOKUP(B274,DataSet!$N$2:$N$600,DataSet!$X$2:$X$600,0)</f>
        <v>San Francisco - California</v>
      </c>
      <c r="J274" s="10" t="str">
        <f>_xlfn.XLOOKUP(B274,DataSet!$N$2:$N$600,DataSet!$M$2:$M$600,0)</f>
        <v>West</v>
      </c>
      <c r="K274" s="10" t="str">
        <f>_xlfn.XLOOKUP(B274,DataSet!$N$2:$N$600,DataSet!$O$2:$O$600,0)</f>
        <v>Technology</v>
      </c>
      <c r="L274" s="10" t="str">
        <f>_xlfn.XLOOKUP(B274,DataSet!$N$2:$N$600,DataSet!$Y$2:$Y$600,0)</f>
        <v>Accessories</v>
      </c>
      <c r="M274" s="10" t="str">
        <f>_xlfn.XLOOKUP(B274,DataSet!$N$2:$N$600,DataSet!$Q$2:$Q$600,0)</f>
        <v>Logitech 910-002974 M325 Wireless Mouse for Web Scrolling</v>
      </c>
      <c r="N274" s="16">
        <f>_xlfn.XLOOKUP(B274,DataSet!$N$2:$N$600,DataSet!$AA$2:$AA$600,0)</f>
        <v>209.93</v>
      </c>
      <c r="O274" s="10">
        <f>_xlfn.XLOOKUP(B274,DataSet!$N$2:$N$600,DataSet!$S$2:$S$600,0)</f>
        <v>7</v>
      </c>
      <c r="P274" s="15">
        <f>_xlfn.XLOOKUP(B274,DataSet!$N$2:$N$600,DataSet!$T$2:$T$600,0)</f>
        <v>0</v>
      </c>
      <c r="Q274" s="14">
        <f>_xlfn.XLOOKUP(B274,DataSet!$N$2:$N$600,DataSet!$U$2:$U$600,0)</f>
        <v>92.369200000000006</v>
      </c>
      <c r="R274" s="16">
        <f>_xlfn.XLOOKUP(B274,DataSet!$N$2:$N$600,DataSet!$AB$2:$AB$600,0)</f>
        <v>1469.51</v>
      </c>
      <c r="S274" s="9">
        <f>_xlfn.XLOOKUP(B274,DataSet!$N$2:$N$600,DataSet!$AC$2:$AC$600,0)</f>
        <v>1469.51</v>
      </c>
    </row>
    <row r="275" spans="1:19" s="12" customFormat="1" x14ac:dyDescent="0.3">
      <c r="A275" s="27">
        <v>273</v>
      </c>
      <c r="B275" s="10" t="s">
        <v>1021</v>
      </c>
      <c r="C275" s="10" t="str">
        <f>_xlfn.XLOOKUP(B275,DataSet!$N$2:$N$600,DataSet!$AF$2:$AF$600,0)</f>
        <v>155334</v>
      </c>
      <c r="D275" s="10" t="str">
        <f>_xlfn.XLOOKUP(B275,DataSet!$N$2:$N$600,DataSet!$G$2:$G$600,0)</f>
        <v>Helen Andreada</v>
      </c>
      <c r="E275" s="10" t="str">
        <f>_xlfn.XLOOKUP(B275,DataSet!$N$2:$N$600,DataSet!$F$2:$F$600,0)</f>
        <v>HA-14920</v>
      </c>
      <c r="F275" s="10" t="str">
        <f>_xlfn.XLOOKUP(B275,DataSet!$N$2:$N$600,DataSet!$W$2:$W$600,0)</f>
        <v>Consumer</v>
      </c>
      <c r="G275" s="13">
        <f>_xlfn.XLOOKUP(B275,DataSet!$N$2:$N$600,DataSet!$C$2:$C$600,0)</f>
        <v>42215</v>
      </c>
      <c r="H275" s="10" t="str">
        <f>_xlfn.XLOOKUP(B275,DataSet!$N$2:$N$600,DataSet!$I$2:$I$600,0)</f>
        <v>United States</v>
      </c>
      <c r="I275" s="10" t="str">
        <f>_xlfn.XLOOKUP(B275,DataSet!$N$2:$N$600,DataSet!$X$2:$X$600,0)</f>
        <v>San Francisco - California</v>
      </c>
      <c r="J275" s="10" t="str">
        <f>_xlfn.XLOOKUP(B275,DataSet!$N$2:$N$600,DataSet!$M$2:$M$600,0)</f>
        <v>West</v>
      </c>
      <c r="K275" s="10" t="str">
        <f>_xlfn.XLOOKUP(B275,DataSet!$N$2:$N$600,DataSet!$O$2:$O$600,0)</f>
        <v>Furniture</v>
      </c>
      <c r="L275" s="10" t="str">
        <f>_xlfn.XLOOKUP(B275,DataSet!$N$2:$N$600,DataSet!$Y$2:$Y$600,0)</f>
        <v>Furnishings</v>
      </c>
      <c r="M275" s="10" t="str">
        <f>_xlfn.XLOOKUP(B275,DataSet!$N$2:$N$600,DataSet!$Q$2:$Q$600,0)</f>
        <v>Regeneration Desk Collection</v>
      </c>
      <c r="N275" s="16">
        <f>_xlfn.XLOOKUP(B275,DataSet!$N$2:$N$600,DataSet!$AA$2:$AA$600,0)</f>
        <v>5.28</v>
      </c>
      <c r="O275" s="10">
        <f>_xlfn.XLOOKUP(B275,DataSet!$N$2:$N$600,DataSet!$S$2:$S$600,0)</f>
        <v>3</v>
      </c>
      <c r="P275" s="15">
        <f>_xlfn.XLOOKUP(B275,DataSet!$N$2:$N$600,DataSet!$T$2:$T$600,0)</f>
        <v>0</v>
      </c>
      <c r="Q275" s="14">
        <f>_xlfn.XLOOKUP(B275,DataSet!$N$2:$N$600,DataSet!$U$2:$U$600,0)</f>
        <v>2.3231999999999999</v>
      </c>
      <c r="R275" s="16">
        <f>_xlfn.XLOOKUP(B275,DataSet!$N$2:$N$600,DataSet!$AB$2:$AB$600,0)</f>
        <v>15.84</v>
      </c>
      <c r="S275" s="9">
        <f>_xlfn.XLOOKUP(B275,DataSet!$N$2:$N$600,DataSet!$AC$2:$AC$600,0)</f>
        <v>15.84</v>
      </c>
    </row>
    <row r="276" spans="1:19" s="12" customFormat="1" x14ac:dyDescent="0.3">
      <c r="A276" s="27">
        <v>274</v>
      </c>
      <c r="B276" s="10" t="s">
        <v>1023</v>
      </c>
      <c r="C276" s="10" t="str">
        <f>_xlfn.XLOOKUP(B276,DataSet!$N$2:$N$600,DataSet!$AF$2:$AF$600,0)</f>
        <v>155334</v>
      </c>
      <c r="D276" s="10" t="str">
        <f>_xlfn.XLOOKUP(B276,DataSet!$N$2:$N$600,DataSet!$G$2:$G$600,0)</f>
        <v>Helen Andreada</v>
      </c>
      <c r="E276" s="10" t="str">
        <f>_xlfn.XLOOKUP(B276,DataSet!$N$2:$N$600,DataSet!$F$2:$F$600,0)</f>
        <v>HA-14920</v>
      </c>
      <c r="F276" s="10" t="str">
        <f>_xlfn.XLOOKUP(B276,DataSet!$N$2:$N$600,DataSet!$W$2:$W$600,0)</f>
        <v>Consumer</v>
      </c>
      <c r="G276" s="13">
        <f>_xlfn.XLOOKUP(B276,DataSet!$N$2:$N$600,DataSet!$C$2:$C$600,0)</f>
        <v>42215</v>
      </c>
      <c r="H276" s="10" t="str">
        <f>_xlfn.XLOOKUP(B276,DataSet!$N$2:$N$600,DataSet!$I$2:$I$600,0)</f>
        <v>United States</v>
      </c>
      <c r="I276" s="10" t="str">
        <f>_xlfn.XLOOKUP(B276,DataSet!$N$2:$N$600,DataSet!$X$2:$X$600,0)</f>
        <v>San Francisco - California</v>
      </c>
      <c r="J276" s="10" t="str">
        <f>_xlfn.XLOOKUP(B276,DataSet!$N$2:$N$600,DataSet!$M$2:$M$600,0)</f>
        <v>West</v>
      </c>
      <c r="K276" s="10" t="str">
        <f>_xlfn.XLOOKUP(B276,DataSet!$N$2:$N$600,DataSet!$O$2:$O$600,0)</f>
        <v>Office Supplies</v>
      </c>
      <c r="L276" s="10" t="str">
        <f>_xlfn.XLOOKUP(B276,DataSet!$N$2:$N$600,DataSet!$Y$2:$Y$600,0)</f>
        <v>Binders</v>
      </c>
      <c r="M276" s="10" t="str">
        <f>_xlfn.XLOOKUP(B276,DataSet!$N$2:$N$600,DataSet!$Q$2:$Q$600,0)</f>
        <v>Presstex Flexible Ring Binders</v>
      </c>
      <c r="N276" s="16">
        <f>_xlfn.XLOOKUP(B276,DataSet!$N$2:$N$600,DataSet!$AA$2:$AA$600,0)</f>
        <v>10.92</v>
      </c>
      <c r="O276" s="10">
        <f>_xlfn.XLOOKUP(B276,DataSet!$N$2:$N$600,DataSet!$S$2:$S$600,0)</f>
        <v>3</v>
      </c>
      <c r="P276" s="15">
        <f>_xlfn.XLOOKUP(B276,DataSet!$N$2:$N$600,DataSet!$T$2:$T$600,0)</f>
        <v>0.2</v>
      </c>
      <c r="Q276" s="14">
        <f>_xlfn.XLOOKUP(B276,DataSet!$N$2:$N$600,DataSet!$U$2:$U$600,0)</f>
        <v>4.0949999999999998</v>
      </c>
      <c r="R276" s="16">
        <f>_xlfn.XLOOKUP(B276,DataSet!$N$2:$N$600,DataSet!$AB$2:$AB$600,0)</f>
        <v>32.76</v>
      </c>
      <c r="S276" s="9">
        <f>_xlfn.XLOOKUP(B276,DataSet!$N$2:$N$600,DataSet!$AC$2:$AC$600,0)</f>
        <v>26.207999999999998</v>
      </c>
    </row>
    <row r="277" spans="1:19" s="12" customFormat="1" x14ac:dyDescent="0.3">
      <c r="A277" s="27">
        <v>275</v>
      </c>
      <c r="B277" s="10" t="s">
        <v>1029</v>
      </c>
      <c r="C277" s="10" t="str">
        <f>_xlfn.XLOOKUP(B277,DataSet!$N$2:$N$600,DataSet!$AF$2:$AF$600,0)</f>
        <v>118136</v>
      </c>
      <c r="D277" s="10" t="str">
        <f>_xlfn.XLOOKUP(B277,DataSet!$N$2:$N$600,DataSet!$G$2:$G$600,0)</f>
        <v>Barry Blumstein</v>
      </c>
      <c r="E277" s="10" t="str">
        <f>_xlfn.XLOOKUP(B277,DataSet!$N$2:$N$600,DataSet!$F$2:$F$600,0)</f>
        <v>BB-10990</v>
      </c>
      <c r="F277" s="10" t="str">
        <f>_xlfn.XLOOKUP(B277,DataSet!$N$2:$N$600,DataSet!$W$2:$W$600,0)</f>
        <v>Corporate</v>
      </c>
      <c r="G277" s="13">
        <f>_xlfn.XLOOKUP(B277,DataSet!$N$2:$N$600,DataSet!$C$2:$C$600,0)</f>
        <v>42994</v>
      </c>
      <c r="H277" s="10" t="str">
        <f>_xlfn.XLOOKUP(B277,DataSet!$N$2:$N$600,DataSet!$I$2:$I$600,0)</f>
        <v>United States</v>
      </c>
      <c r="I277" s="10" t="str">
        <f>_xlfn.XLOOKUP(B277,DataSet!$N$2:$N$600,DataSet!$X$2:$X$600,0)</f>
        <v>Inglewood - California</v>
      </c>
      <c r="J277" s="10" t="str">
        <f>_xlfn.XLOOKUP(B277,DataSet!$N$2:$N$600,DataSet!$M$2:$M$600,0)</f>
        <v>West</v>
      </c>
      <c r="K277" s="10" t="str">
        <f>_xlfn.XLOOKUP(B277,DataSet!$N$2:$N$600,DataSet!$O$2:$O$600,0)</f>
        <v>Office Supplies</v>
      </c>
      <c r="L277" s="10" t="str">
        <f>_xlfn.XLOOKUP(B277,DataSet!$N$2:$N$600,DataSet!$Y$2:$Y$600,0)</f>
        <v>Paper</v>
      </c>
      <c r="M277" s="10" t="str">
        <f>_xlfn.XLOOKUP(B277,DataSet!$N$2:$N$600,DataSet!$Q$2:$Q$600,0)</f>
        <v>Ampad Gold Fibre Wirebound Steno Books, 6" x 9", Gregg Ruled</v>
      </c>
      <c r="N277" s="16">
        <f>_xlfn.XLOOKUP(B277,DataSet!$N$2:$N$600,DataSet!$AA$2:$AA$600,0)</f>
        <v>8.82</v>
      </c>
      <c r="O277" s="10">
        <f>_xlfn.XLOOKUP(B277,DataSet!$N$2:$N$600,DataSet!$S$2:$S$600,0)</f>
        <v>2</v>
      </c>
      <c r="P277" s="15">
        <f>_xlfn.XLOOKUP(B277,DataSet!$N$2:$N$600,DataSet!$T$2:$T$600,0)</f>
        <v>0</v>
      </c>
      <c r="Q277" s="14">
        <f>_xlfn.XLOOKUP(B277,DataSet!$N$2:$N$600,DataSet!$U$2:$U$600,0)</f>
        <v>4.0571999999999999</v>
      </c>
      <c r="R277" s="16">
        <f>_xlfn.XLOOKUP(B277,DataSet!$N$2:$N$600,DataSet!$AB$2:$AB$600,0)</f>
        <v>17.64</v>
      </c>
      <c r="S277" s="9">
        <f>_xlfn.XLOOKUP(B277,DataSet!$N$2:$N$600,DataSet!$AC$2:$AC$600,0)</f>
        <v>17.64</v>
      </c>
    </row>
    <row r="278" spans="1:19" s="12" customFormat="1" x14ac:dyDescent="0.3">
      <c r="A278" s="27">
        <v>276</v>
      </c>
      <c r="B278" s="10" t="s">
        <v>1031</v>
      </c>
      <c r="C278" s="10" t="str">
        <f>_xlfn.XLOOKUP(B278,DataSet!$N$2:$N$600,DataSet!$AF$2:$AF$600,0)</f>
        <v>118136</v>
      </c>
      <c r="D278" s="10" t="str">
        <f>_xlfn.XLOOKUP(B278,DataSet!$N$2:$N$600,DataSet!$G$2:$G$600,0)</f>
        <v>Barry Blumstein</v>
      </c>
      <c r="E278" s="10" t="str">
        <f>_xlfn.XLOOKUP(B278,DataSet!$N$2:$N$600,DataSet!$F$2:$F$600,0)</f>
        <v>BB-10990</v>
      </c>
      <c r="F278" s="10" t="str">
        <f>_xlfn.XLOOKUP(B278,DataSet!$N$2:$N$600,DataSet!$W$2:$W$600,0)</f>
        <v>Corporate</v>
      </c>
      <c r="G278" s="13">
        <f>_xlfn.XLOOKUP(B278,DataSet!$N$2:$N$600,DataSet!$C$2:$C$600,0)</f>
        <v>42994</v>
      </c>
      <c r="H278" s="10" t="str">
        <f>_xlfn.XLOOKUP(B278,DataSet!$N$2:$N$600,DataSet!$I$2:$I$600,0)</f>
        <v>United States</v>
      </c>
      <c r="I278" s="10" t="str">
        <f>_xlfn.XLOOKUP(B278,DataSet!$N$2:$N$600,DataSet!$X$2:$X$600,0)</f>
        <v>Inglewood - California</v>
      </c>
      <c r="J278" s="10" t="str">
        <f>_xlfn.XLOOKUP(B278,DataSet!$N$2:$N$600,DataSet!$M$2:$M$600,0)</f>
        <v>West</v>
      </c>
      <c r="K278" s="10" t="str">
        <f>_xlfn.XLOOKUP(B278,DataSet!$N$2:$N$600,DataSet!$O$2:$O$600,0)</f>
        <v>Office Supplies</v>
      </c>
      <c r="L278" s="10" t="str">
        <f>_xlfn.XLOOKUP(B278,DataSet!$N$2:$N$600,DataSet!$Y$2:$Y$600,0)</f>
        <v>Art</v>
      </c>
      <c r="M278" s="10" t="str">
        <f>_xlfn.XLOOKUP(B278,DataSet!$N$2:$N$600,DataSet!$Q$2:$Q$600,0)</f>
        <v>Newell 330</v>
      </c>
      <c r="N278" s="16">
        <f>_xlfn.XLOOKUP(B278,DataSet!$N$2:$N$600,DataSet!$AA$2:$AA$600,0)</f>
        <v>5.98</v>
      </c>
      <c r="O278" s="10">
        <f>_xlfn.XLOOKUP(B278,DataSet!$N$2:$N$600,DataSet!$S$2:$S$600,0)</f>
        <v>1</v>
      </c>
      <c r="P278" s="15">
        <f>_xlfn.XLOOKUP(B278,DataSet!$N$2:$N$600,DataSet!$T$2:$T$600,0)</f>
        <v>0</v>
      </c>
      <c r="Q278" s="14">
        <f>_xlfn.XLOOKUP(B278,DataSet!$N$2:$N$600,DataSet!$U$2:$U$600,0)</f>
        <v>1.5548</v>
      </c>
      <c r="R278" s="16">
        <f>_xlfn.XLOOKUP(B278,DataSet!$N$2:$N$600,DataSet!$AB$2:$AB$600,0)</f>
        <v>5.98</v>
      </c>
      <c r="S278" s="9">
        <f>_xlfn.XLOOKUP(B278,DataSet!$N$2:$N$600,DataSet!$AC$2:$AC$600,0)</f>
        <v>5.98</v>
      </c>
    </row>
    <row r="279" spans="1:19" s="12" customFormat="1" x14ac:dyDescent="0.3">
      <c r="A279" s="27">
        <v>277</v>
      </c>
      <c r="B279" s="10" t="s">
        <v>1036</v>
      </c>
      <c r="C279" s="10" t="str">
        <f>_xlfn.XLOOKUP(B279,DataSet!$N$2:$N$600,DataSet!$AF$2:$AF$600,0)</f>
        <v>132976</v>
      </c>
      <c r="D279" s="10" t="str">
        <f>_xlfn.XLOOKUP(B279,DataSet!$N$2:$N$600,DataSet!$G$2:$G$600,0)</f>
        <v>Andrew Gjertsen</v>
      </c>
      <c r="E279" s="10" t="str">
        <f>_xlfn.XLOOKUP(B279,DataSet!$N$2:$N$600,DataSet!$F$2:$F$600,0)</f>
        <v>AG-10495</v>
      </c>
      <c r="F279" s="10" t="str">
        <f>_xlfn.XLOOKUP(B279,DataSet!$N$2:$N$600,DataSet!$W$2:$W$600,0)</f>
        <v>Corporate</v>
      </c>
      <c r="G279" s="13">
        <f>_xlfn.XLOOKUP(B279,DataSet!$N$2:$N$600,DataSet!$C$2:$C$600,0)</f>
        <v>43021</v>
      </c>
      <c r="H279" s="10" t="str">
        <f>_xlfn.XLOOKUP(B279,DataSet!$N$2:$N$600,DataSet!$I$2:$I$600,0)</f>
        <v>United States</v>
      </c>
      <c r="I279" s="10" t="str">
        <f>_xlfn.XLOOKUP(B279,DataSet!$N$2:$N$600,DataSet!$X$2:$X$600,0)</f>
        <v>Philadelphia - Pennsylvania</v>
      </c>
      <c r="J279" s="10" t="str">
        <f>_xlfn.XLOOKUP(B279,DataSet!$N$2:$N$600,DataSet!$M$2:$M$600,0)</f>
        <v>East</v>
      </c>
      <c r="K279" s="10" t="str">
        <f>_xlfn.XLOOKUP(B279,DataSet!$N$2:$N$600,DataSet!$O$2:$O$600,0)</f>
        <v>Office Supplies</v>
      </c>
      <c r="L279" s="10" t="str">
        <f>_xlfn.XLOOKUP(B279,DataSet!$N$2:$N$600,DataSet!$Y$2:$Y$600,0)</f>
        <v>Paper</v>
      </c>
      <c r="M279" s="10" t="str">
        <f>_xlfn.XLOOKUP(B279,DataSet!$N$2:$N$600,DataSet!$Q$2:$Q$600,0)</f>
        <v>Post-it “Important Message” Note Pad, Neon Colors, 50 Sheets/Pad</v>
      </c>
      <c r="N279" s="16">
        <f>_xlfn.XLOOKUP(B279,DataSet!$N$2:$N$600,DataSet!$AA$2:$AA$600,0)</f>
        <v>11.648</v>
      </c>
      <c r="O279" s="10">
        <f>_xlfn.XLOOKUP(B279,DataSet!$N$2:$N$600,DataSet!$S$2:$S$600,0)</f>
        <v>2</v>
      </c>
      <c r="P279" s="15">
        <f>_xlfn.XLOOKUP(B279,DataSet!$N$2:$N$600,DataSet!$T$2:$T$600,0)</f>
        <v>0.2</v>
      </c>
      <c r="Q279" s="14">
        <f>_xlfn.XLOOKUP(B279,DataSet!$N$2:$N$600,DataSet!$U$2:$U$600,0)</f>
        <v>4.0768000000000004</v>
      </c>
      <c r="R279" s="16">
        <f>_xlfn.XLOOKUP(B279,DataSet!$N$2:$N$600,DataSet!$AB$2:$AB$600,0)</f>
        <v>23.295999999999999</v>
      </c>
      <c r="S279" s="9">
        <f>_xlfn.XLOOKUP(B279,DataSet!$N$2:$N$600,DataSet!$AC$2:$AC$600,0)</f>
        <v>18.636800000000001</v>
      </c>
    </row>
    <row r="280" spans="1:19" s="12" customFormat="1" x14ac:dyDescent="0.3">
      <c r="A280" s="27">
        <v>278</v>
      </c>
      <c r="B280" s="10" t="s">
        <v>1038</v>
      </c>
      <c r="C280" s="10" t="str">
        <f>_xlfn.XLOOKUP(B280,DataSet!$N$2:$N$600,DataSet!$AF$2:$AF$600,0)</f>
        <v>132976</v>
      </c>
      <c r="D280" s="10" t="str">
        <f>_xlfn.XLOOKUP(B280,DataSet!$N$2:$N$600,DataSet!$G$2:$G$600,0)</f>
        <v>Andrew Gjertsen</v>
      </c>
      <c r="E280" s="10" t="str">
        <f>_xlfn.XLOOKUP(B280,DataSet!$N$2:$N$600,DataSet!$F$2:$F$600,0)</f>
        <v>AG-10495</v>
      </c>
      <c r="F280" s="10" t="str">
        <f>_xlfn.XLOOKUP(B280,DataSet!$N$2:$N$600,DataSet!$W$2:$W$600,0)</f>
        <v>Corporate</v>
      </c>
      <c r="G280" s="13">
        <f>_xlfn.XLOOKUP(B280,DataSet!$N$2:$N$600,DataSet!$C$2:$C$600,0)</f>
        <v>43021</v>
      </c>
      <c r="H280" s="10" t="str">
        <f>_xlfn.XLOOKUP(B280,DataSet!$N$2:$N$600,DataSet!$I$2:$I$600,0)</f>
        <v>United States</v>
      </c>
      <c r="I280" s="10" t="str">
        <f>_xlfn.XLOOKUP(B280,DataSet!$N$2:$N$600,DataSet!$X$2:$X$600,0)</f>
        <v>Philadelphia - Pennsylvania</v>
      </c>
      <c r="J280" s="10" t="str">
        <f>_xlfn.XLOOKUP(B280,DataSet!$N$2:$N$600,DataSet!$M$2:$M$600,0)</f>
        <v>East</v>
      </c>
      <c r="K280" s="10" t="str">
        <f>_xlfn.XLOOKUP(B280,DataSet!$N$2:$N$600,DataSet!$O$2:$O$600,0)</f>
        <v>Office Supplies</v>
      </c>
      <c r="L280" s="10" t="str">
        <f>_xlfn.XLOOKUP(B280,DataSet!$N$2:$N$600,DataSet!$Y$2:$Y$600,0)</f>
        <v>Paper</v>
      </c>
      <c r="M280" s="10" t="str">
        <f>_xlfn.XLOOKUP(B280,DataSet!$N$2:$N$600,DataSet!$Q$2:$Q$600,0)</f>
        <v>Adams Write n' Stick Phone Message Book, 11" X 5 1/4", 200 Messages</v>
      </c>
      <c r="N280" s="16">
        <f>_xlfn.XLOOKUP(B280,DataSet!$N$2:$N$600,DataSet!$AA$2:$AA$600,0)</f>
        <v>18.175999999999998</v>
      </c>
      <c r="O280" s="10">
        <f>_xlfn.XLOOKUP(B280,DataSet!$N$2:$N$600,DataSet!$S$2:$S$600,0)</f>
        <v>4</v>
      </c>
      <c r="P280" s="15">
        <f>_xlfn.XLOOKUP(B280,DataSet!$N$2:$N$600,DataSet!$T$2:$T$600,0)</f>
        <v>0.2</v>
      </c>
      <c r="Q280" s="14">
        <f>_xlfn.XLOOKUP(B280,DataSet!$N$2:$N$600,DataSet!$U$2:$U$600,0)</f>
        <v>5.9071999999999996</v>
      </c>
      <c r="R280" s="16">
        <f>_xlfn.XLOOKUP(B280,DataSet!$N$2:$N$600,DataSet!$AB$2:$AB$600,0)</f>
        <v>72.703999999999994</v>
      </c>
      <c r="S280" s="9">
        <f>_xlfn.XLOOKUP(B280,DataSet!$N$2:$N$600,DataSet!$AC$2:$AC$600,0)</f>
        <v>58.163199999999996</v>
      </c>
    </row>
    <row r="281" spans="1:19" s="12" customFormat="1" x14ac:dyDescent="0.3">
      <c r="A281" s="27">
        <v>279</v>
      </c>
      <c r="B281" s="10" t="s">
        <v>1040</v>
      </c>
      <c r="C281" s="10" t="str">
        <f>_xlfn.XLOOKUP(B281,DataSet!$N$2:$N$600,DataSet!$AF$2:$AF$600,0)</f>
        <v>132976</v>
      </c>
      <c r="D281" s="10" t="str">
        <f>_xlfn.XLOOKUP(B281,DataSet!$N$2:$N$600,DataSet!$G$2:$G$600,0)</f>
        <v>Andrew Gjertsen</v>
      </c>
      <c r="E281" s="10" t="str">
        <f>_xlfn.XLOOKUP(B281,DataSet!$N$2:$N$600,DataSet!$F$2:$F$600,0)</f>
        <v>AG-10495</v>
      </c>
      <c r="F281" s="10" t="str">
        <f>_xlfn.XLOOKUP(B281,DataSet!$N$2:$N$600,DataSet!$W$2:$W$600,0)</f>
        <v>Corporate</v>
      </c>
      <c r="G281" s="13">
        <f>_xlfn.XLOOKUP(B281,DataSet!$N$2:$N$600,DataSet!$C$2:$C$600,0)</f>
        <v>43021</v>
      </c>
      <c r="H281" s="10" t="str">
        <f>_xlfn.XLOOKUP(B281,DataSet!$N$2:$N$600,DataSet!$I$2:$I$600,0)</f>
        <v>United States</v>
      </c>
      <c r="I281" s="10" t="str">
        <f>_xlfn.XLOOKUP(B281,DataSet!$N$2:$N$600,DataSet!$X$2:$X$600,0)</f>
        <v>Philadelphia - Pennsylvania</v>
      </c>
      <c r="J281" s="10" t="str">
        <f>_xlfn.XLOOKUP(B281,DataSet!$N$2:$N$600,DataSet!$M$2:$M$600,0)</f>
        <v>East</v>
      </c>
      <c r="K281" s="10" t="str">
        <f>_xlfn.XLOOKUP(B281,DataSet!$N$2:$N$600,DataSet!$O$2:$O$600,0)</f>
        <v>Office Supplies</v>
      </c>
      <c r="L281" s="10" t="str">
        <f>_xlfn.XLOOKUP(B281,DataSet!$N$2:$N$600,DataSet!$Y$2:$Y$600,0)</f>
        <v>Storage</v>
      </c>
      <c r="M281" s="10" t="str">
        <f>_xlfn.XLOOKUP(B281,DataSet!$N$2:$N$600,DataSet!$Q$2:$Q$600,0)</f>
        <v>Eldon Simplefile Box Office</v>
      </c>
      <c r="N281" s="16">
        <f>_xlfn.XLOOKUP(B281,DataSet!$N$2:$N$600,DataSet!$AA$2:$AA$600,0)</f>
        <v>59.712000000000003</v>
      </c>
      <c r="O281" s="10">
        <f>_xlfn.XLOOKUP(B281,DataSet!$N$2:$N$600,DataSet!$S$2:$S$600,0)</f>
        <v>6</v>
      </c>
      <c r="P281" s="15">
        <f>_xlfn.XLOOKUP(B281,DataSet!$N$2:$N$600,DataSet!$T$2:$T$600,0)</f>
        <v>0.2</v>
      </c>
      <c r="Q281" s="14">
        <f>_xlfn.XLOOKUP(B281,DataSet!$N$2:$N$600,DataSet!$U$2:$U$600,0)</f>
        <v>5.9711999999999996</v>
      </c>
      <c r="R281" s="16">
        <f>_xlfn.XLOOKUP(B281,DataSet!$N$2:$N$600,DataSet!$AB$2:$AB$600,0)</f>
        <v>358.27200000000005</v>
      </c>
      <c r="S281" s="9">
        <f>_xlfn.XLOOKUP(B281,DataSet!$N$2:$N$600,DataSet!$AC$2:$AC$600,0)</f>
        <v>286.61760000000004</v>
      </c>
    </row>
    <row r="282" spans="1:19" s="12" customFormat="1" x14ac:dyDescent="0.3">
      <c r="A282" s="27">
        <v>280</v>
      </c>
      <c r="B282" s="10" t="s">
        <v>1042</v>
      </c>
      <c r="C282" s="10" t="str">
        <f>_xlfn.XLOOKUP(B282,DataSet!$N$2:$N$600,DataSet!$AF$2:$AF$600,0)</f>
        <v>132976</v>
      </c>
      <c r="D282" s="10" t="str">
        <f>_xlfn.XLOOKUP(B282,DataSet!$N$2:$N$600,DataSet!$G$2:$G$600,0)</f>
        <v>Andrew Gjertsen</v>
      </c>
      <c r="E282" s="10" t="str">
        <f>_xlfn.XLOOKUP(B282,DataSet!$N$2:$N$600,DataSet!$F$2:$F$600,0)</f>
        <v>AG-10495</v>
      </c>
      <c r="F282" s="10" t="str">
        <f>_xlfn.XLOOKUP(B282,DataSet!$N$2:$N$600,DataSet!$W$2:$W$600,0)</f>
        <v>Corporate</v>
      </c>
      <c r="G282" s="13">
        <f>_xlfn.XLOOKUP(B282,DataSet!$N$2:$N$600,DataSet!$C$2:$C$600,0)</f>
        <v>43021</v>
      </c>
      <c r="H282" s="10" t="str">
        <f>_xlfn.XLOOKUP(B282,DataSet!$N$2:$N$600,DataSet!$I$2:$I$600,0)</f>
        <v>United States</v>
      </c>
      <c r="I282" s="10" t="str">
        <f>_xlfn.XLOOKUP(B282,DataSet!$N$2:$N$600,DataSet!$X$2:$X$600,0)</f>
        <v>Philadelphia - Pennsylvania</v>
      </c>
      <c r="J282" s="10" t="str">
        <f>_xlfn.XLOOKUP(B282,DataSet!$N$2:$N$600,DataSet!$M$2:$M$600,0)</f>
        <v>East</v>
      </c>
      <c r="K282" s="10" t="str">
        <f>_xlfn.XLOOKUP(B282,DataSet!$N$2:$N$600,DataSet!$O$2:$O$600,0)</f>
        <v>Office Supplies</v>
      </c>
      <c r="L282" s="10" t="str">
        <f>_xlfn.XLOOKUP(B282,DataSet!$N$2:$N$600,DataSet!$Y$2:$Y$600,0)</f>
        <v>Labels</v>
      </c>
      <c r="M282" s="10" t="str">
        <f>_xlfn.XLOOKUP(B282,DataSet!$N$2:$N$600,DataSet!$Q$2:$Q$600,0)</f>
        <v>Avery 489</v>
      </c>
      <c r="N282" s="16">
        <f>_xlfn.XLOOKUP(B282,DataSet!$N$2:$N$600,DataSet!$AA$2:$AA$600,0)</f>
        <v>24.84</v>
      </c>
      <c r="O282" s="10">
        <f>_xlfn.XLOOKUP(B282,DataSet!$N$2:$N$600,DataSet!$S$2:$S$600,0)</f>
        <v>3</v>
      </c>
      <c r="P282" s="15">
        <f>_xlfn.XLOOKUP(B282,DataSet!$N$2:$N$600,DataSet!$T$2:$T$600,0)</f>
        <v>0.2</v>
      </c>
      <c r="Q282" s="14">
        <f>_xlfn.XLOOKUP(B282,DataSet!$N$2:$N$600,DataSet!$U$2:$U$600,0)</f>
        <v>8.6940000000000008</v>
      </c>
      <c r="R282" s="16">
        <f>_xlfn.XLOOKUP(B282,DataSet!$N$2:$N$600,DataSet!$AB$2:$AB$600,0)</f>
        <v>74.52</v>
      </c>
      <c r="S282" s="9">
        <f>_xlfn.XLOOKUP(B282,DataSet!$N$2:$N$600,DataSet!$AC$2:$AC$600,0)</f>
        <v>59.616</v>
      </c>
    </row>
    <row r="283" spans="1:19" s="12" customFormat="1" x14ac:dyDescent="0.3">
      <c r="A283" s="27">
        <v>281</v>
      </c>
      <c r="B283" s="10" t="s">
        <v>1045</v>
      </c>
      <c r="C283" s="10" t="str">
        <f>_xlfn.XLOOKUP(B283,DataSet!$N$2:$N$600,DataSet!$AF$2:$AF$600,0)</f>
        <v>161991</v>
      </c>
      <c r="D283" s="10" t="str">
        <f>_xlfn.XLOOKUP(B283,DataSet!$N$2:$N$600,DataSet!$G$2:$G$600,0)</f>
        <v>Steven Cartwright</v>
      </c>
      <c r="E283" s="10" t="str">
        <f>_xlfn.XLOOKUP(B283,DataSet!$N$2:$N$600,DataSet!$F$2:$F$600,0)</f>
        <v>SC-20725</v>
      </c>
      <c r="F283" s="10" t="str">
        <f>_xlfn.XLOOKUP(B283,DataSet!$N$2:$N$600,DataSet!$W$2:$W$600,0)</f>
        <v>Consumer</v>
      </c>
      <c r="G283" s="13">
        <f>_xlfn.XLOOKUP(B283,DataSet!$N$2:$N$600,DataSet!$C$2:$C$600,0)</f>
        <v>42273</v>
      </c>
      <c r="H283" s="10" t="str">
        <f>_xlfn.XLOOKUP(B283,DataSet!$N$2:$N$600,DataSet!$I$2:$I$600,0)</f>
        <v>United States</v>
      </c>
      <c r="I283" s="10" t="str">
        <f>_xlfn.XLOOKUP(B283,DataSet!$N$2:$N$600,DataSet!$X$2:$X$600,0)</f>
        <v>Houston - Texas</v>
      </c>
      <c r="J283" s="10" t="str">
        <f>_xlfn.XLOOKUP(B283,DataSet!$N$2:$N$600,DataSet!$M$2:$M$600,0)</f>
        <v>Central</v>
      </c>
      <c r="K283" s="10" t="str">
        <f>_xlfn.XLOOKUP(B283,DataSet!$N$2:$N$600,DataSet!$O$2:$O$600,0)</f>
        <v>Office Supplies</v>
      </c>
      <c r="L283" s="10" t="str">
        <f>_xlfn.XLOOKUP(B283,DataSet!$N$2:$N$600,DataSet!$Y$2:$Y$600,0)</f>
        <v>Binders</v>
      </c>
      <c r="M283" s="10" t="str">
        <f>_xlfn.XLOOKUP(B283,DataSet!$N$2:$N$600,DataSet!$Q$2:$Q$600,0)</f>
        <v>Round Ring Binders</v>
      </c>
      <c r="N283" s="16">
        <f>_xlfn.XLOOKUP(B283,DataSet!$N$2:$N$600,DataSet!$AA$2:$AA$600,0)</f>
        <v>2.08</v>
      </c>
      <c r="O283" s="10">
        <f>_xlfn.XLOOKUP(B283,DataSet!$N$2:$N$600,DataSet!$S$2:$S$600,0)</f>
        <v>5</v>
      </c>
      <c r="P283" s="15">
        <f>_xlfn.XLOOKUP(B283,DataSet!$N$2:$N$600,DataSet!$T$2:$T$600,0)</f>
        <v>0.8</v>
      </c>
      <c r="Q283" s="14">
        <f>_xlfn.XLOOKUP(B283,DataSet!$N$2:$N$600,DataSet!$U$2:$U$600,0)</f>
        <v>-3.4319999999999999</v>
      </c>
      <c r="R283" s="16">
        <f>_xlfn.XLOOKUP(B283,DataSet!$N$2:$N$600,DataSet!$AB$2:$AB$600,0)</f>
        <v>10.4</v>
      </c>
      <c r="S283" s="9">
        <f>_xlfn.XLOOKUP(B283,DataSet!$N$2:$N$600,DataSet!$AC$2:$AC$600,0)</f>
        <v>2.0799999999999996</v>
      </c>
    </row>
    <row r="284" spans="1:19" s="12" customFormat="1" x14ac:dyDescent="0.3">
      <c r="A284" s="27">
        <v>282</v>
      </c>
      <c r="B284" s="10" t="s">
        <v>1047</v>
      </c>
      <c r="C284" s="10" t="str">
        <f>_xlfn.XLOOKUP(B284,DataSet!$N$2:$N$600,DataSet!$AF$2:$AF$600,0)</f>
        <v>161991</v>
      </c>
      <c r="D284" s="10" t="str">
        <f>_xlfn.XLOOKUP(B284,DataSet!$N$2:$N$600,DataSet!$G$2:$G$600,0)</f>
        <v>Steven Cartwright</v>
      </c>
      <c r="E284" s="10" t="str">
        <f>_xlfn.XLOOKUP(B284,DataSet!$N$2:$N$600,DataSet!$F$2:$F$600,0)</f>
        <v>SC-20725</v>
      </c>
      <c r="F284" s="10" t="str">
        <f>_xlfn.XLOOKUP(B284,DataSet!$N$2:$N$600,DataSet!$W$2:$W$600,0)</f>
        <v>Consumer</v>
      </c>
      <c r="G284" s="13">
        <f>_xlfn.XLOOKUP(B284,DataSet!$N$2:$N$600,DataSet!$C$2:$C$600,0)</f>
        <v>42273</v>
      </c>
      <c r="H284" s="10" t="str">
        <f>_xlfn.XLOOKUP(B284,DataSet!$N$2:$N$600,DataSet!$I$2:$I$600,0)</f>
        <v>United States</v>
      </c>
      <c r="I284" s="10" t="str">
        <f>_xlfn.XLOOKUP(B284,DataSet!$N$2:$N$600,DataSet!$X$2:$X$600,0)</f>
        <v>Houston - Texas</v>
      </c>
      <c r="J284" s="10" t="str">
        <f>_xlfn.XLOOKUP(B284,DataSet!$N$2:$N$600,DataSet!$M$2:$M$600,0)</f>
        <v>Central</v>
      </c>
      <c r="K284" s="10" t="str">
        <f>_xlfn.XLOOKUP(B284,DataSet!$N$2:$N$600,DataSet!$O$2:$O$600,0)</f>
        <v>Technology</v>
      </c>
      <c r="L284" s="10" t="str">
        <f>_xlfn.XLOOKUP(B284,DataSet!$N$2:$N$600,DataSet!$Y$2:$Y$600,0)</f>
        <v>Phones</v>
      </c>
      <c r="M284" s="10" t="str">
        <f>_xlfn.XLOOKUP(B284,DataSet!$N$2:$N$600,DataSet!$Q$2:$Q$600,0)</f>
        <v>Bose SoundLink Bluetooth Speaker</v>
      </c>
      <c r="N284" s="16">
        <f>_xlfn.XLOOKUP(B284,DataSet!$N$2:$N$600,DataSet!$AA$2:$AA$600,0)</f>
        <v>1114.4000000000001</v>
      </c>
      <c r="O284" s="10">
        <f>_xlfn.XLOOKUP(B284,DataSet!$N$2:$N$600,DataSet!$S$2:$S$600,0)</f>
        <v>7</v>
      </c>
      <c r="P284" s="15">
        <f>_xlfn.XLOOKUP(B284,DataSet!$N$2:$N$600,DataSet!$T$2:$T$600,0)</f>
        <v>0.2</v>
      </c>
      <c r="Q284" s="14">
        <f>_xlfn.XLOOKUP(B284,DataSet!$N$2:$N$600,DataSet!$U$2:$U$600,0)</f>
        <v>376.11</v>
      </c>
      <c r="R284" s="16">
        <f>_xlfn.XLOOKUP(B284,DataSet!$N$2:$N$600,DataSet!$AB$2:$AB$600,0)</f>
        <v>7800.8000000000011</v>
      </c>
      <c r="S284" s="9">
        <f>_xlfn.XLOOKUP(B284,DataSet!$N$2:$N$600,DataSet!$AC$2:$AC$600,0)</f>
        <v>6240.6400000000012</v>
      </c>
    </row>
    <row r="285" spans="1:19" s="12" customFormat="1" x14ac:dyDescent="0.3">
      <c r="A285" s="27">
        <v>283</v>
      </c>
      <c r="B285" s="10" t="s">
        <v>1052</v>
      </c>
      <c r="C285" s="10" t="str">
        <f>_xlfn.XLOOKUP(B285,DataSet!$N$2:$N$600,DataSet!$AF$2:$AF$600,0)</f>
        <v>130890</v>
      </c>
      <c r="D285" s="10" t="str">
        <f>_xlfn.XLOOKUP(B285,DataSet!$N$2:$N$600,DataSet!$G$2:$G$600,0)</f>
        <v>Jas O'Carroll</v>
      </c>
      <c r="E285" s="10" t="str">
        <f>_xlfn.XLOOKUP(B285,DataSet!$N$2:$N$600,DataSet!$F$2:$F$600,0)</f>
        <v>JO-15280</v>
      </c>
      <c r="F285" s="10" t="str">
        <f>_xlfn.XLOOKUP(B285,DataSet!$N$2:$N$600,DataSet!$W$2:$W$600,0)</f>
        <v>Consumer</v>
      </c>
      <c r="G285" s="13">
        <f>_xlfn.XLOOKUP(B285,DataSet!$N$2:$N$600,DataSet!$C$2:$C$600,0)</f>
        <v>42310</v>
      </c>
      <c r="H285" s="10" t="str">
        <f>_xlfn.XLOOKUP(B285,DataSet!$N$2:$N$600,DataSet!$I$2:$I$600,0)</f>
        <v>United States</v>
      </c>
      <c r="I285" s="10" t="str">
        <f>_xlfn.XLOOKUP(B285,DataSet!$N$2:$N$600,DataSet!$X$2:$X$600,0)</f>
        <v>Los Angeles - California</v>
      </c>
      <c r="J285" s="10" t="str">
        <f>_xlfn.XLOOKUP(B285,DataSet!$N$2:$N$600,DataSet!$M$2:$M$600,0)</f>
        <v>West</v>
      </c>
      <c r="K285" s="10" t="str">
        <f>_xlfn.XLOOKUP(B285,DataSet!$N$2:$N$600,DataSet!$O$2:$O$600,0)</f>
        <v>Furniture</v>
      </c>
      <c r="L285" s="10" t="str">
        <f>_xlfn.XLOOKUP(B285,DataSet!$N$2:$N$600,DataSet!$Y$2:$Y$600,0)</f>
        <v>Tables</v>
      </c>
      <c r="M285" s="10" t="str">
        <f>_xlfn.XLOOKUP(B285,DataSet!$N$2:$N$600,DataSet!$Q$2:$Q$600,0)</f>
        <v>Bevis Round Bullnose 29" High Table Top</v>
      </c>
      <c r="N285" s="16">
        <f>_xlfn.XLOOKUP(B285,DataSet!$N$2:$N$600,DataSet!$AA$2:$AA$600,0)</f>
        <v>1038.8399999999999</v>
      </c>
      <c r="O285" s="10">
        <f>_xlfn.XLOOKUP(B285,DataSet!$N$2:$N$600,DataSet!$S$2:$S$600,0)</f>
        <v>5</v>
      </c>
      <c r="P285" s="15">
        <f>_xlfn.XLOOKUP(B285,DataSet!$N$2:$N$600,DataSet!$T$2:$T$600,0)</f>
        <v>0.2</v>
      </c>
      <c r="Q285" s="14">
        <f>_xlfn.XLOOKUP(B285,DataSet!$N$2:$N$600,DataSet!$U$2:$U$600,0)</f>
        <v>51.942</v>
      </c>
      <c r="R285" s="16">
        <f>_xlfn.XLOOKUP(B285,DataSet!$N$2:$N$600,DataSet!$AB$2:$AB$600,0)</f>
        <v>5194.2</v>
      </c>
      <c r="S285" s="9">
        <f>_xlfn.XLOOKUP(B285,DataSet!$N$2:$N$600,DataSet!$AC$2:$AC$600,0)</f>
        <v>4155.3599999999997</v>
      </c>
    </row>
    <row r="286" spans="1:19" s="12" customFormat="1" x14ac:dyDescent="0.3">
      <c r="A286" s="27">
        <v>284</v>
      </c>
      <c r="B286" s="10" t="s">
        <v>1055</v>
      </c>
      <c r="C286" s="10" t="str">
        <f>_xlfn.XLOOKUP(B286,DataSet!$N$2:$N$600,DataSet!$AF$2:$AF$600,0)</f>
        <v>130883</v>
      </c>
      <c r="D286" s="10" t="str">
        <f>_xlfn.XLOOKUP(B286,DataSet!$N$2:$N$600,DataSet!$G$2:$G$600,0)</f>
        <v>Tracy Blumstein</v>
      </c>
      <c r="E286" s="10" t="str">
        <f>_xlfn.XLOOKUP(B286,DataSet!$N$2:$N$600,DataSet!$F$2:$F$600,0)</f>
        <v>TB-21520</v>
      </c>
      <c r="F286" s="10" t="str">
        <f>_xlfn.XLOOKUP(B286,DataSet!$N$2:$N$600,DataSet!$W$2:$W$600,0)</f>
        <v>Consumer</v>
      </c>
      <c r="G286" s="13">
        <f>_xlfn.XLOOKUP(B286,DataSet!$N$2:$N$600,DataSet!$C$2:$C$600,0)</f>
        <v>42273</v>
      </c>
      <c r="H286" s="10" t="str">
        <f>_xlfn.XLOOKUP(B286,DataSet!$N$2:$N$600,DataSet!$I$2:$I$600,0)</f>
        <v>United States</v>
      </c>
      <c r="I286" s="10" t="str">
        <f>_xlfn.XLOOKUP(B286,DataSet!$N$2:$N$600,DataSet!$X$2:$X$600,0)</f>
        <v>Portland - Oregon</v>
      </c>
      <c r="J286" s="10" t="str">
        <f>_xlfn.XLOOKUP(B286,DataSet!$N$2:$N$600,DataSet!$M$2:$M$600,0)</f>
        <v>West</v>
      </c>
      <c r="K286" s="10" t="str">
        <f>_xlfn.XLOOKUP(B286,DataSet!$N$2:$N$600,DataSet!$O$2:$O$600,0)</f>
        <v>Office Supplies</v>
      </c>
      <c r="L286" s="10" t="str">
        <f>_xlfn.XLOOKUP(B286,DataSet!$N$2:$N$600,DataSet!$Y$2:$Y$600,0)</f>
        <v>Paper</v>
      </c>
      <c r="M286" s="10" t="str">
        <f>_xlfn.XLOOKUP(B286,DataSet!$N$2:$N$600,DataSet!$Q$2:$Q$600,0)</f>
        <v>Easy-staple paper</v>
      </c>
      <c r="N286" s="16">
        <f>_xlfn.XLOOKUP(B286,DataSet!$N$2:$N$600,DataSet!$AA$2:$AA$600,0)</f>
        <v>141.76</v>
      </c>
      <c r="O286" s="10">
        <f>_xlfn.XLOOKUP(B286,DataSet!$N$2:$N$600,DataSet!$S$2:$S$600,0)</f>
        <v>5</v>
      </c>
      <c r="P286" s="15">
        <f>_xlfn.XLOOKUP(B286,DataSet!$N$2:$N$600,DataSet!$T$2:$T$600,0)</f>
        <v>0.2</v>
      </c>
      <c r="Q286" s="14">
        <f>_xlfn.XLOOKUP(B286,DataSet!$N$2:$N$600,DataSet!$U$2:$U$600,0)</f>
        <v>47.844000000000001</v>
      </c>
      <c r="R286" s="16">
        <f>_xlfn.XLOOKUP(B286,DataSet!$N$2:$N$600,DataSet!$AB$2:$AB$600,0)</f>
        <v>708.8</v>
      </c>
      <c r="S286" s="9">
        <f>_xlfn.XLOOKUP(B286,DataSet!$N$2:$N$600,DataSet!$AC$2:$AC$600,0)</f>
        <v>567.04</v>
      </c>
    </row>
    <row r="287" spans="1:19" s="12" customFormat="1" x14ac:dyDescent="0.3">
      <c r="A287" s="27">
        <v>285</v>
      </c>
      <c r="B287" s="10" t="s">
        <v>1056</v>
      </c>
      <c r="C287" s="10" t="str">
        <f>_xlfn.XLOOKUP(B287,DataSet!$N$2:$N$600,DataSet!$AF$2:$AF$600,0)</f>
        <v>130883</v>
      </c>
      <c r="D287" s="10" t="str">
        <f>_xlfn.XLOOKUP(B287,DataSet!$N$2:$N$600,DataSet!$G$2:$G$600,0)</f>
        <v>Tracy Blumstein</v>
      </c>
      <c r="E287" s="10" t="str">
        <f>_xlfn.XLOOKUP(B287,DataSet!$N$2:$N$600,DataSet!$F$2:$F$600,0)</f>
        <v>TB-21520</v>
      </c>
      <c r="F287" s="10" t="str">
        <f>_xlfn.XLOOKUP(B287,DataSet!$N$2:$N$600,DataSet!$W$2:$W$600,0)</f>
        <v>Consumer</v>
      </c>
      <c r="G287" s="13">
        <f>_xlfn.XLOOKUP(B287,DataSet!$N$2:$N$600,DataSet!$C$2:$C$600,0)</f>
        <v>42273</v>
      </c>
      <c r="H287" s="10" t="str">
        <f>_xlfn.XLOOKUP(B287,DataSet!$N$2:$N$600,DataSet!$I$2:$I$600,0)</f>
        <v>United States</v>
      </c>
      <c r="I287" s="10" t="str">
        <f>_xlfn.XLOOKUP(B287,DataSet!$N$2:$N$600,DataSet!$X$2:$X$600,0)</f>
        <v>Portland - Oregon</v>
      </c>
      <c r="J287" s="10" t="str">
        <f>_xlfn.XLOOKUP(B287,DataSet!$N$2:$N$600,DataSet!$M$2:$M$600,0)</f>
        <v>West</v>
      </c>
      <c r="K287" s="10" t="str">
        <f>_xlfn.XLOOKUP(B287,DataSet!$N$2:$N$600,DataSet!$O$2:$O$600,0)</f>
        <v>Technology</v>
      </c>
      <c r="L287" s="10" t="str">
        <f>_xlfn.XLOOKUP(B287,DataSet!$N$2:$N$600,DataSet!$Y$2:$Y$600,0)</f>
        <v>Accessories</v>
      </c>
      <c r="M287" s="10" t="str">
        <f>_xlfn.XLOOKUP(B287,DataSet!$N$2:$N$600,DataSet!$Q$2:$Q$600,0)</f>
        <v>Microsoft Arc Touch Mouse</v>
      </c>
      <c r="N287" s="16">
        <f>_xlfn.XLOOKUP(B287,DataSet!$N$2:$N$600,DataSet!$AA$2:$AA$600,0)</f>
        <v>239.8</v>
      </c>
      <c r="O287" s="10">
        <f>_xlfn.XLOOKUP(B287,DataSet!$N$2:$N$600,DataSet!$S$2:$S$600,0)</f>
        <v>5</v>
      </c>
      <c r="P287" s="15">
        <f>_xlfn.XLOOKUP(B287,DataSet!$N$2:$N$600,DataSet!$T$2:$T$600,0)</f>
        <v>0.2</v>
      </c>
      <c r="Q287" s="14">
        <f>_xlfn.XLOOKUP(B287,DataSet!$N$2:$N$600,DataSet!$U$2:$U$600,0)</f>
        <v>47.96</v>
      </c>
      <c r="R287" s="16">
        <f>_xlfn.XLOOKUP(B287,DataSet!$N$2:$N$600,DataSet!$AB$2:$AB$600,0)</f>
        <v>1199</v>
      </c>
      <c r="S287" s="9">
        <f>_xlfn.XLOOKUP(B287,DataSet!$N$2:$N$600,DataSet!$AC$2:$AC$600,0)</f>
        <v>959.2</v>
      </c>
    </row>
    <row r="288" spans="1:19" s="12" customFormat="1" x14ac:dyDescent="0.3">
      <c r="A288" s="27">
        <v>286</v>
      </c>
      <c r="B288" s="10" t="s">
        <v>1058</v>
      </c>
      <c r="C288" s="10" t="str">
        <f>_xlfn.XLOOKUP(B288,DataSet!$N$2:$N$600,DataSet!$AF$2:$AF$600,0)</f>
        <v>130883</v>
      </c>
      <c r="D288" s="10" t="str">
        <f>_xlfn.XLOOKUP(B288,DataSet!$N$2:$N$600,DataSet!$G$2:$G$600,0)</f>
        <v>Tracy Blumstein</v>
      </c>
      <c r="E288" s="10" t="str">
        <f>_xlfn.XLOOKUP(B288,DataSet!$N$2:$N$600,DataSet!$F$2:$F$600,0)</f>
        <v>TB-21520</v>
      </c>
      <c r="F288" s="10" t="str">
        <f>_xlfn.XLOOKUP(B288,DataSet!$N$2:$N$600,DataSet!$W$2:$W$600,0)</f>
        <v>Consumer</v>
      </c>
      <c r="G288" s="13">
        <f>_xlfn.XLOOKUP(B288,DataSet!$N$2:$N$600,DataSet!$C$2:$C$600,0)</f>
        <v>42273</v>
      </c>
      <c r="H288" s="10" t="str">
        <f>_xlfn.XLOOKUP(B288,DataSet!$N$2:$N$600,DataSet!$I$2:$I$600,0)</f>
        <v>United States</v>
      </c>
      <c r="I288" s="10" t="str">
        <f>_xlfn.XLOOKUP(B288,DataSet!$N$2:$N$600,DataSet!$X$2:$X$600,0)</f>
        <v>Portland - Oregon</v>
      </c>
      <c r="J288" s="10" t="str">
        <f>_xlfn.XLOOKUP(B288,DataSet!$N$2:$N$600,DataSet!$M$2:$M$600,0)</f>
        <v>West</v>
      </c>
      <c r="K288" s="10" t="str">
        <f>_xlfn.XLOOKUP(B288,DataSet!$N$2:$N$600,DataSet!$O$2:$O$600,0)</f>
        <v>Office Supplies</v>
      </c>
      <c r="L288" s="10" t="str">
        <f>_xlfn.XLOOKUP(B288,DataSet!$N$2:$N$600,DataSet!$Y$2:$Y$600,0)</f>
        <v>Paper</v>
      </c>
      <c r="M288" s="10" t="str">
        <f>_xlfn.XLOOKUP(B288,DataSet!$N$2:$N$600,DataSet!$Q$2:$Q$600,0)</f>
        <v>Xerox 216</v>
      </c>
      <c r="N288" s="16">
        <f>_xlfn.XLOOKUP(B288,DataSet!$N$2:$N$600,DataSet!$AA$2:$AA$600,0)</f>
        <v>31.103999999999999</v>
      </c>
      <c r="O288" s="10">
        <f>_xlfn.XLOOKUP(B288,DataSet!$N$2:$N$600,DataSet!$S$2:$S$600,0)</f>
        <v>6</v>
      </c>
      <c r="P288" s="15">
        <f>_xlfn.XLOOKUP(B288,DataSet!$N$2:$N$600,DataSet!$T$2:$T$600,0)</f>
        <v>0.2</v>
      </c>
      <c r="Q288" s="14">
        <f>_xlfn.XLOOKUP(B288,DataSet!$N$2:$N$600,DataSet!$U$2:$U$600,0)</f>
        <v>10.8864</v>
      </c>
      <c r="R288" s="16">
        <f>_xlfn.XLOOKUP(B288,DataSet!$N$2:$N$600,DataSet!$AB$2:$AB$600,0)</f>
        <v>186.624</v>
      </c>
      <c r="S288" s="9">
        <f>_xlfn.XLOOKUP(B288,DataSet!$N$2:$N$600,DataSet!$AC$2:$AC$600,0)</f>
        <v>149.29920000000001</v>
      </c>
    </row>
    <row r="289" spans="1:19" s="12" customFormat="1" x14ac:dyDescent="0.3">
      <c r="A289" s="27">
        <v>287</v>
      </c>
      <c r="B289" s="10" t="s">
        <v>1064</v>
      </c>
      <c r="C289" s="10" t="str">
        <f>_xlfn.XLOOKUP(B289,DataSet!$N$2:$N$600,DataSet!$AF$2:$AF$600,0)</f>
        <v>112697</v>
      </c>
      <c r="D289" s="10" t="str">
        <f>_xlfn.XLOOKUP(B289,DataSet!$N$2:$N$600,DataSet!$G$2:$G$600,0)</f>
        <v>Alan Haines</v>
      </c>
      <c r="E289" s="10" t="str">
        <f>_xlfn.XLOOKUP(B289,DataSet!$N$2:$N$600,DataSet!$F$2:$F$600,0)</f>
        <v>AH-10195</v>
      </c>
      <c r="F289" s="10" t="str">
        <f>_xlfn.XLOOKUP(B289,DataSet!$N$2:$N$600,DataSet!$W$2:$W$600,0)</f>
        <v>Corporate</v>
      </c>
      <c r="G289" s="13">
        <f>_xlfn.XLOOKUP(B289,DataSet!$N$2:$N$600,DataSet!$C$2:$C$600,0)</f>
        <v>42722</v>
      </c>
      <c r="H289" s="10" t="str">
        <f>_xlfn.XLOOKUP(B289,DataSet!$N$2:$N$600,DataSet!$I$2:$I$600,0)</f>
        <v>United States</v>
      </c>
      <c r="I289" s="10" t="str">
        <f>_xlfn.XLOOKUP(B289,DataSet!$N$2:$N$600,DataSet!$X$2:$X$600,0)</f>
        <v>Tamarac - Florida</v>
      </c>
      <c r="J289" s="10" t="str">
        <f>_xlfn.XLOOKUP(B289,DataSet!$N$2:$N$600,DataSet!$M$2:$M$600,0)</f>
        <v>South</v>
      </c>
      <c r="K289" s="10" t="str">
        <f>_xlfn.XLOOKUP(B289,DataSet!$N$2:$N$600,DataSet!$O$2:$O$600,0)</f>
        <v>Office Supplies</v>
      </c>
      <c r="L289" s="10" t="str">
        <f>_xlfn.XLOOKUP(B289,DataSet!$N$2:$N$600,DataSet!$Y$2:$Y$600,0)</f>
        <v>Binders</v>
      </c>
      <c r="M289" s="10" t="str">
        <f>_xlfn.XLOOKUP(B289,DataSet!$N$2:$N$600,DataSet!$Q$2:$Q$600,0)</f>
        <v>GBC VeloBinder Electric Binding Machine</v>
      </c>
      <c r="N289" s="16">
        <f>_xlfn.XLOOKUP(B289,DataSet!$N$2:$N$600,DataSet!$AA$2:$AA$600,0)</f>
        <v>254.05799999999999</v>
      </c>
      <c r="O289" s="10">
        <f>_xlfn.XLOOKUP(B289,DataSet!$N$2:$N$600,DataSet!$S$2:$S$600,0)</f>
        <v>7</v>
      </c>
      <c r="P289" s="15">
        <f>_xlfn.XLOOKUP(B289,DataSet!$N$2:$N$600,DataSet!$T$2:$T$600,0)</f>
        <v>0.7</v>
      </c>
      <c r="Q289" s="14">
        <f>_xlfn.XLOOKUP(B289,DataSet!$N$2:$N$600,DataSet!$U$2:$U$600,0)</f>
        <v>-169.37200000000001</v>
      </c>
      <c r="R289" s="16">
        <f>_xlfn.XLOOKUP(B289,DataSet!$N$2:$N$600,DataSet!$AB$2:$AB$600,0)</f>
        <v>1778.4059999999999</v>
      </c>
      <c r="S289" s="9">
        <f>_xlfn.XLOOKUP(B289,DataSet!$N$2:$N$600,DataSet!$AC$2:$AC$600,0)</f>
        <v>533.5218000000001</v>
      </c>
    </row>
    <row r="290" spans="1:19" s="12" customFormat="1" x14ac:dyDescent="0.3">
      <c r="A290" s="27">
        <v>288</v>
      </c>
      <c r="B290" s="10" t="s">
        <v>713</v>
      </c>
      <c r="C290" s="10" t="str">
        <f>_xlfn.XLOOKUP(B290,DataSet!$N$2:$N$600,DataSet!$AF$2:$AF$600,0)</f>
        <v>152366</v>
      </c>
      <c r="D290" s="10" t="str">
        <f>_xlfn.XLOOKUP(B290,DataSet!$N$2:$N$600,DataSet!$G$2:$G$600,0)</f>
        <v>Shirley Jackson</v>
      </c>
      <c r="E290" s="10" t="str">
        <f>_xlfn.XLOOKUP(B290,DataSet!$N$2:$N$600,DataSet!$F$2:$F$600,0)</f>
        <v>SJ-20500</v>
      </c>
      <c r="F290" s="10" t="str">
        <f>_xlfn.XLOOKUP(B290,DataSet!$N$2:$N$600,DataSet!$W$2:$W$600,0)</f>
        <v>Consumer</v>
      </c>
      <c r="G290" s="13">
        <f>_xlfn.XLOOKUP(B290,DataSet!$N$2:$N$600,DataSet!$C$2:$C$600,0)</f>
        <v>42846</v>
      </c>
      <c r="H290" s="10" t="str">
        <f>_xlfn.XLOOKUP(B290,DataSet!$N$2:$N$600,DataSet!$I$2:$I$600,0)</f>
        <v>United States</v>
      </c>
      <c r="I290" s="10" t="str">
        <f>_xlfn.XLOOKUP(B290,DataSet!$N$2:$N$600,DataSet!$X$2:$X$600,0)</f>
        <v>Houston - Texas</v>
      </c>
      <c r="J290" s="10" t="str">
        <f>_xlfn.XLOOKUP(B290,DataSet!$N$2:$N$600,DataSet!$M$2:$M$600,0)</f>
        <v>Central</v>
      </c>
      <c r="K290" s="10" t="str">
        <f>_xlfn.XLOOKUP(B290,DataSet!$N$2:$N$600,DataSet!$O$2:$O$600,0)</f>
        <v>Office Supplies</v>
      </c>
      <c r="L290" s="10" t="str">
        <f>_xlfn.XLOOKUP(B290,DataSet!$N$2:$N$600,DataSet!$Y$2:$Y$600,0)</f>
        <v>Appliances</v>
      </c>
      <c r="M290" s="10" t="str">
        <f>_xlfn.XLOOKUP(B290,DataSet!$N$2:$N$600,DataSet!$Q$2:$Q$600,0)</f>
        <v>Acco 7-Outlet Masterpiece Power Center, Wihtout Fax/Phone Line Protection</v>
      </c>
      <c r="N290" s="16">
        <f>_xlfn.XLOOKUP(B290,DataSet!$N$2:$N$600,DataSet!$AA$2:$AA$600,0)</f>
        <v>97.263999999999996</v>
      </c>
      <c r="O290" s="10">
        <f>_xlfn.XLOOKUP(B290,DataSet!$N$2:$N$600,DataSet!$S$2:$S$600,0)</f>
        <v>4</v>
      </c>
      <c r="P290" s="15">
        <f>_xlfn.XLOOKUP(B290,DataSet!$N$2:$N$600,DataSet!$T$2:$T$600,0)</f>
        <v>0.8</v>
      </c>
      <c r="Q290" s="14">
        <f>_xlfn.XLOOKUP(B290,DataSet!$N$2:$N$600,DataSet!$U$2:$U$600,0)</f>
        <v>-243.16</v>
      </c>
      <c r="R290" s="16">
        <f>_xlfn.XLOOKUP(B290,DataSet!$N$2:$N$600,DataSet!$AB$2:$AB$600,0)</f>
        <v>389.05599999999998</v>
      </c>
      <c r="S290" s="9">
        <f>_xlfn.XLOOKUP(B290,DataSet!$N$2:$N$600,DataSet!$AC$2:$AC$600,0)</f>
        <v>77.811199999999985</v>
      </c>
    </row>
    <row r="291" spans="1:19" s="12" customFormat="1" x14ac:dyDescent="0.3">
      <c r="A291" s="27">
        <v>289</v>
      </c>
      <c r="B291" s="10" t="s">
        <v>1066</v>
      </c>
      <c r="C291" s="10" t="str">
        <f>_xlfn.XLOOKUP(B291,DataSet!$N$2:$N$600,DataSet!$AF$2:$AF$600,0)</f>
        <v>112697</v>
      </c>
      <c r="D291" s="10" t="str">
        <f>_xlfn.XLOOKUP(B291,DataSet!$N$2:$N$600,DataSet!$G$2:$G$600,0)</f>
        <v>Alan Haines</v>
      </c>
      <c r="E291" s="10" t="str">
        <f>_xlfn.XLOOKUP(B291,DataSet!$N$2:$N$600,DataSet!$F$2:$F$600,0)</f>
        <v>AH-10195</v>
      </c>
      <c r="F291" s="10" t="str">
        <f>_xlfn.XLOOKUP(B291,DataSet!$N$2:$N$600,DataSet!$W$2:$W$600,0)</f>
        <v>Corporate</v>
      </c>
      <c r="G291" s="13">
        <f>_xlfn.XLOOKUP(B291,DataSet!$N$2:$N$600,DataSet!$C$2:$C$600,0)</f>
        <v>42722</v>
      </c>
      <c r="H291" s="10" t="str">
        <f>_xlfn.XLOOKUP(B291,DataSet!$N$2:$N$600,DataSet!$I$2:$I$600,0)</f>
        <v>United States</v>
      </c>
      <c r="I291" s="10" t="str">
        <f>_xlfn.XLOOKUP(B291,DataSet!$N$2:$N$600,DataSet!$X$2:$X$600,0)</f>
        <v>Tamarac - Florida</v>
      </c>
      <c r="J291" s="10" t="str">
        <f>_xlfn.XLOOKUP(B291,DataSet!$N$2:$N$600,DataSet!$M$2:$M$600,0)</f>
        <v>South</v>
      </c>
      <c r="K291" s="10" t="str">
        <f>_xlfn.XLOOKUP(B291,DataSet!$N$2:$N$600,DataSet!$O$2:$O$600,0)</f>
        <v>Office Supplies</v>
      </c>
      <c r="L291" s="10" t="str">
        <f>_xlfn.XLOOKUP(B291,DataSet!$N$2:$N$600,DataSet!$Y$2:$Y$600,0)</f>
        <v>Supplies</v>
      </c>
      <c r="M291" s="10" t="str">
        <f>_xlfn.XLOOKUP(B291,DataSet!$N$2:$N$600,DataSet!$Q$2:$Q$600,0)</f>
        <v>Premier Automatic Letter Opener</v>
      </c>
      <c r="N291" s="16">
        <f>_xlfn.XLOOKUP(B291,DataSet!$N$2:$N$600,DataSet!$AA$2:$AA$600,0)</f>
        <v>961.48</v>
      </c>
      <c r="O291" s="10">
        <f>_xlfn.XLOOKUP(B291,DataSet!$N$2:$N$600,DataSet!$S$2:$S$600,0)</f>
        <v>5</v>
      </c>
      <c r="P291" s="15">
        <f>_xlfn.XLOOKUP(B291,DataSet!$N$2:$N$600,DataSet!$T$2:$T$600,0)</f>
        <v>0.2</v>
      </c>
      <c r="Q291" s="14">
        <f>_xlfn.XLOOKUP(B291,DataSet!$N$2:$N$600,DataSet!$U$2:$U$600,0)</f>
        <v>-204.31450000000001</v>
      </c>
      <c r="R291" s="16">
        <f>_xlfn.XLOOKUP(B291,DataSet!$N$2:$N$600,DataSet!$AB$2:$AB$600,0)</f>
        <v>4807.3999999999996</v>
      </c>
      <c r="S291" s="9">
        <f>_xlfn.XLOOKUP(B291,DataSet!$N$2:$N$600,DataSet!$AC$2:$AC$600,0)</f>
        <v>3845.92</v>
      </c>
    </row>
    <row r="292" spans="1:19" s="12" customFormat="1" x14ac:dyDescent="0.3">
      <c r="A292" s="27">
        <v>290</v>
      </c>
      <c r="B292" s="10" t="s">
        <v>1071</v>
      </c>
      <c r="C292" s="10" t="str">
        <f>_xlfn.XLOOKUP(B292,DataSet!$N$2:$N$600,DataSet!$AF$2:$AF$600,0)</f>
        <v>110772</v>
      </c>
      <c r="D292" s="10" t="str">
        <f>_xlfn.XLOOKUP(B292,DataSet!$N$2:$N$600,DataSet!$G$2:$G$600,0)</f>
        <v>Nick Zandusky</v>
      </c>
      <c r="E292" s="10" t="str">
        <f>_xlfn.XLOOKUP(B292,DataSet!$N$2:$N$600,DataSet!$F$2:$F$600,0)</f>
        <v>NZ-18565</v>
      </c>
      <c r="F292" s="10" t="str">
        <f>_xlfn.XLOOKUP(B292,DataSet!$N$2:$N$600,DataSet!$W$2:$W$600,0)</f>
        <v>Home Office</v>
      </c>
      <c r="G292" s="13">
        <f>_xlfn.XLOOKUP(B292,DataSet!$N$2:$N$600,DataSet!$C$2:$C$600,0)</f>
        <v>42694</v>
      </c>
      <c r="H292" s="10" t="str">
        <f>_xlfn.XLOOKUP(B292,DataSet!$N$2:$N$600,DataSet!$I$2:$I$600,0)</f>
        <v>United States</v>
      </c>
      <c r="I292" s="10" t="str">
        <f>_xlfn.XLOOKUP(B292,DataSet!$N$2:$N$600,DataSet!$X$2:$X$600,0)</f>
        <v>Columbus - Ohio</v>
      </c>
      <c r="J292" s="10" t="str">
        <f>_xlfn.XLOOKUP(B292,DataSet!$N$2:$N$600,DataSet!$M$2:$M$600,0)</f>
        <v>East</v>
      </c>
      <c r="K292" s="10" t="str">
        <f>_xlfn.XLOOKUP(B292,DataSet!$N$2:$N$600,DataSet!$O$2:$O$600,0)</f>
        <v>Office Supplies</v>
      </c>
      <c r="L292" s="10" t="str">
        <f>_xlfn.XLOOKUP(B292,DataSet!$N$2:$N$600,DataSet!$Y$2:$Y$600,0)</f>
        <v>Fasteners</v>
      </c>
      <c r="M292" s="10" t="str">
        <f>_xlfn.XLOOKUP(B292,DataSet!$N$2:$N$600,DataSet!$Q$2:$Q$600,0)</f>
        <v>Advantus SlideClip Paper Clips</v>
      </c>
      <c r="N292" s="16">
        <f>_xlfn.XLOOKUP(B292,DataSet!$N$2:$N$600,DataSet!$AA$2:$AA$600,0)</f>
        <v>19.096</v>
      </c>
      <c r="O292" s="10">
        <f>_xlfn.XLOOKUP(B292,DataSet!$N$2:$N$600,DataSet!$S$2:$S$600,0)</f>
        <v>7</v>
      </c>
      <c r="P292" s="15">
        <f>_xlfn.XLOOKUP(B292,DataSet!$N$2:$N$600,DataSet!$T$2:$T$600,0)</f>
        <v>0.2</v>
      </c>
      <c r="Q292" s="14">
        <f>_xlfn.XLOOKUP(B292,DataSet!$N$2:$N$600,DataSet!$U$2:$U$600,0)</f>
        <v>6.6836000000000002</v>
      </c>
      <c r="R292" s="16">
        <f>_xlfn.XLOOKUP(B292,DataSet!$N$2:$N$600,DataSet!$AB$2:$AB$600,0)</f>
        <v>133.672</v>
      </c>
      <c r="S292" s="9">
        <f>_xlfn.XLOOKUP(B292,DataSet!$N$2:$N$600,DataSet!$AC$2:$AC$600,0)</f>
        <v>106.9376</v>
      </c>
    </row>
    <row r="293" spans="1:19" s="12" customFormat="1" x14ac:dyDescent="0.3">
      <c r="A293" s="27">
        <v>291</v>
      </c>
      <c r="B293" s="10" t="s">
        <v>1073</v>
      </c>
      <c r="C293" s="10" t="str">
        <f>_xlfn.XLOOKUP(B293,DataSet!$N$2:$N$600,DataSet!$AF$2:$AF$600,0)</f>
        <v>110772</v>
      </c>
      <c r="D293" s="10" t="str">
        <f>_xlfn.XLOOKUP(B293,DataSet!$N$2:$N$600,DataSet!$G$2:$G$600,0)</f>
        <v>Nick Zandusky</v>
      </c>
      <c r="E293" s="10" t="str">
        <f>_xlfn.XLOOKUP(B293,DataSet!$N$2:$N$600,DataSet!$F$2:$F$600,0)</f>
        <v>NZ-18565</v>
      </c>
      <c r="F293" s="10" t="str">
        <f>_xlfn.XLOOKUP(B293,DataSet!$N$2:$N$600,DataSet!$W$2:$W$600,0)</f>
        <v>Home Office</v>
      </c>
      <c r="G293" s="13">
        <f>_xlfn.XLOOKUP(B293,DataSet!$N$2:$N$600,DataSet!$C$2:$C$600,0)</f>
        <v>42694</v>
      </c>
      <c r="H293" s="10" t="str">
        <f>_xlfn.XLOOKUP(B293,DataSet!$N$2:$N$600,DataSet!$I$2:$I$600,0)</f>
        <v>United States</v>
      </c>
      <c r="I293" s="10" t="str">
        <f>_xlfn.XLOOKUP(B293,DataSet!$N$2:$N$600,DataSet!$X$2:$X$600,0)</f>
        <v>Columbus - Ohio</v>
      </c>
      <c r="J293" s="10" t="str">
        <f>_xlfn.XLOOKUP(B293,DataSet!$N$2:$N$600,DataSet!$M$2:$M$600,0)</f>
        <v>East</v>
      </c>
      <c r="K293" s="10" t="str">
        <f>_xlfn.XLOOKUP(B293,DataSet!$N$2:$N$600,DataSet!$O$2:$O$600,0)</f>
        <v>Office Supplies</v>
      </c>
      <c r="L293" s="10" t="str">
        <f>_xlfn.XLOOKUP(B293,DataSet!$N$2:$N$600,DataSet!$Y$2:$Y$600,0)</f>
        <v>Labels</v>
      </c>
      <c r="M293" s="10" t="str">
        <f>_xlfn.XLOOKUP(B293,DataSet!$N$2:$N$600,DataSet!$Q$2:$Q$600,0)</f>
        <v>Avery 512</v>
      </c>
      <c r="N293" s="16">
        <f>_xlfn.XLOOKUP(B293,DataSet!$N$2:$N$600,DataSet!$AA$2:$AA$600,0)</f>
        <v>18.495999999999999</v>
      </c>
      <c r="O293" s="10">
        <f>_xlfn.XLOOKUP(B293,DataSet!$N$2:$N$600,DataSet!$S$2:$S$600,0)</f>
        <v>8</v>
      </c>
      <c r="P293" s="15">
        <f>_xlfn.XLOOKUP(B293,DataSet!$N$2:$N$600,DataSet!$T$2:$T$600,0)</f>
        <v>0.2</v>
      </c>
      <c r="Q293" s="14">
        <f>_xlfn.XLOOKUP(B293,DataSet!$N$2:$N$600,DataSet!$U$2:$U$600,0)</f>
        <v>6.2423999999999999</v>
      </c>
      <c r="R293" s="16">
        <f>_xlfn.XLOOKUP(B293,DataSet!$N$2:$N$600,DataSet!$AB$2:$AB$600,0)</f>
        <v>147.96799999999999</v>
      </c>
      <c r="S293" s="9">
        <f>_xlfn.XLOOKUP(B293,DataSet!$N$2:$N$600,DataSet!$AC$2:$AC$600,0)</f>
        <v>118.37439999999999</v>
      </c>
    </row>
    <row r="294" spans="1:19" s="12" customFormat="1" x14ac:dyDescent="0.3">
      <c r="A294" s="27">
        <v>292</v>
      </c>
      <c r="B294" s="10" t="s">
        <v>1075</v>
      </c>
      <c r="C294" s="10" t="str">
        <f>_xlfn.XLOOKUP(B294,DataSet!$N$2:$N$600,DataSet!$AF$2:$AF$600,0)</f>
        <v>110772</v>
      </c>
      <c r="D294" s="10" t="str">
        <f>_xlfn.XLOOKUP(B294,DataSet!$N$2:$N$600,DataSet!$G$2:$G$600,0)</f>
        <v>Nick Zandusky</v>
      </c>
      <c r="E294" s="10" t="str">
        <f>_xlfn.XLOOKUP(B294,DataSet!$N$2:$N$600,DataSet!$F$2:$F$600,0)</f>
        <v>NZ-18565</v>
      </c>
      <c r="F294" s="10" t="str">
        <f>_xlfn.XLOOKUP(B294,DataSet!$N$2:$N$600,DataSet!$W$2:$W$600,0)</f>
        <v>Home Office</v>
      </c>
      <c r="G294" s="13">
        <f>_xlfn.XLOOKUP(B294,DataSet!$N$2:$N$600,DataSet!$C$2:$C$600,0)</f>
        <v>42694</v>
      </c>
      <c r="H294" s="10" t="str">
        <f>_xlfn.XLOOKUP(B294,DataSet!$N$2:$N$600,DataSet!$I$2:$I$600,0)</f>
        <v>United States</v>
      </c>
      <c r="I294" s="10" t="str">
        <f>_xlfn.XLOOKUP(B294,DataSet!$N$2:$N$600,DataSet!$X$2:$X$600,0)</f>
        <v>Columbus - Ohio</v>
      </c>
      <c r="J294" s="10" t="str">
        <f>_xlfn.XLOOKUP(B294,DataSet!$N$2:$N$600,DataSet!$M$2:$M$600,0)</f>
        <v>East</v>
      </c>
      <c r="K294" s="10" t="str">
        <f>_xlfn.XLOOKUP(B294,DataSet!$N$2:$N$600,DataSet!$O$2:$O$600,0)</f>
        <v>Technology</v>
      </c>
      <c r="L294" s="10" t="str">
        <f>_xlfn.XLOOKUP(B294,DataSet!$N$2:$N$600,DataSet!$Y$2:$Y$600,0)</f>
        <v>Accessories</v>
      </c>
      <c r="M294" s="10" t="str">
        <f>_xlfn.XLOOKUP(B294,DataSet!$N$2:$N$600,DataSet!$Q$2:$Q$600,0)</f>
        <v>Logitech Wireless Gaming Headset G930</v>
      </c>
      <c r="N294" s="16">
        <f>_xlfn.XLOOKUP(B294,DataSet!$N$2:$N$600,DataSet!$AA$2:$AA$600,0)</f>
        <v>255.98400000000001</v>
      </c>
      <c r="O294" s="10">
        <f>_xlfn.XLOOKUP(B294,DataSet!$N$2:$N$600,DataSet!$S$2:$S$600,0)</f>
        <v>2</v>
      </c>
      <c r="P294" s="15">
        <f>_xlfn.XLOOKUP(B294,DataSet!$N$2:$N$600,DataSet!$T$2:$T$600,0)</f>
        <v>0.2</v>
      </c>
      <c r="Q294" s="14">
        <f>_xlfn.XLOOKUP(B294,DataSet!$N$2:$N$600,DataSet!$U$2:$U$600,0)</f>
        <v>54.396599999999999</v>
      </c>
      <c r="R294" s="16">
        <f>_xlfn.XLOOKUP(B294,DataSet!$N$2:$N$600,DataSet!$AB$2:$AB$600,0)</f>
        <v>511.96800000000002</v>
      </c>
      <c r="S294" s="9">
        <f>_xlfn.XLOOKUP(B294,DataSet!$N$2:$N$600,DataSet!$AC$2:$AC$600,0)</f>
        <v>409.57440000000003</v>
      </c>
    </row>
    <row r="295" spans="1:19" s="12" customFormat="1" x14ac:dyDescent="0.3">
      <c r="A295" s="27">
        <v>293</v>
      </c>
      <c r="B295" s="10" t="s">
        <v>1077</v>
      </c>
      <c r="C295" s="10" t="str">
        <f>_xlfn.XLOOKUP(B295,DataSet!$N$2:$N$600,DataSet!$AF$2:$AF$600,0)</f>
        <v>110772</v>
      </c>
      <c r="D295" s="10" t="str">
        <f>_xlfn.XLOOKUP(B295,DataSet!$N$2:$N$600,DataSet!$G$2:$G$600,0)</f>
        <v>Nick Zandusky</v>
      </c>
      <c r="E295" s="10" t="str">
        <f>_xlfn.XLOOKUP(B295,DataSet!$N$2:$N$600,DataSet!$F$2:$F$600,0)</f>
        <v>NZ-18565</v>
      </c>
      <c r="F295" s="10" t="str">
        <f>_xlfn.XLOOKUP(B295,DataSet!$N$2:$N$600,DataSet!$W$2:$W$600,0)</f>
        <v>Home Office</v>
      </c>
      <c r="G295" s="13">
        <f>_xlfn.XLOOKUP(B295,DataSet!$N$2:$N$600,DataSet!$C$2:$C$600,0)</f>
        <v>42694</v>
      </c>
      <c r="H295" s="10" t="str">
        <f>_xlfn.XLOOKUP(B295,DataSet!$N$2:$N$600,DataSet!$I$2:$I$600,0)</f>
        <v>United States</v>
      </c>
      <c r="I295" s="10" t="str">
        <f>_xlfn.XLOOKUP(B295,DataSet!$N$2:$N$600,DataSet!$X$2:$X$600,0)</f>
        <v>Columbus - Ohio</v>
      </c>
      <c r="J295" s="10" t="str">
        <f>_xlfn.XLOOKUP(B295,DataSet!$N$2:$N$600,DataSet!$M$2:$M$600,0)</f>
        <v>East</v>
      </c>
      <c r="K295" s="10" t="str">
        <f>_xlfn.XLOOKUP(B295,DataSet!$N$2:$N$600,DataSet!$O$2:$O$600,0)</f>
        <v>Furniture</v>
      </c>
      <c r="L295" s="10" t="str">
        <f>_xlfn.XLOOKUP(B295,DataSet!$N$2:$N$600,DataSet!$Y$2:$Y$600,0)</f>
        <v>Bookcases</v>
      </c>
      <c r="M295" s="10" t="str">
        <f>_xlfn.XLOOKUP(B295,DataSet!$N$2:$N$600,DataSet!$Q$2:$Q$600,0)</f>
        <v>Bush Westfield Collection Bookcases, Medium Cherry Finish</v>
      </c>
      <c r="N295" s="16">
        <f>_xlfn.XLOOKUP(B295,DataSet!$N$2:$N$600,DataSet!$AA$2:$AA$600,0)</f>
        <v>86.97</v>
      </c>
      <c r="O295" s="10">
        <f>_xlfn.XLOOKUP(B295,DataSet!$N$2:$N$600,DataSet!$S$2:$S$600,0)</f>
        <v>3</v>
      </c>
      <c r="P295" s="15">
        <f>_xlfn.XLOOKUP(B295,DataSet!$N$2:$N$600,DataSet!$T$2:$T$600,0)</f>
        <v>0.5</v>
      </c>
      <c r="Q295" s="14">
        <f>_xlfn.XLOOKUP(B295,DataSet!$N$2:$N$600,DataSet!$U$2:$U$600,0)</f>
        <v>-48.703200000000002</v>
      </c>
      <c r="R295" s="16">
        <f>_xlfn.XLOOKUP(B295,DataSet!$N$2:$N$600,DataSet!$AB$2:$AB$600,0)</f>
        <v>260.90999999999997</v>
      </c>
      <c r="S295" s="9">
        <f>_xlfn.XLOOKUP(B295,DataSet!$N$2:$N$600,DataSet!$AC$2:$AC$600,0)</f>
        <v>130.45499999999998</v>
      </c>
    </row>
    <row r="296" spans="1:19" s="12" customFormat="1" x14ac:dyDescent="0.3">
      <c r="A296" s="27">
        <v>294</v>
      </c>
      <c r="B296" s="10" t="s">
        <v>1083</v>
      </c>
      <c r="C296" s="10" t="str">
        <f>_xlfn.XLOOKUP(B296,DataSet!$N$2:$N$600,DataSet!$AF$2:$AF$600,0)</f>
        <v>111451</v>
      </c>
      <c r="D296" s="10" t="str">
        <f>_xlfn.XLOOKUP(B296,DataSet!$N$2:$N$600,DataSet!$G$2:$G$600,0)</f>
        <v>Kelly Lampkin</v>
      </c>
      <c r="E296" s="10" t="str">
        <f>_xlfn.XLOOKUP(B296,DataSet!$N$2:$N$600,DataSet!$F$2:$F$600,0)</f>
        <v>KL-16555</v>
      </c>
      <c r="F296" s="10" t="str">
        <f>_xlfn.XLOOKUP(B296,DataSet!$N$2:$N$600,DataSet!$W$2:$W$600,0)</f>
        <v>Corporate</v>
      </c>
      <c r="G296" s="13">
        <f>_xlfn.XLOOKUP(B296,DataSet!$N$2:$N$600,DataSet!$C$2:$C$600,0)</f>
        <v>41999</v>
      </c>
      <c r="H296" s="10" t="str">
        <f>_xlfn.XLOOKUP(B296,DataSet!$N$2:$N$600,DataSet!$I$2:$I$600,0)</f>
        <v>United States</v>
      </c>
      <c r="I296" s="10" t="str">
        <f>_xlfn.XLOOKUP(B296,DataSet!$N$2:$N$600,DataSet!$X$2:$X$600,0)</f>
        <v>Colorado Springs - Colorado</v>
      </c>
      <c r="J296" s="10" t="str">
        <f>_xlfn.XLOOKUP(B296,DataSet!$N$2:$N$600,DataSet!$M$2:$M$600,0)</f>
        <v>West</v>
      </c>
      <c r="K296" s="10" t="str">
        <f>_xlfn.XLOOKUP(B296,DataSet!$N$2:$N$600,DataSet!$O$2:$O$600,0)</f>
        <v>Furniture</v>
      </c>
      <c r="L296" s="10" t="str">
        <f>_xlfn.XLOOKUP(B296,DataSet!$N$2:$N$600,DataSet!$Y$2:$Y$600,0)</f>
        <v>Furnishings</v>
      </c>
      <c r="M296" s="10" t="str">
        <f>_xlfn.XLOOKUP(B296,DataSet!$N$2:$N$600,DataSet!$Q$2:$Q$600,0)</f>
        <v>Howard Miller 13" Diameter Goldtone Round Wall Clock</v>
      </c>
      <c r="N296" s="16">
        <f>_xlfn.XLOOKUP(B296,DataSet!$N$2:$N$600,DataSet!$AA$2:$AA$600,0)</f>
        <v>300.416</v>
      </c>
      <c r="O296" s="10">
        <f>_xlfn.XLOOKUP(B296,DataSet!$N$2:$N$600,DataSet!$S$2:$S$600,0)</f>
        <v>8</v>
      </c>
      <c r="P296" s="15">
        <f>_xlfn.XLOOKUP(B296,DataSet!$N$2:$N$600,DataSet!$T$2:$T$600,0)</f>
        <v>0.2</v>
      </c>
      <c r="Q296" s="14">
        <f>_xlfn.XLOOKUP(B296,DataSet!$N$2:$N$600,DataSet!$U$2:$U$600,0)</f>
        <v>78.859200000000001</v>
      </c>
      <c r="R296" s="16">
        <f>_xlfn.XLOOKUP(B296,DataSet!$N$2:$N$600,DataSet!$AB$2:$AB$600,0)</f>
        <v>2403.328</v>
      </c>
      <c r="S296" s="9">
        <f>_xlfn.XLOOKUP(B296,DataSet!$N$2:$N$600,DataSet!$AC$2:$AC$600,0)</f>
        <v>1922.6624000000002</v>
      </c>
    </row>
    <row r="297" spans="1:19" s="12" customFormat="1" x14ac:dyDescent="0.3">
      <c r="A297" s="27">
        <v>295</v>
      </c>
      <c r="B297" s="10" t="s">
        <v>1085</v>
      </c>
      <c r="C297" s="10" t="str">
        <f>_xlfn.XLOOKUP(B297,DataSet!$N$2:$N$600,DataSet!$AF$2:$AF$600,0)</f>
        <v>111451</v>
      </c>
      <c r="D297" s="10" t="str">
        <f>_xlfn.XLOOKUP(B297,DataSet!$N$2:$N$600,DataSet!$G$2:$G$600,0)</f>
        <v>Kelly Lampkin</v>
      </c>
      <c r="E297" s="10" t="str">
        <f>_xlfn.XLOOKUP(B297,DataSet!$N$2:$N$600,DataSet!$F$2:$F$600,0)</f>
        <v>KL-16555</v>
      </c>
      <c r="F297" s="10" t="str">
        <f>_xlfn.XLOOKUP(B297,DataSet!$N$2:$N$600,DataSet!$W$2:$W$600,0)</f>
        <v>Corporate</v>
      </c>
      <c r="G297" s="13">
        <f>_xlfn.XLOOKUP(B297,DataSet!$N$2:$N$600,DataSet!$C$2:$C$600,0)</f>
        <v>41999</v>
      </c>
      <c r="H297" s="10" t="str">
        <f>_xlfn.XLOOKUP(B297,DataSet!$N$2:$N$600,DataSet!$I$2:$I$600,0)</f>
        <v>United States</v>
      </c>
      <c r="I297" s="10" t="str">
        <f>_xlfn.XLOOKUP(B297,DataSet!$N$2:$N$600,DataSet!$X$2:$X$600,0)</f>
        <v>Colorado Springs - Colorado</v>
      </c>
      <c r="J297" s="10" t="str">
        <f>_xlfn.XLOOKUP(B297,DataSet!$N$2:$N$600,DataSet!$M$2:$M$600,0)</f>
        <v>West</v>
      </c>
      <c r="K297" s="10" t="str">
        <f>_xlfn.XLOOKUP(B297,DataSet!$N$2:$N$600,DataSet!$O$2:$O$600,0)</f>
        <v>Furniture</v>
      </c>
      <c r="L297" s="10" t="str">
        <f>_xlfn.XLOOKUP(B297,DataSet!$N$2:$N$600,DataSet!$Y$2:$Y$600,0)</f>
        <v>Chairs</v>
      </c>
      <c r="M297" s="10" t="str">
        <f>_xlfn.XLOOKUP(B297,DataSet!$N$2:$N$600,DataSet!$Q$2:$Q$600,0)</f>
        <v>Global Deluxe Office Fabric Chairs</v>
      </c>
      <c r="N297" s="16">
        <f>_xlfn.XLOOKUP(B297,DataSet!$N$2:$N$600,DataSet!$AA$2:$AA$600,0)</f>
        <v>230.352</v>
      </c>
      <c r="O297" s="10">
        <f>_xlfn.XLOOKUP(B297,DataSet!$N$2:$N$600,DataSet!$S$2:$S$600,0)</f>
        <v>3</v>
      </c>
      <c r="P297" s="15">
        <f>_xlfn.XLOOKUP(B297,DataSet!$N$2:$N$600,DataSet!$T$2:$T$600,0)</f>
        <v>0.2</v>
      </c>
      <c r="Q297" s="14">
        <f>_xlfn.XLOOKUP(B297,DataSet!$N$2:$N$600,DataSet!$U$2:$U$600,0)</f>
        <v>20.155799999999999</v>
      </c>
      <c r="R297" s="16">
        <f>_xlfn.XLOOKUP(B297,DataSet!$N$2:$N$600,DataSet!$AB$2:$AB$600,0)</f>
        <v>691.05600000000004</v>
      </c>
      <c r="S297" s="9">
        <f>_xlfn.XLOOKUP(B297,DataSet!$N$2:$N$600,DataSet!$AC$2:$AC$600,0)</f>
        <v>552.84480000000008</v>
      </c>
    </row>
    <row r="298" spans="1:19" s="12" customFormat="1" x14ac:dyDescent="0.3">
      <c r="A298" s="27">
        <v>296</v>
      </c>
      <c r="B298" s="10" t="s">
        <v>1087</v>
      </c>
      <c r="C298" s="10" t="str">
        <f>_xlfn.XLOOKUP(B298,DataSet!$N$2:$N$600,DataSet!$AF$2:$AF$600,0)</f>
        <v>111451</v>
      </c>
      <c r="D298" s="10" t="str">
        <f>_xlfn.XLOOKUP(B298,DataSet!$N$2:$N$600,DataSet!$G$2:$G$600,0)</f>
        <v>Kelly Lampkin</v>
      </c>
      <c r="E298" s="10" t="str">
        <f>_xlfn.XLOOKUP(B298,DataSet!$N$2:$N$600,DataSet!$F$2:$F$600,0)</f>
        <v>KL-16555</v>
      </c>
      <c r="F298" s="10" t="str">
        <f>_xlfn.XLOOKUP(B298,DataSet!$N$2:$N$600,DataSet!$W$2:$W$600,0)</f>
        <v>Corporate</v>
      </c>
      <c r="G298" s="13">
        <f>_xlfn.XLOOKUP(B298,DataSet!$N$2:$N$600,DataSet!$C$2:$C$600,0)</f>
        <v>41999</v>
      </c>
      <c r="H298" s="10" t="str">
        <f>_xlfn.XLOOKUP(B298,DataSet!$N$2:$N$600,DataSet!$I$2:$I$600,0)</f>
        <v>United States</v>
      </c>
      <c r="I298" s="10" t="str">
        <f>_xlfn.XLOOKUP(B298,DataSet!$N$2:$N$600,DataSet!$X$2:$X$600,0)</f>
        <v>Colorado Springs - Colorado</v>
      </c>
      <c r="J298" s="10" t="str">
        <f>_xlfn.XLOOKUP(B298,DataSet!$N$2:$N$600,DataSet!$M$2:$M$600,0)</f>
        <v>West</v>
      </c>
      <c r="K298" s="10" t="str">
        <f>_xlfn.XLOOKUP(B298,DataSet!$N$2:$N$600,DataSet!$O$2:$O$600,0)</f>
        <v>Furniture</v>
      </c>
      <c r="L298" s="10" t="str">
        <f>_xlfn.XLOOKUP(B298,DataSet!$N$2:$N$600,DataSet!$Y$2:$Y$600,0)</f>
        <v>Furnishings</v>
      </c>
      <c r="M298" s="10" t="str">
        <f>_xlfn.XLOOKUP(B298,DataSet!$N$2:$N$600,DataSet!$Q$2:$Q$600,0)</f>
        <v>Eldon ClusterMat Chair Mat with Cordless Antistatic Protection</v>
      </c>
      <c r="N298" s="16">
        <f>_xlfn.XLOOKUP(B298,DataSet!$N$2:$N$600,DataSet!$AA$2:$AA$600,0)</f>
        <v>218.352</v>
      </c>
      <c r="O298" s="10">
        <f>_xlfn.XLOOKUP(B298,DataSet!$N$2:$N$600,DataSet!$S$2:$S$600,0)</f>
        <v>3</v>
      </c>
      <c r="P298" s="15">
        <f>_xlfn.XLOOKUP(B298,DataSet!$N$2:$N$600,DataSet!$T$2:$T$600,0)</f>
        <v>0.2</v>
      </c>
      <c r="Q298" s="14">
        <f>_xlfn.XLOOKUP(B298,DataSet!$N$2:$N$600,DataSet!$U$2:$U$600,0)</f>
        <v>-24.564599999999999</v>
      </c>
      <c r="R298" s="16">
        <f>_xlfn.XLOOKUP(B298,DataSet!$N$2:$N$600,DataSet!$AB$2:$AB$600,0)</f>
        <v>655.05600000000004</v>
      </c>
      <c r="S298" s="9">
        <f>_xlfn.XLOOKUP(B298,DataSet!$N$2:$N$600,DataSet!$AC$2:$AC$600,0)</f>
        <v>524.04480000000001</v>
      </c>
    </row>
    <row r="299" spans="1:19" s="12" customFormat="1" x14ac:dyDescent="0.3">
      <c r="A299" s="27">
        <v>297</v>
      </c>
      <c r="B299" s="10" t="s">
        <v>1089</v>
      </c>
      <c r="C299" s="10" t="str">
        <f>_xlfn.XLOOKUP(B299,DataSet!$N$2:$N$600,DataSet!$AF$2:$AF$600,0)</f>
        <v>111451</v>
      </c>
      <c r="D299" s="10" t="str">
        <f>_xlfn.XLOOKUP(B299,DataSet!$N$2:$N$600,DataSet!$G$2:$G$600,0)</f>
        <v>Kelly Lampkin</v>
      </c>
      <c r="E299" s="10" t="str">
        <f>_xlfn.XLOOKUP(B299,DataSet!$N$2:$N$600,DataSet!$F$2:$F$600,0)</f>
        <v>KL-16555</v>
      </c>
      <c r="F299" s="10" t="str">
        <f>_xlfn.XLOOKUP(B299,DataSet!$N$2:$N$600,DataSet!$W$2:$W$600,0)</f>
        <v>Corporate</v>
      </c>
      <c r="G299" s="13">
        <f>_xlfn.XLOOKUP(B299,DataSet!$N$2:$N$600,DataSet!$C$2:$C$600,0)</f>
        <v>41999</v>
      </c>
      <c r="H299" s="10" t="str">
        <f>_xlfn.XLOOKUP(B299,DataSet!$N$2:$N$600,DataSet!$I$2:$I$600,0)</f>
        <v>United States</v>
      </c>
      <c r="I299" s="10" t="str">
        <f>_xlfn.XLOOKUP(B299,DataSet!$N$2:$N$600,DataSet!$X$2:$X$600,0)</f>
        <v>Colorado Springs - Colorado</v>
      </c>
      <c r="J299" s="10" t="str">
        <f>_xlfn.XLOOKUP(B299,DataSet!$N$2:$N$600,DataSet!$M$2:$M$600,0)</f>
        <v>West</v>
      </c>
      <c r="K299" s="10" t="str">
        <f>_xlfn.XLOOKUP(B299,DataSet!$N$2:$N$600,DataSet!$O$2:$O$600,0)</f>
        <v>Office Supplies</v>
      </c>
      <c r="L299" s="10" t="str">
        <f>_xlfn.XLOOKUP(B299,DataSet!$N$2:$N$600,DataSet!$Y$2:$Y$600,0)</f>
        <v>Binders</v>
      </c>
      <c r="M299" s="10" t="str">
        <f>_xlfn.XLOOKUP(B299,DataSet!$N$2:$N$600,DataSet!$Q$2:$Q$600,0)</f>
        <v>Ibico Laser Imprintable Binding System Covers</v>
      </c>
      <c r="N299" s="16">
        <f>_xlfn.XLOOKUP(B299,DataSet!$N$2:$N$600,DataSet!$AA$2:$AA$600,0)</f>
        <v>78.599999999999994</v>
      </c>
      <c r="O299" s="10">
        <f>_xlfn.XLOOKUP(B299,DataSet!$N$2:$N$600,DataSet!$S$2:$S$600,0)</f>
        <v>5</v>
      </c>
      <c r="P299" s="15">
        <f>_xlfn.XLOOKUP(B299,DataSet!$N$2:$N$600,DataSet!$T$2:$T$600,0)</f>
        <v>0.7</v>
      </c>
      <c r="Q299" s="14">
        <f>_xlfn.XLOOKUP(B299,DataSet!$N$2:$N$600,DataSet!$U$2:$U$600,0)</f>
        <v>-62.88</v>
      </c>
      <c r="R299" s="16">
        <f>_xlfn.XLOOKUP(B299,DataSet!$N$2:$N$600,DataSet!$AB$2:$AB$600,0)</f>
        <v>393</v>
      </c>
      <c r="S299" s="9">
        <f>_xlfn.XLOOKUP(B299,DataSet!$N$2:$N$600,DataSet!$AC$2:$AC$600,0)</f>
        <v>117.90000000000002</v>
      </c>
    </row>
    <row r="300" spans="1:19" s="12" customFormat="1" x14ac:dyDescent="0.3">
      <c r="A300" s="27">
        <v>298</v>
      </c>
      <c r="B300" s="10" t="s">
        <v>1091</v>
      </c>
      <c r="C300" s="10" t="str">
        <f>_xlfn.XLOOKUP(B300,DataSet!$N$2:$N$600,DataSet!$AF$2:$AF$600,0)</f>
        <v>111451</v>
      </c>
      <c r="D300" s="10" t="str">
        <f>_xlfn.XLOOKUP(B300,DataSet!$N$2:$N$600,DataSet!$G$2:$G$600,0)</f>
        <v>Kelly Lampkin</v>
      </c>
      <c r="E300" s="10" t="str">
        <f>_xlfn.XLOOKUP(B300,DataSet!$N$2:$N$600,DataSet!$F$2:$F$600,0)</f>
        <v>KL-16555</v>
      </c>
      <c r="F300" s="10" t="str">
        <f>_xlfn.XLOOKUP(B300,DataSet!$N$2:$N$600,DataSet!$W$2:$W$600,0)</f>
        <v>Corporate</v>
      </c>
      <c r="G300" s="13">
        <f>_xlfn.XLOOKUP(B300,DataSet!$N$2:$N$600,DataSet!$C$2:$C$600,0)</f>
        <v>41999</v>
      </c>
      <c r="H300" s="10" t="str">
        <f>_xlfn.XLOOKUP(B300,DataSet!$N$2:$N$600,DataSet!$I$2:$I$600,0)</f>
        <v>United States</v>
      </c>
      <c r="I300" s="10" t="str">
        <f>_xlfn.XLOOKUP(B300,DataSet!$N$2:$N$600,DataSet!$X$2:$X$600,0)</f>
        <v>Colorado Springs - Colorado</v>
      </c>
      <c r="J300" s="10" t="str">
        <f>_xlfn.XLOOKUP(B300,DataSet!$N$2:$N$600,DataSet!$M$2:$M$600,0)</f>
        <v>West</v>
      </c>
      <c r="K300" s="10" t="str">
        <f>_xlfn.XLOOKUP(B300,DataSet!$N$2:$N$600,DataSet!$O$2:$O$600,0)</f>
        <v>Office Supplies</v>
      </c>
      <c r="L300" s="10" t="str">
        <f>_xlfn.XLOOKUP(B300,DataSet!$N$2:$N$600,DataSet!$Y$2:$Y$600,0)</f>
        <v>Fasteners</v>
      </c>
      <c r="M300" s="10" t="str">
        <f>_xlfn.XLOOKUP(B300,DataSet!$N$2:$N$600,DataSet!$Q$2:$Q$600,0)</f>
        <v>Vinyl Coated Wire Paper Clips in Organizer Box, 800/Box</v>
      </c>
      <c r="N300" s="16">
        <f>_xlfn.XLOOKUP(B300,DataSet!$N$2:$N$600,DataSet!$AA$2:$AA$600,0)</f>
        <v>27.552</v>
      </c>
      <c r="O300" s="10">
        <f>_xlfn.XLOOKUP(B300,DataSet!$N$2:$N$600,DataSet!$S$2:$S$600,0)</f>
        <v>3</v>
      </c>
      <c r="P300" s="15">
        <f>_xlfn.XLOOKUP(B300,DataSet!$N$2:$N$600,DataSet!$T$2:$T$600,0)</f>
        <v>0.2</v>
      </c>
      <c r="Q300" s="14">
        <f>_xlfn.XLOOKUP(B300,DataSet!$N$2:$N$600,DataSet!$U$2:$U$600,0)</f>
        <v>9.2988</v>
      </c>
      <c r="R300" s="16">
        <f>_xlfn.XLOOKUP(B300,DataSet!$N$2:$N$600,DataSet!$AB$2:$AB$600,0)</f>
        <v>82.656000000000006</v>
      </c>
      <c r="S300" s="9">
        <f>_xlfn.XLOOKUP(B300,DataSet!$N$2:$N$600,DataSet!$AC$2:$AC$600,0)</f>
        <v>66.124800000000008</v>
      </c>
    </row>
    <row r="301" spans="1:19" s="12" customFormat="1" x14ac:dyDescent="0.3">
      <c r="A301" s="27">
        <v>299</v>
      </c>
      <c r="B301" s="10" t="s">
        <v>1095</v>
      </c>
      <c r="C301" s="10" t="str">
        <f>_xlfn.XLOOKUP(B301,DataSet!$N$2:$N$600,DataSet!$AF$2:$AF$600,0)</f>
        <v>142545</v>
      </c>
      <c r="D301" s="10" t="str">
        <f>_xlfn.XLOOKUP(B301,DataSet!$N$2:$N$600,DataSet!$G$2:$G$600,0)</f>
        <v>Jonathan Doherty</v>
      </c>
      <c r="E301" s="10" t="str">
        <f>_xlfn.XLOOKUP(B301,DataSet!$N$2:$N$600,DataSet!$F$2:$F$600,0)</f>
        <v>JD-15895</v>
      </c>
      <c r="F301" s="10" t="str">
        <f>_xlfn.XLOOKUP(B301,DataSet!$N$2:$N$600,DataSet!$W$2:$W$600,0)</f>
        <v>Corporate</v>
      </c>
      <c r="G301" s="13">
        <f>_xlfn.XLOOKUP(B301,DataSet!$N$2:$N$600,DataSet!$C$2:$C$600,0)</f>
        <v>42671</v>
      </c>
      <c r="H301" s="10" t="str">
        <f>_xlfn.XLOOKUP(B301,DataSet!$N$2:$N$600,DataSet!$I$2:$I$600,0)</f>
        <v>United States</v>
      </c>
      <c r="I301" s="10" t="str">
        <f>_xlfn.XLOOKUP(B301,DataSet!$N$2:$N$600,DataSet!$X$2:$X$600,0)</f>
        <v>Belleville - New Jersey</v>
      </c>
      <c r="J301" s="10" t="str">
        <f>_xlfn.XLOOKUP(B301,DataSet!$N$2:$N$600,DataSet!$M$2:$M$600,0)</f>
        <v>East</v>
      </c>
      <c r="K301" s="10" t="str">
        <f>_xlfn.XLOOKUP(B301,DataSet!$N$2:$N$600,DataSet!$O$2:$O$600,0)</f>
        <v>Office Supplies</v>
      </c>
      <c r="L301" s="10" t="str">
        <f>_xlfn.XLOOKUP(B301,DataSet!$N$2:$N$600,DataSet!$Y$2:$Y$600,0)</f>
        <v>Paper</v>
      </c>
      <c r="M301" s="10" t="str">
        <f>_xlfn.XLOOKUP(B301,DataSet!$N$2:$N$600,DataSet!$Q$2:$Q$600,0)</f>
        <v>Xerox 223</v>
      </c>
      <c r="N301" s="16">
        <f>_xlfn.XLOOKUP(B301,DataSet!$N$2:$N$600,DataSet!$AA$2:$AA$600,0)</f>
        <v>32.4</v>
      </c>
      <c r="O301" s="10">
        <f>_xlfn.XLOOKUP(B301,DataSet!$N$2:$N$600,DataSet!$S$2:$S$600,0)</f>
        <v>5</v>
      </c>
      <c r="P301" s="15">
        <f>_xlfn.XLOOKUP(B301,DataSet!$N$2:$N$600,DataSet!$T$2:$T$600,0)</f>
        <v>0</v>
      </c>
      <c r="Q301" s="14">
        <f>_xlfn.XLOOKUP(B301,DataSet!$N$2:$N$600,DataSet!$U$2:$U$600,0)</f>
        <v>15.552</v>
      </c>
      <c r="R301" s="16">
        <f>_xlfn.XLOOKUP(B301,DataSet!$N$2:$N$600,DataSet!$AB$2:$AB$600,0)</f>
        <v>162</v>
      </c>
      <c r="S301" s="9">
        <f>_xlfn.XLOOKUP(B301,DataSet!$N$2:$N$600,DataSet!$AC$2:$AC$600,0)</f>
        <v>162</v>
      </c>
    </row>
    <row r="302" spans="1:19" s="12" customFormat="1" x14ac:dyDescent="0.3">
      <c r="A302" s="27">
        <v>300</v>
      </c>
      <c r="B302" s="10" t="s">
        <v>1097</v>
      </c>
      <c r="C302" s="10" t="str">
        <f>_xlfn.XLOOKUP(B302,DataSet!$N$2:$N$600,DataSet!$AF$2:$AF$600,0)</f>
        <v>142545</v>
      </c>
      <c r="D302" s="10" t="str">
        <f>_xlfn.XLOOKUP(B302,DataSet!$N$2:$N$600,DataSet!$G$2:$G$600,0)</f>
        <v>Jonathan Doherty</v>
      </c>
      <c r="E302" s="10" t="str">
        <f>_xlfn.XLOOKUP(B302,DataSet!$N$2:$N$600,DataSet!$F$2:$F$600,0)</f>
        <v>JD-15895</v>
      </c>
      <c r="F302" s="10" t="str">
        <f>_xlfn.XLOOKUP(B302,DataSet!$N$2:$N$600,DataSet!$W$2:$W$600,0)</f>
        <v>Corporate</v>
      </c>
      <c r="G302" s="13">
        <f>_xlfn.XLOOKUP(B302,DataSet!$N$2:$N$600,DataSet!$C$2:$C$600,0)</f>
        <v>42671</v>
      </c>
      <c r="H302" s="10" t="str">
        <f>_xlfn.XLOOKUP(B302,DataSet!$N$2:$N$600,DataSet!$I$2:$I$600,0)</f>
        <v>United States</v>
      </c>
      <c r="I302" s="10" t="str">
        <f>_xlfn.XLOOKUP(B302,DataSet!$N$2:$N$600,DataSet!$X$2:$X$600,0)</f>
        <v>Belleville - New Jersey</v>
      </c>
      <c r="J302" s="10" t="str">
        <f>_xlfn.XLOOKUP(B302,DataSet!$N$2:$N$600,DataSet!$M$2:$M$600,0)</f>
        <v>East</v>
      </c>
      <c r="K302" s="10" t="str">
        <f>_xlfn.XLOOKUP(B302,DataSet!$N$2:$N$600,DataSet!$O$2:$O$600,0)</f>
        <v>Office Supplies</v>
      </c>
      <c r="L302" s="10" t="str">
        <f>_xlfn.XLOOKUP(B302,DataSet!$N$2:$N$600,DataSet!$Y$2:$Y$600,0)</f>
        <v>Storage</v>
      </c>
      <c r="M302" s="10" t="str">
        <f>_xlfn.XLOOKUP(B302,DataSet!$N$2:$N$600,DataSet!$Q$2:$Q$600,0)</f>
        <v>Tennsco Stur-D-Stor Boltless Shelving, 5 Shelves, 24" Deep, Sand</v>
      </c>
      <c r="N302" s="16">
        <f>_xlfn.XLOOKUP(B302,DataSet!$N$2:$N$600,DataSet!$AA$2:$AA$600,0)</f>
        <v>1082.48</v>
      </c>
      <c r="O302" s="10">
        <f>_xlfn.XLOOKUP(B302,DataSet!$N$2:$N$600,DataSet!$S$2:$S$600,0)</f>
        <v>8</v>
      </c>
      <c r="P302" s="15">
        <f>_xlfn.XLOOKUP(B302,DataSet!$N$2:$N$600,DataSet!$T$2:$T$600,0)</f>
        <v>0</v>
      </c>
      <c r="Q302" s="14">
        <f>_xlfn.XLOOKUP(B302,DataSet!$N$2:$N$600,DataSet!$U$2:$U$600,0)</f>
        <v>10.8248</v>
      </c>
      <c r="R302" s="16">
        <f>_xlfn.XLOOKUP(B302,DataSet!$N$2:$N$600,DataSet!$AB$2:$AB$600,0)</f>
        <v>8659.84</v>
      </c>
      <c r="S302" s="9">
        <f>_xlfn.XLOOKUP(B302,DataSet!$N$2:$N$600,DataSet!$AC$2:$AC$600,0)</f>
        <v>8659.84</v>
      </c>
    </row>
    <row r="303" spans="1:19" s="12" customFormat="1" x14ac:dyDescent="0.3">
      <c r="A303" s="27">
        <v>301</v>
      </c>
      <c r="B303" s="10" t="s">
        <v>1099</v>
      </c>
      <c r="C303" s="10" t="str">
        <f>_xlfn.XLOOKUP(B303,DataSet!$N$2:$N$600,DataSet!$AF$2:$AF$600,0)</f>
        <v>142545</v>
      </c>
      <c r="D303" s="10" t="str">
        <f>_xlfn.XLOOKUP(B303,DataSet!$N$2:$N$600,DataSet!$G$2:$G$600,0)</f>
        <v>Jonathan Doherty</v>
      </c>
      <c r="E303" s="10" t="str">
        <f>_xlfn.XLOOKUP(B303,DataSet!$N$2:$N$600,DataSet!$F$2:$F$600,0)</f>
        <v>JD-15895</v>
      </c>
      <c r="F303" s="10" t="str">
        <f>_xlfn.XLOOKUP(B303,DataSet!$N$2:$N$600,DataSet!$W$2:$W$600,0)</f>
        <v>Corporate</v>
      </c>
      <c r="G303" s="13">
        <f>_xlfn.XLOOKUP(B303,DataSet!$N$2:$N$600,DataSet!$C$2:$C$600,0)</f>
        <v>42671</v>
      </c>
      <c r="H303" s="10" t="str">
        <f>_xlfn.XLOOKUP(B303,DataSet!$N$2:$N$600,DataSet!$I$2:$I$600,0)</f>
        <v>United States</v>
      </c>
      <c r="I303" s="10" t="str">
        <f>_xlfn.XLOOKUP(B303,DataSet!$N$2:$N$600,DataSet!$X$2:$X$600,0)</f>
        <v>Belleville - New Jersey</v>
      </c>
      <c r="J303" s="10" t="str">
        <f>_xlfn.XLOOKUP(B303,DataSet!$N$2:$N$600,DataSet!$M$2:$M$600,0)</f>
        <v>East</v>
      </c>
      <c r="K303" s="10" t="str">
        <f>_xlfn.XLOOKUP(B303,DataSet!$N$2:$N$600,DataSet!$O$2:$O$600,0)</f>
        <v>Office Supplies</v>
      </c>
      <c r="L303" s="10" t="str">
        <f>_xlfn.XLOOKUP(B303,DataSet!$N$2:$N$600,DataSet!$Y$2:$Y$600,0)</f>
        <v>Paper</v>
      </c>
      <c r="M303" s="10" t="str">
        <f>_xlfn.XLOOKUP(B303,DataSet!$N$2:$N$600,DataSet!$Q$2:$Q$600,0)</f>
        <v>Xerox 1939</v>
      </c>
      <c r="N303" s="16">
        <f>_xlfn.XLOOKUP(B303,DataSet!$N$2:$N$600,DataSet!$AA$2:$AA$600,0)</f>
        <v>56.91</v>
      </c>
      <c r="O303" s="10">
        <f>_xlfn.XLOOKUP(B303,DataSet!$N$2:$N$600,DataSet!$S$2:$S$600,0)</f>
        <v>3</v>
      </c>
      <c r="P303" s="15">
        <f>_xlfn.XLOOKUP(B303,DataSet!$N$2:$N$600,DataSet!$T$2:$T$600,0)</f>
        <v>0</v>
      </c>
      <c r="Q303" s="14">
        <f>_xlfn.XLOOKUP(B303,DataSet!$N$2:$N$600,DataSet!$U$2:$U$600,0)</f>
        <v>27.316800000000001</v>
      </c>
      <c r="R303" s="16">
        <f>_xlfn.XLOOKUP(B303,DataSet!$N$2:$N$600,DataSet!$AB$2:$AB$600,0)</f>
        <v>170.73</v>
      </c>
      <c r="S303" s="9">
        <f>_xlfn.XLOOKUP(B303,DataSet!$N$2:$N$600,DataSet!$AC$2:$AC$600,0)</f>
        <v>170.73</v>
      </c>
    </row>
    <row r="304" spans="1:19" s="12" customFormat="1" x14ac:dyDescent="0.3">
      <c r="A304" s="27">
        <v>302</v>
      </c>
      <c r="B304" s="10" t="s">
        <v>1101</v>
      </c>
      <c r="C304" s="10" t="str">
        <f>_xlfn.XLOOKUP(B304,DataSet!$N$2:$N$600,DataSet!$AF$2:$AF$600,0)</f>
        <v>142545</v>
      </c>
      <c r="D304" s="10" t="str">
        <f>_xlfn.XLOOKUP(B304,DataSet!$N$2:$N$600,DataSet!$G$2:$G$600,0)</f>
        <v>Jonathan Doherty</v>
      </c>
      <c r="E304" s="10" t="str">
        <f>_xlfn.XLOOKUP(B304,DataSet!$N$2:$N$600,DataSet!$F$2:$F$600,0)</f>
        <v>JD-15895</v>
      </c>
      <c r="F304" s="10" t="str">
        <f>_xlfn.XLOOKUP(B304,DataSet!$N$2:$N$600,DataSet!$W$2:$W$600,0)</f>
        <v>Corporate</v>
      </c>
      <c r="G304" s="13">
        <f>_xlfn.XLOOKUP(B304,DataSet!$N$2:$N$600,DataSet!$C$2:$C$600,0)</f>
        <v>42671</v>
      </c>
      <c r="H304" s="10" t="str">
        <f>_xlfn.XLOOKUP(B304,DataSet!$N$2:$N$600,DataSet!$I$2:$I$600,0)</f>
        <v>United States</v>
      </c>
      <c r="I304" s="10" t="str">
        <f>_xlfn.XLOOKUP(B304,DataSet!$N$2:$N$600,DataSet!$X$2:$X$600,0)</f>
        <v>Belleville - New Jersey</v>
      </c>
      <c r="J304" s="10" t="str">
        <f>_xlfn.XLOOKUP(B304,DataSet!$N$2:$N$600,DataSet!$M$2:$M$600,0)</f>
        <v>East</v>
      </c>
      <c r="K304" s="10" t="str">
        <f>_xlfn.XLOOKUP(B304,DataSet!$N$2:$N$600,DataSet!$O$2:$O$600,0)</f>
        <v>Furniture</v>
      </c>
      <c r="L304" s="10" t="str">
        <f>_xlfn.XLOOKUP(B304,DataSet!$N$2:$N$600,DataSet!$Y$2:$Y$600,0)</f>
        <v>Furnishings</v>
      </c>
      <c r="M304" s="10" t="str">
        <f>_xlfn.XLOOKUP(B304,DataSet!$N$2:$N$600,DataSet!$Q$2:$Q$600,0)</f>
        <v>Floodlight Indoor Halogen Bulbs, 1 Bulb per Pack, 60 Watts</v>
      </c>
      <c r="N304" s="16">
        <f>_xlfn.XLOOKUP(B304,DataSet!$N$2:$N$600,DataSet!$AA$2:$AA$600,0)</f>
        <v>77.599999999999994</v>
      </c>
      <c r="O304" s="10">
        <f>_xlfn.XLOOKUP(B304,DataSet!$N$2:$N$600,DataSet!$S$2:$S$600,0)</f>
        <v>4</v>
      </c>
      <c r="P304" s="15">
        <f>_xlfn.XLOOKUP(B304,DataSet!$N$2:$N$600,DataSet!$T$2:$T$600,0)</f>
        <v>0</v>
      </c>
      <c r="Q304" s="14">
        <f>_xlfn.XLOOKUP(B304,DataSet!$N$2:$N$600,DataSet!$U$2:$U$600,0)</f>
        <v>38.024000000000001</v>
      </c>
      <c r="R304" s="16">
        <f>_xlfn.XLOOKUP(B304,DataSet!$N$2:$N$600,DataSet!$AB$2:$AB$600,0)</f>
        <v>310.39999999999998</v>
      </c>
      <c r="S304" s="9">
        <f>_xlfn.XLOOKUP(B304,DataSet!$N$2:$N$600,DataSet!$AC$2:$AC$600,0)</f>
        <v>310.39999999999998</v>
      </c>
    </row>
    <row r="305" spans="1:19" s="12" customFormat="1" x14ac:dyDescent="0.3">
      <c r="A305" s="27">
        <v>303</v>
      </c>
      <c r="B305" s="10" t="s">
        <v>1103</v>
      </c>
      <c r="C305" s="10" t="str">
        <f>_xlfn.XLOOKUP(B305,DataSet!$N$2:$N$600,DataSet!$AF$2:$AF$600,0)</f>
        <v>142545</v>
      </c>
      <c r="D305" s="10" t="str">
        <f>_xlfn.XLOOKUP(B305,DataSet!$N$2:$N$600,DataSet!$G$2:$G$600,0)</f>
        <v>Jonathan Doherty</v>
      </c>
      <c r="E305" s="10" t="str">
        <f>_xlfn.XLOOKUP(B305,DataSet!$N$2:$N$600,DataSet!$F$2:$F$600,0)</f>
        <v>JD-15895</v>
      </c>
      <c r="F305" s="10" t="str">
        <f>_xlfn.XLOOKUP(B305,DataSet!$N$2:$N$600,DataSet!$W$2:$W$600,0)</f>
        <v>Corporate</v>
      </c>
      <c r="G305" s="13">
        <f>_xlfn.XLOOKUP(B305,DataSet!$N$2:$N$600,DataSet!$C$2:$C$600,0)</f>
        <v>42671</v>
      </c>
      <c r="H305" s="10" t="str">
        <f>_xlfn.XLOOKUP(B305,DataSet!$N$2:$N$600,DataSet!$I$2:$I$600,0)</f>
        <v>United States</v>
      </c>
      <c r="I305" s="10" t="str">
        <f>_xlfn.XLOOKUP(B305,DataSet!$N$2:$N$600,DataSet!$X$2:$X$600,0)</f>
        <v>Belleville - New Jersey</v>
      </c>
      <c r="J305" s="10" t="str">
        <f>_xlfn.XLOOKUP(B305,DataSet!$N$2:$N$600,DataSet!$M$2:$M$600,0)</f>
        <v>East</v>
      </c>
      <c r="K305" s="10" t="str">
        <f>_xlfn.XLOOKUP(B305,DataSet!$N$2:$N$600,DataSet!$O$2:$O$600,0)</f>
        <v>Office Supplies</v>
      </c>
      <c r="L305" s="10" t="str">
        <f>_xlfn.XLOOKUP(B305,DataSet!$N$2:$N$600,DataSet!$Y$2:$Y$600,0)</f>
        <v>Binders</v>
      </c>
      <c r="M305" s="10" t="str">
        <f>_xlfn.XLOOKUP(B305,DataSet!$N$2:$N$600,DataSet!$Q$2:$Q$600,0)</f>
        <v>Avery Premier Heavy-Duty Binder with Round Locking Rings</v>
      </c>
      <c r="N305" s="16">
        <f>_xlfn.XLOOKUP(B305,DataSet!$N$2:$N$600,DataSet!$AA$2:$AA$600,0)</f>
        <v>14.28</v>
      </c>
      <c r="O305" s="10">
        <f>_xlfn.XLOOKUP(B305,DataSet!$N$2:$N$600,DataSet!$S$2:$S$600,0)</f>
        <v>1</v>
      </c>
      <c r="P305" s="15">
        <f>_xlfn.XLOOKUP(B305,DataSet!$N$2:$N$600,DataSet!$T$2:$T$600,0)</f>
        <v>0</v>
      </c>
      <c r="Q305" s="14">
        <f>_xlfn.XLOOKUP(B305,DataSet!$N$2:$N$600,DataSet!$U$2:$U$600,0)</f>
        <v>6.5688000000000004</v>
      </c>
      <c r="R305" s="16">
        <f>_xlfn.XLOOKUP(B305,DataSet!$N$2:$N$600,DataSet!$AB$2:$AB$600,0)</f>
        <v>14.28</v>
      </c>
      <c r="S305" s="9">
        <f>_xlfn.XLOOKUP(B305,DataSet!$N$2:$N$600,DataSet!$AC$2:$AC$600,0)</f>
        <v>14.28</v>
      </c>
    </row>
    <row r="306" spans="1:19" s="12" customFormat="1" x14ac:dyDescent="0.3">
      <c r="A306" s="27">
        <v>304</v>
      </c>
      <c r="B306" s="10" t="s">
        <v>1106</v>
      </c>
      <c r="C306" s="10" t="str">
        <f>_xlfn.XLOOKUP(B306,DataSet!$N$2:$N$600,DataSet!$AF$2:$AF$600,0)</f>
        <v>152380</v>
      </c>
      <c r="D306" s="10" t="str">
        <f>_xlfn.XLOOKUP(B306,DataSet!$N$2:$N$600,DataSet!$G$2:$G$600,0)</f>
        <v>Jonathan Howell</v>
      </c>
      <c r="E306" s="10" t="str">
        <f>_xlfn.XLOOKUP(B306,DataSet!$N$2:$N$600,DataSet!$F$2:$F$600,0)</f>
        <v>JH-15910</v>
      </c>
      <c r="F306" s="10" t="str">
        <f>_xlfn.XLOOKUP(B306,DataSet!$N$2:$N$600,DataSet!$W$2:$W$600,0)</f>
        <v>Consumer</v>
      </c>
      <c r="G306" s="13">
        <f>_xlfn.XLOOKUP(B306,DataSet!$N$2:$N$600,DataSet!$C$2:$C$600,0)</f>
        <v>43058</v>
      </c>
      <c r="H306" s="10" t="str">
        <f>_xlfn.XLOOKUP(B306,DataSet!$N$2:$N$600,DataSet!$I$2:$I$600,0)</f>
        <v>United States</v>
      </c>
      <c r="I306" s="10" t="str">
        <f>_xlfn.XLOOKUP(B306,DataSet!$N$2:$N$600,DataSet!$X$2:$X$600,0)</f>
        <v>Chicago - Illinois</v>
      </c>
      <c r="J306" s="10" t="str">
        <f>_xlfn.XLOOKUP(B306,DataSet!$N$2:$N$600,DataSet!$M$2:$M$600,0)</f>
        <v>Central</v>
      </c>
      <c r="K306" s="10" t="str">
        <f>_xlfn.XLOOKUP(B306,DataSet!$N$2:$N$600,DataSet!$O$2:$O$600,0)</f>
        <v>Furniture</v>
      </c>
      <c r="L306" s="10" t="str">
        <f>_xlfn.XLOOKUP(B306,DataSet!$N$2:$N$600,DataSet!$Y$2:$Y$600,0)</f>
        <v>Tables</v>
      </c>
      <c r="M306" s="10" t="str">
        <f>_xlfn.XLOOKUP(B306,DataSet!$N$2:$N$600,DataSet!$Q$2:$Q$600,0)</f>
        <v>BPI Conference Tables</v>
      </c>
      <c r="N306" s="16">
        <f>_xlfn.XLOOKUP(B306,DataSet!$N$2:$N$600,DataSet!$AA$2:$AA$600,0)</f>
        <v>219.07499999999999</v>
      </c>
      <c r="O306" s="10">
        <f>_xlfn.XLOOKUP(B306,DataSet!$N$2:$N$600,DataSet!$S$2:$S$600,0)</f>
        <v>3</v>
      </c>
      <c r="P306" s="15">
        <f>_xlfn.XLOOKUP(B306,DataSet!$N$2:$N$600,DataSet!$T$2:$T$600,0)</f>
        <v>0.5</v>
      </c>
      <c r="Q306" s="14">
        <f>_xlfn.XLOOKUP(B306,DataSet!$N$2:$N$600,DataSet!$U$2:$U$600,0)</f>
        <v>-131.44499999999999</v>
      </c>
      <c r="R306" s="16">
        <f>_xlfn.XLOOKUP(B306,DataSet!$N$2:$N$600,DataSet!$AB$2:$AB$600,0)</f>
        <v>657.22499999999991</v>
      </c>
      <c r="S306" s="9">
        <f>_xlfn.XLOOKUP(B306,DataSet!$N$2:$N$600,DataSet!$AC$2:$AC$600,0)</f>
        <v>328.61249999999995</v>
      </c>
    </row>
    <row r="307" spans="1:19" s="12" customFormat="1" x14ac:dyDescent="0.3">
      <c r="A307" s="27">
        <v>305</v>
      </c>
      <c r="B307" s="10" t="s">
        <v>1111</v>
      </c>
      <c r="C307" s="10" t="str">
        <f>_xlfn.XLOOKUP(B307,DataSet!$N$2:$N$600,DataSet!$AF$2:$AF$600,0)</f>
        <v>144253</v>
      </c>
      <c r="D307" s="10" t="str">
        <f>_xlfn.XLOOKUP(B307,DataSet!$N$2:$N$600,DataSet!$G$2:$G$600,0)</f>
        <v>Alan Schoenberger</v>
      </c>
      <c r="E307" s="10" t="str">
        <f>_xlfn.XLOOKUP(B307,DataSet!$N$2:$N$600,DataSet!$F$2:$F$600,0)</f>
        <v>AS-10225</v>
      </c>
      <c r="F307" s="10" t="str">
        <f>_xlfn.XLOOKUP(B307,DataSet!$N$2:$N$600,DataSet!$W$2:$W$600,0)</f>
        <v>Corporate</v>
      </c>
      <c r="G307" s="13">
        <f>_xlfn.XLOOKUP(B307,DataSet!$N$2:$N$600,DataSet!$C$2:$C$600,0)</f>
        <v>42128</v>
      </c>
      <c r="H307" s="10" t="str">
        <f>_xlfn.XLOOKUP(B307,DataSet!$N$2:$N$600,DataSet!$I$2:$I$600,0)</f>
        <v>United States</v>
      </c>
      <c r="I307" s="10" t="str">
        <f>_xlfn.XLOOKUP(B307,DataSet!$N$2:$N$600,DataSet!$X$2:$X$600,0)</f>
        <v>New York City - New York</v>
      </c>
      <c r="J307" s="10" t="str">
        <f>_xlfn.XLOOKUP(B307,DataSet!$N$2:$N$600,DataSet!$M$2:$M$600,0)</f>
        <v>East</v>
      </c>
      <c r="K307" s="10" t="str">
        <f>_xlfn.XLOOKUP(B307,DataSet!$N$2:$N$600,DataSet!$O$2:$O$600,0)</f>
        <v>Furniture</v>
      </c>
      <c r="L307" s="10" t="str">
        <f>_xlfn.XLOOKUP(B307,DataSet!$N$2:$N$600,DataSet!$Y$2:$Y$600,0)</f>
        <v>Furnishings</v>
      </c>
      <c r="M307" s="10" t="str">
        <f>_xlfn.XLOOKUP(B307,DataSet!$N$2:$N$600,DataSet!$Q$2:$Q$600,0)</f>
        <v>Electrix 20W Halogen Replacement Bulb for Zoom-In Desk Lamp</v>
      </c>
      <c r="N307" s="16">
        <f>_xlfn.XLOOKUP(B307,DataSet!$N$2:$N$600,DataSet!$AA$2:$AA$600,0)</f>
        <v>26.8</v>
      </c>
      <c r="O307" s="10">
        <f>_xlfn.XLOOKUP(B307,DataSet!$N$2:$N$600,DataSet!$S$2:$S$600,0)</f>
        <v>2</v>
      </c>
      <c r="P307" s="15">
        <f>_xlfn.XLOOKUP(B307,DataSet!$N$2:$N$600,DataSet!$T$2:$T$600,0)</f>
        <v>0</v>
      </c>
      <c r="Q307" s="14">
        <f>_xlfn.XLOOKUP(B307,DataSet!$N$2:$N$600,DataSet!$U$2:$U$600,0)</f>
        <v>12.864000000000001</v>
      </c>
      <c r="R307" s="16">
        <f>_xlfn.XLOOKUP(B307,DataSet!$N$2:$N$600,DataSet!$AB$2:$AB$600,0)</f>
        <v>53.6</v>
      </c>
      <c r="S307" s="9">
        <f>_xlfn.XLOOKUP(B307,DataSet!$N$2:$N$600,DataSet!$AC$2:$AC$600,0)</f>
        <v>53.6</v>
      </c>
    </row>
    <row r="308" spans="1:19" s="12" customFormat="1" x14ac:dyDescent="0.3">
      <c r="A308" s="27">
        <v>306</v>
      </c>
      <c r="B308" s="10" t="s">
        <v>1115</v>
      </c>
      <c r="C308" s="10" t="str">
        <f>_xlfn.XLOOKUP(B308,DataSet!$N$2:$N$600,DataSet!$AF$2:$AF$600,0)</f>
        <v>130960</v>
      </c>
      <c r="D308" s="10" t="str">
        <f>_xlfn.XLOOKUP(B308,DataSet!$N$2:$N$600,DataSet!$G$2:$G$600,0)</f>
        <v>Ken Brennan</v>
      </c>
      <c r="E308" s="10" t="str">
        <f>_xlfn.XLOOKUP(B308,DataSet!$N$2:$N$600,DataSet!$F$2:$F$600,0)</f>
        <v>KB-16600</v>
      </c>
      <c r="F308" s="10" t="str">
        <f>_xlfn.XLOOKUP(B308,DataSet!$N$2:$N$600,DataSet!$W$2:$W$600,0)</f>
        <v>Corporate</v>
      </c>
      <c r="G308" s="13">
        <f>_xlfn.XLOOKUP(B308,DataSet!$N$2:$N$600,DataSet!$C$2:$C$600,0)</f>
        <v>42003</v>
      </c>
      <c r="H308" s="10" t="str">
        <f>_xlfn.XLOOKUP(B308,DataSet!$N$2:$N$600,DataSet!$I$2:$I$600,0)</f>
        <v>United States</v>
      </c>
      <c r="I308" s="10" t="str">
        <f>_xlfn.XLOOKUP(B308,DataSet!$N$2:$N$600,DataSet!$X$2:$X$600,0)</f>
        <v>Taylor - Michigan</v>
      </c>
      <c r="J308" s="10" t="str">
        <f>_xlfn.XLOOKUP(B308,DataSet!$N$2:$N$600,DataSet!$M$2:$M$600,0)</f>
        <v>Central</v>
      </c>
      <c r="K308" s="10" t="str">
        <f>_xlfn.XLOOKUP(B308,DataSet!$N$2:$N$600,DataSet!$O$2:$O$600,0)</f>
        <v>Office Supplies</v>
      </c>
      <c r="L308" s="10" t="str">
        <f>_xlfn.XLOOKUP(B308,DataSet!$N$2:$N$600,DataSet!$Y$2:$Y$600,0)</f>
        <v>Art</v>
      </c>
      <c r="M308" s="10" t="str">
        <f>_xlfn.XLOOKUP(B308,DataSet!$N$2:$N$600,DataSet!$Q$2:$Q$600,0)</f>
        <v>Newell 350</v>
      </c>
      <c r="N308" s="16">
        <f>_xlfn.XLOOKUP(B308,DataSet!$N$2:$N$600,DataSet!$AA$2:$AA$600,0)</f>
        <v>9.84</v>
      </c>
      <c r="O308" s="10">
        <f>_xlfn.XLOOKUP(B308,DataSet!$N$2:$N$600,DataSet!$S$2:$S$600,0)</f>
        <v>3</v>
      </c>
      <c r="P308" s="15">
        <f>_xlfn.XLOOKUP(B308,DataSet!$N$2:$N$600,DataSet!$T$2:$T$600,0)</f>
        <v>0</v>
      </c>
      <c r="Q308" s="14">
        <f>_xlfn.XLOOKUP(B308,DataSet!$N$2:$N$600,DataSet!$U$2:$U$600,0)</f>
        <v>2.8536000000000001</v>
      </c>
      <c r="R308" s="16">
        <f>_xlfn.XLOOKUP(B308,DataSet!$N$2:$N$600,DataSet!$AB$2:$AB$600,0)</f>
        <v>29.52</v>
      </c>
      <c r="S308" s="9">
        <f>_xlfn.XLOOKUP(B308,DataSet!$N$2:$N$600,DataSet!$AC$2:$AC$600,0)</f>
        <v>29.52</v>
      </c>
    </row>
    <row r="309" spans="1:19" s="12" customFormat="1" x14ac:dyDescent="0.3">
      <c r="A309" s="27">
        <v>307</v>
      </c>
      <c r="B309" s="10" t="s">
        <v>1121</v>
      </c>
      <c r="C309" s="10" t="str">
        <f>_xlfn.XLOOKUP(B309,DataSet!$N$2:$N$600,DataSet!$AF$2:$AF$600,0)</f>
        <v>111003</v>
      </c>
      <c r="D309" s="10" t="str">
        <f>_xlfn.XLOOKUP(B309,DataSet!$N$2:$N$600,DataSet!$G$2:$G$600,0)</f>
        <v>Corey Roper</v>
      </c>
      <c r="E309" s="10" t="str">
        <f>_xlfn.XLOOKUP(B309,DataSet!$N$2:$N$600,DataSet!$F$2:$F$600,0)</f>
        <v>CR-12625</v>
      </c>
      <c r="F309" s="10" t="str">
        <f>_xlfn.XLOOKUP(B309,DataSet!$N$2:$N$600,DataSet!$W$2:$W$600,0)</f>
        <v>Home Office</v>
      </c>
      <c r="G309" s="13">
        <f>_xlfn.XLOOKUP(B309,DataSet!$N$2:$N$600,DataSet!$C$2:$C$600,0)</f>
        <v>41791</v>
      </c>
      <c r="H309" s="10" t="str">
        <f>_xlfn.XLOOKUP(B309,DataSet!$N$2:$N$600,DataSet!$I$2:$I$600,0)</f>
        <v>United States</v>
      </c>
      <c r="I309" s="10" t="str">
        <f>_xlfn.XLOOKUP(B309,DataSet!$N$2:$N$600,DataSet!$X$2:$X$600,0)</f>
        <v>Lakewood - New Jersey</v>
      </c>
      <c r="J309" s="10" t="str">
        <f>_xlfn.XLOOKUP(B309,DataSet!$N$2:$N$600,DataSet!$M$2:$M$600,0)</f>
        <v>East</v>
      </c>
      <c r="K309" s="10" t="str">
        <f>_xlfn.XLOOKUP(B309,DataSet!$N$2:$N$600,DataSet!$O$2:$O$600,0)</f>
        <v>Office Supplies</v>
      </c>
      <c r="L309" s="10" t="str">
        <f>_xlfn.XLOOKUP(B309,DataSet!$N$2:$N$600,DataSet!$Y$2:$Y$600,0)</f>
        <v>Binders</v>
      </c>
      <c r="M309" s="10" t="str">
        <f>_xlfn.XLOOKUP(B309,DataSet!$N$2:$N$600,DataSet!$Q$2:$Q$600,0)</f>
        <v>GBC Clear Cover, 8-1/2 x 11, unpunched, 25 covers per pack</v>
      </c>
      <c r="N309" s="16">
        <f>_xlfn.XLOOKUP(B309,DataSet!$N$2:$N$600,DataSet!$AA$2:$AA$600,0)</f>
        <v>45.48</v>
      </c>
      <c r="O309" s="10">
        <f>_xlfn.XLOOKUP(B309,DataSet!$N$2:$N$600,DataSet!$S$2:$S$600,0)</f>
        <v>3</v>
      </c>
      <c r="P309" s="15">
        <f>_xlfn.XLOOKUP(B309,DataSet!$N$2:$N$600,DataSet!$T$2:$T$600,0)</f>
        <v>0</v>
      </c>
      <c r="Q309" s="14">
        <f>_xlfn.XLOOKUP(B309,DataSet!$N$2:$N$600,DataSet!$U$2:$U$600,0)</f>
        <v>20.9208</v>
      </c>
      <c r="R309" s="16">
        <f>_xlfn.XLOOKUP(B309,DataSet!$N$2:$N$600,DataSet!$AB$2:$AB$600,0)</f>
        <v>136.44</v>
      </c>
      <c r="S309" s="9">
        <f>_xlfn.XLOOKUP(B309,DataSet!$N$2:$N$600,DataSet!$AC$2:$AC$600,0)</f>
        <v>136.44</v>
      </c>
    </row>
    <row r="310" spans="1:19" s="12" customFormat="1" x14ac:dyDescent="0.3">
      <c r="A310" s="27">
        <v>308</v>
      </c>
      <c r="B310" s="10" t="s">
        <v>1123</v>
      </c>
      <c r="C310" s="10" t="str">
        <f>_xlfn.XLOOKUP(B310,DataSet!$N$2:$N$600,DataSet!$AF$2:$AF$600,0)</f>
        <v>111003</v>
      </c>
      <c r="D310" s="10" t="str">
        <f>_xlfn.XLOOKUP(B310,DataSet!$N$2:$N$600,DataSet!$G$2:$G$600,0)</f>
        <v>Corey Roper</v>
      </c>
      <c r="E310" s="10" t="str">
        <f>_xlfn.XLOOKUP(B310,DataSet!$N$2:$N$600,DataSet!$F$2:$F$600,0)</f>
        <v>CR-12625</v>
      </c>
      <c r="F310" s="10" t="str">
        <f>_xlfn.XLOOKUP(B310,DataSet!$N$2:$N$600,DataSet!$W$2:$W$600,0)</f>
        <v>Home Office</v>
      </c>
      <c r="G310" s="13">
        <f>_xlfn.XLOOKUP(B310,DataSet!$N$2:$N$600,DataSet!$C$2:$C$600,0)</f>
        <v>41791</v>
      </c>
      <c r="H310" s="10" t="str">
        <f>_xlfn.XLOOKUP(B310,DataSet!$N$2:$N$600,DataSet!$I$2:$I$600,0)</f>
        <v>United States</v>
      </c>
      <c r="I310" s="10" t="str">
        <f>_xlfn.XLOOKUP(B310,DataSet!$N$2:$N$600,DataSet!$X$2:$X$600,0)</f>
        <v>Lakewood - New Jersey</v>
      </c>
      <c r="J310" s="10" t="str">
        <f>_xlfn.XLOOKUP(B310,DataSet!$N$2:$N$600,DataSet!$M$2:$M$600,0)</f>
        <v>East</v>
      </c>
      <c r="K310" s="10" t="str">
        <f>_xlfn.XLOOKUP(B310,DataSet!$N$2:$N$600,DataSet!$O$2:$O$600,0)</f>
        <v>Office Supplies</v>
      </c>
      <c r="L310" s="10" t="str">
        <f>_xlfn.XLOOKUP(B310,DataSet!$N$2:$N$600,DataSet!$Y$2:$Y$600,0)</f>
        <v>Art</v>
      </c>
      <c r="M310" s="10" t="str">
        <f>_xlfn.XLOOKUP(B310,DataSet!$N$2:$N$600,DataSet!$Q$2:$Q$600,0)</f>
        <v>Boston Heavy-Duty Trimline Electric Pencil Sharpeners</v>
      </c>
      <c r="N310" s="16">
        <f>_xlfn.XLOOKUP(B310,DataSet!$N$2:$N$600,DataSet!$AA$2:$AA$600,0)</f>
        <v>289.2</v>
      </c>
      <c r="O310" s="10">
        <f>_xlfn.XLOOKUP(B310,DataSet!$N$2:$N$600,DataSet!$S$2:$S$600,0)</f>
        <v>6</v>
      </c>
      <c r="P310" s="15">
        <f>_xlfn.XLOOKUP(B310,DataSet!$N$2:$N$600,DataSet!$T$2:$T$600,0)</f>
        <v>0</v>
      </c>
      <c r="Q310" s="14">
        <f>_xlfn.XLOOKUP(B310,DataSet!$N$2:$N$600,DataSet!$U$2:$U$600,0)</f>
        <v>83.867999999999995</v>
      </c>
      <c r="R310" s="16">
        <f>_xlfn.XLOOKUP(B310,DataSet!$N$2:$N$600,DataSet!$AB$2:$AB$600,0)</f>
        <v>1735.1999999999998</v>
      </c>
      <c r="S310" s="9">
        <f>_xlfn.XLOOKUP(B310,DataSet!$N$2:$N$600,DataSet!$AC$2:$AC$600,0)</f>
        <v>1735.1999999999998</v>
      </c>
    </row>
    <row r="311" spans="1:19" s="12" customFormat="1" x14ac:dyDescent="0.3">
      <c r="A311" s="27">
        <v>309</v>
      </c>
      <c r="B311" s="10" t="s">
        <v>1129</v>
      </c>
      <c r="C311" s="10" t="str">
        <f>_xlfn.XLOOKUP(B311,DataSet!$N$2:$N$600,DataSet!$AF$2:$AF$600,0)</f>
        <v>126774</v>
      </c>
      <c r="D311" s="10" t="str">
        <f>_xlfn.XLOOKUP(B311,DataSet!$N$2:$N$600,DataSet!$G$2:$G$600,0)</f>
        <v>Shahid Hopkins</v>
      </c>
      <c r="E311" s="10" t="str">
        <f>_xlfn.XLOOKUP(B311,DataSet!$N$2:$N$600,DataSet!$F$2:$F$600,0)</f>
        <v>SH-20395</v>
      </c>
      <c r="F311" s="10" t="str">
        <f>_xlfn.XLOOKUP(B311,DataSet!$N$2:$N$600,DataSet!$W$2:$W$600,0)</f>
        <v>Consumer</v>
      </c>
      <c r="G311" s="13">
        <f>_xlfn.XLOOKUP(B311,DataSet!$N$2:$N$600,DataSet!$C$2:$C$600,0)</f>
        <v>42840</v>
      </c>
      <c r="H311" s="10" t="str">
        <f>_xlfn.XLOOKUP(B311,DataSet!$N$2:$N$600,DataSet!$I$2:$I$600,0)</f>
        <v>United States</v>
      </c>
      <c r="I311" s="10" t="str">
        <f>_xlfn.XLOOKUP(B311,DataSet!$N$2:$N$600,DataSet!$X$2:$X$600,0)</f>
        <v>Arlington - Virginia</v>
      </c>
      <c r="J311" s="10" t="str">
        <f>_xlfn.XLOOKUP(B311,DataSet!$N$2:$N$600,DataSet!$M$2:$M$600,0)</f>
        <v>South</v>
      </c>
      <c r="K311" s="10" t="str">
        <f>_xlfn.XLOOKUP(B311,DataSet!$N$2:$N$600,DataSet!$O$2:$O$600,0)</f>
        <v>Office Supplies</v>
      </c>
      <c r="L311" s="10" t="str">
        <f>_xlfn.XLOOKUP(B311,DataSet!$N$2:$N$600,DataSet!$Y$2:$Y$600,0)</f>
        <v>Art</v>
      </c>
      <c r="M311" s="10" t="str">
        <f>_xlfn.XLOOKUP(B311,DataSet!$N$2:$N$600,DataSet!$Q$2:$Q$600,0)</f>
        <v>Faber Castell Col-Erase Pencils</v>
      </c>
      <c r="N311" s="16">
        <f>_xlfn.XLOOKUP(B311,DataSet!$N$2:$N$600,DataSet!$AA$2:$AA$600,0)</f>
        <v>4.8899999999999997</v>
      </c>
      <c r="O311" s="10">
        <f>_xlfn.XLOOKUP(B311,DataSet!$N$2:$N$600,DataSet!$S$2:$S$600,0)</f>
        <v>1</v>
      </c>
      <c r="P311" s="15">
        <f>_xlfn.XLOOKUP(B311,DataSet!$N$2:$N$600,DataSet!$T$2:$T$600,0)</f>
        <v>0</v>
      </c>
      <c r="Q311" s="14">
        <f>_xlfn.XLOOKUP(B311,DataSet!$N$2:$N$600,DataSet!$U$2:$U$600,0)</f>
        <v>2.0049000000000001</v>
      </c>
      <c r="R311" s="16">
        <f>_xlfn.XLOOKUP(B311,DataSet!$N$2:$N$600,DataSet!$AB$2:$AB$600,0)</f>
        <v>4.8899999999999997</v>
      </c>
      <c r="S311" s="9">
        <f>_xlfn.XLOOKUP(B311,DataSet!$N$2:$N$600,DataSet!$AC$2:$AC$600,0)</f>
        <v>4.8899999999999997</v>
      </c>
    </row>
    <row r="312" spans="1:19" s="12" customFormat="1" x14ac:dyDescent="0.3">
      <c r="A312" s="27">
        <v>310</v>
      </c>
      <c r="B312" s="10" t="s">
        <v>1135</v>
      </c>
      <c r="C312" s="10" t="str">
        <f>_xlfn.XLOOKUP(B312,DataSet!$N$2:$N$600,DataSet!$AF$2:$AF$600,0)</f>
        <v>142902</v>
      </c>
      <c r="D312" s="10" t="str">
        <f>_xlfn.XLOOKUP(B312,DataSet!$N$2:$N$600,DataSet!$G$2:$G$600,0)</f>
        <v>Ben Peterman</v>
      </c>
      <c r="E312" s="10" t="str">
        <f>_xlfn.XLOOKUP(B312,DataSet!$N$2:$N$600,DataSet!$F$2:$F$600,0)</f>
        <v>BP-11185</v>
      </c>
      <c r="F312" s="10" t="str">
        <f>_xlfn.XLOOKUP(B312,DataSet!$N$2:$N$600,DataSet!$W$2:$W$600,0)</f>
        <v>Corporate</v>
      </c>
      <c r="G312" s="13">
        <f>_xlfn.XLOOKUP(B312,DataSet!$N$2:$N$600,DataSet!$C$2:$C$600,0)</f>
        <v>42625</v>
      </c>
      <c r="H312" s="10" t="str">
        <f>_xlfn.XLOOKUP(B312,DataSet!$N$2:$N$600,DataSet!$I$2:$I$600,0)</f>
        <v>United States</v>
      </c>
      <c r="I312" s="10" t="str">
        <f>_xlfn.XLOOKUP(B312,DataSet!$N$2:$N$600,DataSet!$X$2:$X$600,0)</f>
        <v>Arvada - Colorado</v>
      </c>
      <c r="J312" s="10" t="str">
        <f>_xlfn.XLOOKUP(B312,DataSet!$N$2:$N$600,DataSet!$M$2:$M$600,0)</f>
        <v>West</v>
      </c>
      <c r="K312" s="10" t="str">
        <f>_xlfn.XLOOKUP(B312,DataSet!$N$2:$N$600,DataSet!$O$2:$O$600,0)</f>
        <v>Furniture</v>
      </c>
      <c r="L312" s="10" t="str">
        <f>_xlfn.XLOOKUP(B312,DataSet!$N$2:$N$600,DataSet!$Y$2:$Y$600,0)</f>
        <v>Furnishings</v>
      </c>
      <c r="M312" s="10" t="str">
        <f>_xlfn.XLOOKUP(B312,DataSet!$N$2:$N$600,DataSet!$Q$2:$Q$600,0)</f>
        <v>C-Line Cubicle Keepers Polyproplyene Holder With Velcro Backings</v>
      </c>
      <c r="N312" s="16">
        <f>_xlfn.XLOOKUP(B312,DataSet!$N$2:$N$600,DataSet!$AA$2:$AA$600,0)</f>
        <v>15.135999999999999</v>
      </c>
      <c r="O312" s="10">
        <f>_xlfn.XLOOKUP(B312,DataSet!$N$2:$N$600,DataSet!$S$2:$S$600,0)</f>
        <v>4</v>
      </c>
      <c r="P312" s="15">
        <f>_xlfn.XLOOKUP(B312,DataSet!$N$2:$N$600,DataSet!$T$2:$T$600,0)</f>
        <v>0.2</v>
      </c>
      <c r="Q312" s="14">
        <f>_xlfn.XLOOKUP(B312,DataSet!$N$2:$N$600,DataSet!$U$2:$U$600,0)</f>
        <v>3.5948000000000002</v>
      </c>
      <c r="R312" s="16">
        <f>_xlfn.XLOOKUP(B312,DataSet!$N$2:$N$600,DataSet!$AB$2:$AB$600,0)</f>
        <v>60.543999999999997</v>
      </c>
      <c r="S312" s="9">
        <f>_xlfn.XLOOKUP(B312,DataSet!$N$2:$N$600,DataSet!$AC$2:$AC$600,0)</f>
        <v>48.435200000000002</v>
      </c>
    </row>
    <row r="313" spans="1:19" s="12" customFormat="1" x14ac:dyDescent="0.3">
      <c r="A313" s="27">
        <v>311</v>
      </c>
      <c r="B313" s="10" t="s">
        <v>1137</v>
      </c>
      <c r="C313" s="10" t="str">
        <f>_xlfn.XLOOKUP(B313,DataSet!$N$2:$N$600,DataSet!$AF$2:$AF$600,0)</f>
        <v>142902</v>
      </c>
      <c r="D313" s="10" t="str">
        <f>_xlfn.XLOOKUP(B313,DataSet!$N$2:$N$600,DataSet!$G$2:$G$600,0)</f>
        <v>Ben Peterman</v>
      </c>
      <c r="E313" s="10" t="str">
        <f>_xlfn.XLOOKUP(B313,DataSet!$N$2:$N$600,DataSet!$F$2:$F$600,0)</f>
        <v>BP-11185</v>
      </c>
      <c r="F313" s="10" t="str">
        <f>_xlfn.XLOOKUP(B313,DataSet!$N$2:$N$600,DataSet!$W$2:$W$600,0)</f>
        <v>Corporate</v>
      </c>
      <c r="G313" s="13">
        <f>_xlfn.XLOOKUP(B313,DataSet!$N$2:$N$600,DataSet!$C$2:$C$600,0)</f>
        <v>42625</v>
      </c>
      <c r="H313" s="10" t="str">
        <f>_xlfn.XLOOKUP(B313,DataSet!$N$2:$N$600,DataSet!$I$2:$I$600,0)</f>
        <v>United States</v>
      </c>
      <c r="I313" s="10" t="str">
        <f>_xlfn.XLOOKUP(B313,DataSet!$N$2:$N$600,DataSet!$X$2:$X$600,0)</f>
        <v>Arvada - Colorado</v>
      </c>
      <c r="J313" s="10" t="str">
        <f>_xlfn.XLOOKUP(B313,DataSet!$N$2:$N$600,DataSet!$M$2:$M$600,0)</f>
        <v>West</v>
      </c>
      <c r="K313" s="10" t="str">
        <f>_xlfn.XLOOKUP(B313,DataSet!$N$2:$N$600,DataSet!$O$2:$O$600,0)</f>
        <v>Furniture</v>
      </c>
      <c r="L313" s="10" t="str">
        <f>_xlfn.XLOOKUP(B313,DataSet!$N$2:$N$600,DataSet!$Y$2:$Y$600,0)</f>
        <v>Chairs</v>
      </c>
      <c r="M313" s="10" t="str">
        <f>_xlfn.XLOOKUP(B313,DataSet!$N$2:$N$600,DataSet!$Q$2:$Q$600,0)</f>
        <v>Hon 4070 Series Pagoda Armless Upholstered Stacking Chairs</v>
      </c>
      <c r="N313" s="16">
        <f>_xlfn.XLOOKUP(B313,DataSet!$N$2:$N$600,DataSet!$AA$2:$AA$600,0)</f>
        <v>466.76799999999997</v>
      </c>
      <c r="O313" s="10">
        <f>_xlfn.XLOOKUP(B313,DataSet!$N$2:$N$600,DataSet!$S$2:$S$600,0)</f>
        <v>2</v>
      </c>
      <c r="P313" s="15">
        <f>_xlfn.XLOOKUP(B313,DataSet!$N$2:$N$600,DataSet!$T$2:$T$600,0)</f>
        <v>0.2</v>
      </c>
      <c r="Q313" s="14">
        <f>_xlfn.XLOOKUP(B313,DataSet!$N$2:$N$600,DataSet!$U$2:$U$600,0)</f>
        <v>52.511400000000002</v>
      </c>
      <c r="R313" s="16">
        <f>_xlfn.XLOOKUP(B313,DataSet!$N$2:$N$600,DataSet!$AB$2:$AB$600,0)</f>
        <v>933.53599999999994</v>
      </c>
      <c r="S313" s="9">
        <f>_xlfn.XLOOKUP(B313,DataSet!$N$2:$N$600,DataSet!$AC$2:$AC$600,0)</f>
        <v>746.8288</v>
      </c>
    </row>
    <row r="314" spans="1:19" s="12" customFormat="1" x14ac:dyDescent="0.3">
      <c r="A314" s="27">
        <v>312</v>
      </c>
      <c r="B314" s="10" t="s">
        <v>1139</v>
      </c>
      <c r="C314" s="10" t="str">
        <f>_xlfn.XLOOKUP(B314,DataSet!$N$2:$N$600,DataSet!$AF$2:$AF$600,0)</f>
        <v>142902</v>
      </c>
      <c r="D314" s="10" t="str">
        <f>_xlfn.XLOOKUP(B314,DataSet!$N$2:$N$600,DataSet!$G$2:$G$600,0)</f>
        <v>Ben Peterman</v>
      </c>
      <c r="E314" s="10" t="str">
        <f>_xlfn.XLOOKUP(B314,DataSet!$N$2:$N$600,DataSet!$F$2:$F$600,0)</f>
        <v>BP-11185</v>
      </c>
      <c r="F314" s="10" t="str">
        <f>_xlfn.XLOOKUP(B314,DataSet!$N$2:$N$600,DataSet!$W$2:$W$600,0)</f>
        <v>Corporate</v>
      </c>
      <c r="G314" s="13">
        <f>_xlfn.XLOOKUP(B314,DataSet!$N$2:$N$600,DataSet!$C$2:$C$600,0)</f>
        <v>42625</v>
      </c>
      <c r="H314" s="10" t="str">
        <f>_xlfn.XLOOKUP(B314,DataSet!$N$2:$N$600,DataSet!$I$2:$I$600,0)</f>
        <v>United States</v>
      </c>
      <c r="I314" s="10" t="str">
        <f>_xlfn.XLOOKUP(B314,DataSet!$N$2:$N$600,DataSet!$X$2:$X$600,0)</f>
        <v>Arvada - Colorado</v>
      </c>
      <c r="J314" s="10" t="str">
        <f>_xlfn.XLOOKUP(B314,DataSet!$N$2:$N$600,DataSet!$M$2:$M$600,0)</f>
        <v>West</v>
      </c>
      <c r="K314" s="10" t="str">
        <f>_xlfn.XLOOKUP(B314,DataSet!$N$2:$N$600,DataSet!$O$2:$O$600,0)</f>
        <v>Furniture</v>
      </c>
      <c r="L314" s="10" t="str">
        <f>_xlfn.XLOOKUP(B314,DataSet!$N$2:$N$600,DataSet!$Y$2:$Y$600,0)</f>
        <v>Furnishings</v>
      </c>
      <c r="M314" s="10" t="str">
        <f>_xlfn.XLOOKUP(B314,DataSet!$N$2:$N$600,DataSet!$Q$2:$Q$600,0)</f>
        <v>Eldon Expressions Desk Accessory, Wood Photo Frame, Mahogany</v>
      </c>
      <c r="N314" s="16">
        <f>_xlfn.XLOOKUP(B314,DataSet!$N$2:$N$600,DataSet!$AA$2:$AA$600,0)</f>
        <v>15.231999999999999</v>
      </c>
      <c r="O314" s="10">
        <f>_xlfn.XLOOKUP(B314,DataSet!$N$2:$N$600,DataSet!$S$2:$S$600,0)</f>
        <v>1</v>
      </c>
      <c r="P314" s="15">
        <f>_xlfn.XLOOKUP(B314,DataSet!$N$2:$N$600,DataSet!$T$2:$T$600,0)</f>
        <v>0.2</v>
      </c>
      <c r="Q314" s="14">
        <f>_xlfn.XLOOKUP(B314,DataSet!$N$2:$N$600,DataSet!$U$2:$U$600,0)</f>
        <v>1.7136</v>
      </c>
      <c r="R314" s="16">
        <f>_xlfn.XLOOKUP(B314,DataSet!$N$2:$N$600,DataSet!$AB$2:$AB$600,0)</f>
        <v>15.231999999999999</v>
      </c>
      <c r="S314" s="9">
        <f>_xlfn.XLOOKUP(B314,DataSet!$N$2:$N$600,DataSet!$AC$2:$AC$600,0)</f>
        <v>12.185600000000001</v>
      </c>
    </row>
    <row r="315" spans="1:19" s="12" customFormat="1" x14ac:dyDescent="0.3">
      <c r="A315" s="27">
        <v>313</v>
      </c>
      <c r="B315" s="10" t="s">
        <v>1141</v>
      </c>
      <c r="C315" s="10" t="str">
        <f>_xlfn.XLOOKUP(B315,DataSet!$N$2:$N$600,DataSet!$AF$2:$AF$600,0)</f>
        <v>142902</v>
      </c>
      <c r="D315" s="10" t="str">
        <f>_xlfn.XLOOKUP(B315,DataSet!$N$2:$N$600,DataSet!$G$2:$G$600,0)</f>
        <v>Ben Peterman</v>
      </c>
      <c r="E315" s="10" t="str">
        <f>_xlfn.XLOOKUP(B315,DataSet!$N$2:$N$600,DataSet!$F$2:$F$600,0)</f>
        <v>BP-11185</v>
      </c>
      <c r="F315" s="10" t="str">
        <f>_xlfn.XLOOKUP(B315,DataSet!$N$2:$N$600,DataSet!$W$2:$W$600,0)</f>
        <v>Corporate</v>
      </c>
      <c r="G315" s="13">
        <f>_xlfn.XLOOKUP(B315,DataSet!$N$2:$N$600,DataSet!$C$2:$C$600,0)</f>
        <v>42625</v>
      </c>
      <c r="H315" s="10" t="str">
        <f>_xlfn.XLOOKUP(B315,DataSet!$N$2:$N$600,DataSet!$I$2:$I$600,0)</f>
        <v>United States</v>
      </c>
      <c r="I315" s="10" t="str">
        <f>_xlfn.XLOOKUP(B315,DataSet!$N$2:$N$600,DataSet!$X$2:$X$600,0)</f>
        <v>Arvada - Colorado</v>
      </c>
      <c r="J315" s="10" t="str">
        <f>_xlfn.XLOOKUP(B315,DataSet!$N$2:$N$600,DataSet!$M$2:$M$600,0)</f>
        <v>West</v>
      </c>
      <c r="K315" s="10" t="str">
        <f>_xlfn.XLOOKUP(B315,DataSet!$N$2:$N$600,DataSet!$O$2:$O$600,0)</f>
        <v>Office Supplies</v>
      </c>
      <c r="L315" s="10" t="str">
        <f>_xlfn.XLOOKUP(B315,DataSet!$N$2:$N$600,DataSet!$Y$2:$Y$600,0)</f>
        <v>Labels</v>
      </c>
      <c r="M315" s="10" t="str">
        <f>_xlfn.XLOOKUP(B315,DataSet!$N$2:$N$600,DataSet!$Q$2:$Q$600,0)</f>
        <v>Avery 509</v>
      </c>
      <c r="N315" s="16">
        <f>_xlfn.XLOOKUP(B315,DataSet!$N$2:$N$600,DataSet!$AA$2:$AA$600,0)</f>
        <v>6.2640000000000002</v>
      </c>
      <c r="O315" s="10">
        <f>_xlfn.XLOOKUP(B315,DataSet!$N$2:$N$600,DataSet!$S$2:$S$600,0)</f>
        <v>3</v>
      </c>
      <c r="P315" s="15">
        <f>_xlfn.XLOOKUP(B315,DataSet!$N$2:$N$600,DataSet!$T$2:$T$600,0)</f>
        <v>0.2</v>
      </c>
      <c r="Q315" s="14">
        <f>_xlfn.XLOOKUP(B315,DataSet!$N$2:$N$600,DataSet!$U$2:$U$600,0)</f>
        <v>2.0358000000000001</v>
      </c>
      <c r="R315" s="16">
        <f>_xlfn.XLOOKUP(B315,DataSet!$N$2:$N$600,DataSet!$AB$2:$AB$600,0)</f>
        <v>18.792000000000002</v>
      </c>
      <c r="S315" s="9">
        <f>_xlfn.XLOOKUP(B315,DataSet!$N$2:$N$600,DataSet!$AC$2:$AC$600,0)</f>
        <v>15.033600000000002</v>
      </c>
    </row>
    <row r="316" spans="1:19" s="12" customFormat="1" x14ac:dyDescent="0.3">
      <c r="A316" s="27">
        <v>314</v>
      </c>
      <c r="B316" s="10" t="s">
        <v>1147</v>
      </c>
      <c r="C316" s="10" t="str">
        <f>_xlfn.XLOOKUP(B316,DataSet!$N$2:$N$600,DataSet!$AF$2:$AF$600,0)</f>
        <v>120887</v>
      </c>
      <c r="D316" s="10" t="str">
        <f>_xlfn.XLOOKUP(B316,DataSet!$N$2:$N$600,DataSet!$G$2:$G$600,0)</f>
        <v>Thomas Seio</v>
      </c>
      <c r="E316" s="10" t="str">
        <f>_xlfn.XLOOKUP(B316,DataSet!$N$2:$N$600,DataSet!$F$2:$F$600,0)</f>
        <v>TS-21205</v>
      </c>
      <c r="F316" s="10" t="str">
        <f>_xlfn.XLOOKUP(B316,DataSet!$N$2:$N$600,DataSet!$W$2:$W$600,0)</f>
        <v>Corporate</v>
      </c>
      <c r="G316" s="13">
        <f>_xlfn.XLOOKUP(B316,DataSet!$N$2:$N$600,DataSet!$C$2:$C$600,0)</f>
        <v>41909</v>
      </c>
      <c r="H316" s="10" t="str">
        <f>_xlfn.XLOOKUP(B316,DataSet!$N$2:$N$600,DataSet!$I$2:$I$600,0)</f>
        <v>United States</v>
      </c>
      <c r="I316" s="10" t="str">
        <f>_xlfn.XLOOKUP(B316,DataSet!$N$2:$N$600,DataSet!$X$2:$X$600,0)</f>
        <v>Hackensack - New Jersey</v>
      </c>
      <c r="J316" s="10" t="str">
        <f>_xlfn.XLOOKUP(B316,DataSet!$N$2:$N$600,DataSet!$M$2:$M$600,0)</f>
        <v>East</v>
      </c>
      <c r="K316" s="10" t="str">
        <f>_xlfn.XLOOKUP(B316,DataSet!$N$2:$N$600,DataSet!$O$2:$O$600,0)</f>
        <v>Furniture</v>
      </c>
      <c r="L316" s="10" t="str">
        <f>_xlfn.XLOOKUP(B316,DataSet!$N$2:$N$600,DataSet!$Y$2:$Y$600,0)</f>
        <v>Furnishings</v>
      </c>
      <c r="M316" s="10" t="str">
        <f>_xlfn.XLOOKUP(B316,DataSet!$N$2:$N$600,DataSet!$Q$2:$Q$600,0)</f>
        <v>Deflect-o SuperTray Unbreakable Stackable Tray, Letter, Black</v>
      </c>
      <c r="N316" s="16">
        <f>_xlfn.XLOOKUP(B316,DataSet!$N$2:$N$600,DataSet!$AA$2:$AA$600,0)</f>
        <v>87.54</v>
      </c>
      <c r="O316" s="10">
        <f>_xlfn.XLOOKUP(B316,DataSet!$N$2:$N$600,DataSet!$S$2:$S$600,0)</f>
        <v>3</v>
      </c>
      <c r="P316" s="15">
        <f>_xlfn.XLOOKUP(B316,DataSet!$N$2:$N$600,DataSet!$T$2:$T$600,0)</f>
        <v>0</v>
      </c>
      <c r="Q316" s="14">
        <f>_xlfn.XLOOKUP(B316,DataSet!$N$2:$N$600,DataSet!$U$2:$U$600,0)</f>
        <v>37.642200000000003</v>
      </c>
      <c r="R316" s="16">
        <f>_xlfn.XLOOKUP(B316,DataSet!$N$2:$N$600,DataSet!$AB$2:$AB$600,0)</f>
        <v>262.62</v>
      </c>
      <c r="S316" s="9">
        <f>_xlfn.XLOOKUP(B316,DataSet!$N$2:$N$600,DataSet!$AC$2:$AC$600,0)</f>
        <v>262.62</v>
      </c>
    </row>
    <row r="317" spans="1:19" s="12" customFormat="1" x14ac:dyDescent="0.3">
      <c r="A317" s="27">
        <v>315</v>
      </c>
      <c r="B317" s="10" t="s">
        <v>1153</v>
      </c>
      <c r="C317" s="10" t="str">
        <f>_xlfn.XLOOKUP(B317,DataSet!$N$2:$N$600,DataSet!$AF$2:$AF$600,0)</f>
        <v>167850</v>
      </c>
      <c r="D317" s="10" t="str">
        <f>_xlfn.XLOOKUP(B317,DataSet!$N$2:$N$600,DataSet!$G$2:$G$600,0)</f>
        <v>Andy Gerbode</v>
      </c>
      <c r="E317" s="10" t="str">
        <f>_xlfn.XLOOKUP(B317,DataSet!$N$2:$N$600,DataSet!$F$2:$F$600,0)</f>
        <v>AG-10525</v>
      </c>
      <c r="F317" s="10" t="str">
        <f>_xlfn.XLOOKUP(B317,DataSet!$N$2:$N$600,DataSet!$W$2:$W$600,0)</f>
        <v>Corporate</v>
      </c>
      <c r="G317" s="13">
        <f>_xlfn.XLOOKUP(B317,DataSet!$N$2:$N$600,DataSet!$C$2:$C$600,0)</f>
        <v>41860</v>
      </c>
      <c r="H317" s="10" t="str">
        <f>_xlfn.XLOOKUP(B317,DataSet!$N$2:$N$600,DataSet!$I$2:$I$600,0)</f>
        <v>United States</v>
      </c>
      <c r="I317" s="10" t="str">
        <f>_xlfn.XLOOKUP(B317,DataSet!$N$2:$N$600,DataSet!$X$2:$X$600,0)</f>
        <v>Saint Petersburg - Florida</v>
      </c>
      <c r="J317" s="10" t="str">
        <f>_xlfn.XLOOKUP(B317,DataSet!$N$2:$N$600,DataSet!$M$2:$M$600,0)</f>
        <v>South</v>
      </c>
      <c r="K317" s="10" t="str">
        <f>_xlfn.XLOOKUP(B317,DataSet!$N$2:$N$600,DataSet!$O$2:$O$600,0)</f>
        <v>Technology</v>
      </c>
      <c r="L317" s="10" t="str">
        <f>_xlfn.XLOOKUP(B317,DataSet!$N$2:$N$600,DataSet!$Y$2:$Y$600,0)</f>
        <v>Phones</v>
      </c>
      <c r="M317" s="10" t="str">
        <f>_xlfn.XLOOKUP(B317,DataSet!$N$2:$N$600,DataSet!$Q$2:$Q$600,0)</f>
        <v>AT&amp;T 1070 Corded Phone</v>
      </c>
      <c r="N317" s="16">
        <f>_xlfn.XLOOKUP(B317,DataSet!$N$2:$N$600,DataSet!$AA$2:$AA$600,0)</f>
        <v>178.38399999999999</v>
      </c>
      <c r="O317" s="10">
        <f>_xlfn.XLOOKUP(B317,DataSet!$N$2:$N$600,DataSet!$S$2:$S$600,0)</f>
        <v>2</v>
      </c>
      <c r="P317" s="15">
        <f>_xlfn.XLOOKUP(B317,DataSet!$N$2:$N$600,DataSet!$T$2:$T$600,0)</f>
        <v>0.2</v>
      </c>
      <c r="Q317" s="14">
        <f>_xlfn.XLOOKUP(B317,DataSet!$N$2:$N$600,DataSet!$U$2:$U$600,0)</f>
        <v>22.297999999999998</v>
      </c>
      <c r="R317" s="16">
        <f>_xlfn.XLOOKUP(B317,DataSet!$N$2:$N$600,DataSet!$AB$2:$AB$600,0)</f>
        <v>356.76799999999997</v>
      </c>
      <c r="S317" s="9">
        <f>_xlfn.XLOOKUP(B317,DataSet!$N$2:$N$600,DataSet!$AC$2:$AC$600,0)</f>
        <v>285.4144</v>
      </c>
    </row>
    <row r="318" spans="1:19" s="12" customFormat="1" x14ac:dyDescent="0.3">
      <c r="A318" s="27">
        <v>316</v>
      </c>
      <c r="B318" s="10" t="s">
        <v>1155</v>
      </c>
      <c r="C318" s="10" t="str">
        <f>_xlfn.XLOOKUP(B318,DataSet!$N$2:$N$600,DataSet!$AF$2:$AF$600,0)</f>
        <v>167850</v>
      </c>
      <c r="D318" s="10" t="str">
        <f>_xlfn.XLOOKUP(B318,DataSet!$N$2:$N$600,DataSet!$G$2:$G$600,0)</f>
        <v>Andy Gerbode</v>
      </c>
      <c r="E318" s="10" t="str">
        <f>_xlfn.XLOOKUP(B318,DataSet!$N$2:$N$600,DataSet!$F$2:$F$600,0)</f>
        <v>AG-10525</v>
      </c>
      <c r="F318" s="10" t="str">
        <f>_xlfn.XLOOKUP(B318,DataSet!$N$2:$N$600,DataSet!$W$2:$W$600,0)</f>
        <v>Corporate</v>
      </c>
      <c r="G318" s="13">
        <f>_xlfn.XLOOKUP(B318,DataSet!$N$2:$N$600,DataSet!$C$2:$C$600,0)</f>
        <v>41860</v>
      </c>
      <c r="H318" s="10" t="str">
        <f>_xlfn.XLOOKUP(B318,DataSet!$N$2:$N$600,DataSet!$I$2:$I$600,0)</f>
        <v>United States</v>
      </c>
      <c r="I318" s="10" t="str">
        <f>_xlfn.XLOOKUP(B318,DataSet!$N$2:$N$600,DataSet!$X$2:$X$600,0)</f>
        <v>Saint Petersburg - Florida</v>
      </c>
      <c r="J318" s="10" t="str">
        <f>_xlfn.XLOOKUP(B318,DataSet!$N$2:$N$600,DataSet!$M$2:$M$600,0)</f>
        <v>South</v>
      </c>
      <c r="K318" s="10" t="str">
        <f>_xlfn.XLOOKUP(B318,DataSet!$N$2:$N$600,DataSet!$O$2:$O$600,0)</f>
        <v>Office Supplies</v>
      </c>
      <c r="L318" s="10" t="str">
        <f>_xlfn.XLOOKUP(B318,DataSet!$N$2:$N$600,DataSet!$Y$2:$Y$600,0)</f>
        <v>Paper</v>
      </c>
      <c r="M318" s="10" t="str">
        <f>_xlfn.XLOOKUP(B318,DataSet!$N$2:$N$600,DataSet!$Q$2:$Q$600,0)</f>
        <v>Xerox 21</v>
      </c>
      <c r="N318" s="16">
        <f>_xlfn.XLOOKUP(B318,DataSet!$N$2:$N$600,DataSet!$AA$2:$AA$600,0)</f>
        <v>15.552</v>
      </c>
      <c r="O318" s="10">
        <f>_xlfn.XLOOKUP(B318,DataSet!$N$2:$N$600,DataSet!$S$2:$S$600,0)</f>
        <v>3</v>
      </c>
      <c r="P318" s="15">
        <f>_xlfn.XLOOKUP(B318,DataSet!$N$2:$N$600,DataSet!$T$2:$T$600,0)</f>
        <v>0.2</v>
      </c>
      <c r="Q318" s="14">
        <f>_xlfn.XLOOKUP(B318,DataSet!$N$2:$N$600,DataSet!$U$2:$U$600,0)</f>
        <v>5.4432</v>
      </c>
      <c r="R318" s="16">
        <f>_xlfn.XLOOKUP(B318,DataSet!$N$2:$N$600,DataSet!$AB$2:$AB$600,0)</f>
        <v>46.655999999999999</v>
      </c>
      <c r="S318" s="9">
        <f>_xlfn.XLOOKUP(B318,DataSet!$N$2:$N$600,DataSet!$AC$2:$AC$600,0)</f>
        <v>37.324800000000003</v>
      </c>
    </row>
    <row r="319" spans="1:19" s="12" customFormat="1" x14ac:dyDescent="0.3">
      <c r="A319" s="27">
        <v>317</v>
      </c>
      <c r="B319" s="10" t="s">
        <v>1160</v>
      </c>
      <c r="C319" s="10" t="str">
        <f>_xlfn.XLOOKUP(B319,DataSet!$N$2:$N$600,DataSet!$AF$2:$AF$600,0)</f>
        <v>164259</v>
      </c>
      <c r="D319" s="10" t="str">
        <f>_xlfn.XLOOKUP(B319,DataSet!$N$2:$N$600,DataSet!$G$2:$G$600,0)</f>
        <v>Sung Pak</v>
      </c>
      <c r="E319" s="10" t="str">
        <f>_xlfn.XLOOKUP(B319,DataSet!$N$2:$N$600,DataSet!$F$2:$F$600,0)</f>
        <v>SP-20860</v>
      </c>
      <c r="F319" s="10" t="str">
        <f>_xlfn.XLOOKUP(B319,DataSet!$N$2:$N$600,DataSet!$W$2:$W$600,0)</f>
        <v>Corporate</v>
      </c>
      <c r="G319" s="13">
        <f>_xlfn.XLOOKUP(B319,DataSet!$N$2:$N$600,DataSet!$C$2:$C$600,0)</f>
        <v>42001</v>
      </c>
      <c r="H319" s="10" t="str">
        <f>_xlfn.XLOOKUP(B319,DataSet!$N$2:$N$600,DataSet!$I$2:$I$600,0)</f>
        <v>United States</v>
      </c>
      <c r="I319" s="10" t="str">
        <f>_xlfn.XLOOKUP(B319,DataSet!$N$2:$N$600,DataSet!$X$2:$X$600,0)</f>
        <v>Philadelphia - Pennsylvania</v>
      </c>
      <c r="J319" s="10" t="str">
        <f>_xlfn.XLOOKUP(B319,DataSet!$N$2:$N$600,DataSet!$M$2:$M$600,0)</f>
        <v>East</v>
      </c>
      <c r="K319" s="10" t="str">
        <f>_xlfn.XLOOKUP(B319,DataSet!$N$2:$N$600,DataSet!$O$2:$O$600,0)</f>
        <v>Office Supplies</v>
      </c>
      <c r="L319" s="10" t="str">
        <f>_xlfn.XLOOKUP(B319,DataSet!$N$2:$N$600,DataSet!$Y$2:$Y$600,0)</f>
        <v>Art</v>
      </c>
      <c r="M319" s="10" t="str">
        <f>_xlfn.XLOOKUP(B319,DataSet!$N$2:$N$600,DataSet!$Q$2:$Q$600,0)</f>
        <v>Boston School Pro Electric Pencil Sharpener, 1670</v>
      </c>
      <c r="N319" s="16">
        <f>_xlfn.XLOOKUP(B319,DataSet!$N$2:$N$600,DataSet!$AA$2:$AA$600,0)</f>
        <v>99.135999999999996</v>
      </c>
      <c r="O319" s="10">
        <f>_xlfn.XLOOKUP(B319,DataSet!$N$2:$N$600,DataSet!$S$2:$S$600,0)</f>
        <v>4</v>
      </c>
      <c r="P319" s="15">
        <f>_xlfn.XLOOKUP(B319,DataSet!$N$2:$N$600,DataSet!$T$2:$T$600,0)</f>
        <v>0.2</v>
      </c>
      <c r="Q319" s="14">
        <f>_xlfn.XLOOKUP(B319,DataSet!$N$2:$N$600,DataSet!$U$2:$U$600,0)</f>
        <v>8.6744000000000003</v>
      </c>
      <c r="R319" s="16">
        <f>_xlfn.XLOOKUP(B319,DataSet!$N$2:$N$600,DataSet!$AB$2:$AB$600,0)</f>
        <v>396.54399999999998</v>
      </c>
      <c r="S319" s="9">
        <f>_xlfn.XLOOKUP(B319,DataSet!$N$2:$N$600,DataSet!$AC$2:$AC$600,0)</f>
        <v>317.23520000000002</v>
      </c>
    </row>
    <row r="320" spans="1:19" s="12" customFormat="1" x14ac:dyDescent="0.3">
      <c r="A320" s="27">
        <v>318</v>
      </c>
      <c r="B320" s="10" t="s">
        <v>1165</v>
      </c>
      <c r="C320" s="10" t="str">
        <f>_xlfn.XLOOKUP(B320,DataSet!$N$2:$N$600,DataSet!$AF$2:$AF$600,0)</f>
        <v>164973</v>
      </c>
      <c r="D320" s="10" t="str">
        <f>_xlfn.XLOOKUP(B320,DataSet!$N$2:$N$600,DataSet!$G$2:$G$600,0)</f>
        <v>Nathan Mautz</v>
      </c>
      <c r="E320" s="10" t="str">
        <f>_xlfn.XLOOKUP(B320,DataSet!$N$2:$N$600,DataSet!$F$2:$F$600,0)</f>
        <v>NM-18445</v>
      </c>
      <c r="F320" s="10" t="str">
        <f>_xlfn.XLOOKUP(B320,DataSet!$N$2:$N$600,DataSet!$W$2:$W$600,0)</f>
        <v>Home Office</v>
      </c>
      <c r="G320" s="13">
        <f>_xlfn.XLOOKUP(B320,DataSet!$N$2:$N$600,DataSet!$C$2:$C$600,0)</f>
        <v>41947</v>
      </c>
      <c r="H320" s="10" t="str">
        <f>_xlfn.XLOOKUP(B320,DataSet!$N$2:$N$600,DataSet!$I$2:$I$600,0)</f>
        <v>United States</v>
      </c>
      <c r="I320" s="10" t="str">
        <f>_xlfn.XLOOKUP(B320,DataSet!$N$2:$N$600,DataSet!$X$2:$X$600,0)</f>
        <v>New York City - New York</v>
      </c>
      <c r="J320" s="10" t="str">
        <f>_xlfn.XLOOKUP(B320,DataSet!$N$2:$N$600,DataSet!$M$2:$M$600,0)</f>
        <v>East</v>
      </c>
      <c r="K320" s="10" t="str">
        <f>_xlfn.XLOOKUP(B320,DataSet!$N$2:$N$600,DataSet!$O$2:$O$600,0)</f>
        <v>Furniture</v>
      </c>
      <c r="L320" s="10" t="str">
        <f>_xlfn.XLOOKUP(B320,DataSet!$N$2:$N$600,DataSet!$Y$2:$Y$600,0)</f>
        <v>Chairs</v>
      </c>
      <c r="M320" s="10" t="str">
        <f>_xlfn.XLOOKUP(B320,DataSet!$N$2:$N$600,DataSet!$Q$2:$Q$600,0)</f>
        <v>DMI Arturo Collection Mission-style Design Wood Chair</v>
      </c>
      <c r="N320" s="16">
        <f>_xlfn.XLOOKUP(B320,DataSet!$N$2:$N$600,DataSet!$AA$2:$AA$600,0)</f>
        <v>135.88200000000001</v>
      </c>
      <c r="O320" s="10">
        <f>_xlfn.XLOOKUP(B320,DataSet!$N$2:$N$600,DataSet!$S$2:$S$600,0)</f>
        <v>1</v>
      </c>
      <c r="P320" s="15">
        <f>_xlfn.XLOOKUP(B320,DataSet!$N$2:$N$600,DataSet!$T$2:$T$600,0)</f>
        <v>0.1</v>
      </c>
      <c r="Q320" s="14">
        <f>_xlfn.XLOOKUP(B320,DataSet!$N$2:$N$600,DataSet!$U$2:$U$600,0)</f>
        <v>24.1568</v>
      </c>
      <c r="R320" s="16">
        <f>_xlfn.XLOOKUP(B320,DataSet!$N$2:$N$600,DataSet!$AB$2:$AB$600,0)</f>
        <v>135.88200000000001</v>
      </c>
      <c r="S320" s="9">
        <f>_xlfn.XLOOKUP(B320,DataSet!$N$2:$N$600,DataSet!$AC$2:$AC$600,0)</f>
        <v>122.2938</v>
      </c>
    </row>
    <row r="321" spans="1:19" s="12" customFormat="1" x14ac:dyDescent="0.3">
      <c r="A321" s="27">
        <v>319</v>
      </c>
      <c r="B321" s="10" t="s">
        <v>1167</v>
      </c>
      <c r="C321" s="10" t="str">
        <f>_xlfn.XLOOKUP(B321,DataSet!$N$2:$N$600,DataSet!$AF$2:$AF$600,0)</f>
        <v>164973</v>
      </c>
      <c r="D321" s="10" t="str">
        <f>_xlfn.XLOOKUP(B321,DataSet!$N$2:$N$600,DataSet!$G$2:$G$600,0)</f>
        <v>Nathan Mautz</v>
      </c>
      <c r="E321" s="10" t="str">
        <f>_xlfn.XLOOKUP(B321,DataSet!$N$2:$N$600,DataSet!$F$2:$F$600,0)</f>
        <v>NM-18445</v>
      </c>
      <c r="F321" s="10" t="str">
        <f>_xlfn.XLOOKUP(B321,DataSet!$N$2:$N$600,DataSet!$W$2:$W$600,0)</f>
        <v>Home Office</v>
      </c>
      <c r="G321" s="13">
        <f>_xlfn.XLOOKUP(B321,DataSet!$N$2:$N$600,DataSet!$C$2:$C$600,0)</f>
        <v>41947</v>
      </c>
      <c r="H321" s="10" t="str">
        <f>_xlfn.XLOOKUP(B321,DataSet!$N$2:$N$600,DataSet!$I$2:$I$600,0)</f>
        <v>United States</v>
      </c>
      <c r="I321" s="10" t="str">
        <f>_xlfn.XLOOKUP(B321,DataSet!$N$2:$N$600,DataSet!$X$2:$X$600,0)</f>
        <v>New York City - New York</v>
      </c>
      <c r="J321" s="10" t="str">
        <f>_xlfn.XLOOKUP(B321,DataSet!$N$2:$N$600,DataSet!$M$2:$M$600,0)</f>
        <v>East</v>
      </c>
      <c r="K321" s="10" t="str">
        <f>_xlfn.XLOOKUP(B321,DataSet!$N$2:$N$600,DataSet!$O$2:$O$600,0)</f>
        <v>Technology</v>
      </c>
      <c r="L321" s="10" t="str">
        <f>_xlfn.XLOOKUP(B321,DataSet!$N$2:$N$600,DataSet!$Y$2:$Y$600,0)</f>
        <v>Machines</v>
      </c>
      <c r="M321" s="10" t="str">
        <f>_xlfn.XLOOKUP(B321,DataSet!$N$2:$N$600,DataSet!$Q$2:$Q$600,0)</f>
        <v>Canon imageCLASS MF7460 Monochrome Digital Laser Multifunction Copier</v>
      </c>
      <c r="N321" s="16">
        <f>_xlfn.XLOOKUP(B321,DataSet!$N$2:$N$600,DataSet!$AA$2:$AA$600,0)</f>
        <v>3991.98</v>
      </c>
      <c r="O321" s="10">
        <f>_xlfn.XLOOKUP(B321,DataSet!$N$2:$N$600,DataSet!$S$2:$S$600,0)</f>
        <v>2</v>
      </c>
      <c r="P321" s="15">
        <f>_xlfn.XLOOKUP(B321,DataSet!$N$2:$N$600,DataSet!$T$2:$T$600,0)</f>
        <v>0</v>
      </c>
      <c r="Q321" s="14">
        <f>_xlfn.XLOOKUP(B321,DataSet!$N$2:$N$600,DataSet!$U$2:$U$600,0)</f>
        <v>1995.99</v>
      </c>
      <c r="R321" s="16">
        <f>_xlfn.XLOOKUP(B321,DataSet!$N$2:$N$600,DataSet!$AB$2:$AB$600,0)</f>
        <v>7983.96</v>
      </c>
      <c r="S321" s="9">
        <f>_xlfn.XLOOKUP(B321,DataSet!$N$2:$N$600,DataSet!$AC$2:$AC$600,0)</f>
        <v>7983.96</v>
      </c>
    </row>
    <row r="322" spans="1:19" s="12" customFormat="1" x14ac:dyDescent="0.3">
      <c r="A322" s="27">
        <v>320</v>
      </c>
      <c r="B322" s="10" t="s">
        <v>210</v>
      </c>
      <c r="C322" s="10" t="str">
        <f>_xlfn.XLOOKUP(B322,DataSet!$N$2:$N$600,DataSet!$AF$2:$AF$600,0)</f>
        <v>120999</v>
      </c>
      <c r="D322" s="10" t="str">
        <f>_xlfn.XLOOKUP(B322,DataSet!$N$2:$N$600,DataSet!$G$2:$G$600,0)</f>
        <v>Linda Cazamias</v>
      </c>
      <c r="E322" s="10" t="str">
        <f>_xlfn.XLOOKUP(B322,DataSet!$N$2:$N$600,DataSet!$F$2:$F$600,0)</f>
        <v>LC-16930</v>
      </c>
      <c r="F322" s="10" t="str">
        <f>_xlfn.XLOOKUP(B322,DataSet!$N$2:$N$600,DataSet!$W$2:$W$600,0)</f>
        <v>Corporate</v>
      </c>
      <c r="G322" s="13">
        <f>_xlfn.XLOOKUP(B322,DataSet!$N$2:$N$600,DataSet!$C$2:$C$600,0)</f>
        <v>42988</v>
      </c>
      <c r="H322" s="10" t="str">
        <f>_xlfn.XLOOKUP(B322,DataSet!$N$2:$N$600,DataSet!$I$2:$I$600,0)</f>
        <v>United States</v>
      </c>
      <c r="I322" s="10" t="str">
        <f>_xlfn.XLOOKUP(B322,DataSet!$N$2:$N$600,DataSet!$X$2:$X$600,0)</f>
        <v>Naperville - Illinois</v>
      </c>
      <c r="J322" s="10" t="str">
        <f>_xlfn.XLOOKUP(B322,DataSet!$N$2:$N$600,DataSet!$M$2:$M$600,0)</f>
        <v>Central</v>
      </c>
      <c r="K322" s="10" t="str">
        <f>_xlfn.XLOOKUP(B322,DataSet!$N$2:$N$600,DataSet!$O$2:$O$600,0)</f>
        <v>Technology</v>
      </c>
      <c r="L322" s="10" t="str">
        <f>_xlfn.XLOOKUP(B322,DataSet!$N$2:$N$600,DataSet!$Y$2:$Y$600,0)</f>
        <v>Phones</v>
      </c>
      <c r="M322" s="10" t="str">
        <f>_xlfn.XLOOKUP(B322,DataSet!$N$2:$N$600,DataSet!$Q$2:$Q$600,0)</f>
        <v>Panasonic Kx-TS550</v>
      </c>
      <c r="N322" s="16">
        <f>_xlfn.XLOOKUP(B322,DataSet!$N$2:$N$600,DataSet!$AA$2:$AA$600,0)</f>
        <v>147.16800000000001</v>
      </c>
      <c r="O322" s="10">
        <f>_xlfn.XLOOKUP(B322,DataSet!$N$2:$N$600,DataSet!$S$2:$S$600,0)</f>
        <v>4</v>
      </c>
      <c r="P322" s="15">
        <f>_xlfn.XLOOKUP(B322,DataSet!$N$2:$N$600,DataSet!$T$2:$T$600,0)</f>
        <v>0.2</v>
      </c>
      <c r="Q322" s="14">
        <f>_xlfn.XLOOKUP(B322,DataSet!$N$2:$N$600,DataSet!$U$2:$U$600,0)</f>
        <v>16.5564</v>
      </c>
      <c r="R322" s="16">
        <f>_xlfn.XLOOKUP(B322,DataSet!$N$2:$N$600,DataSet!$AB$2:$AB$600,0)</f>
        <v>588.67200000000003</v>
      </c>
      <c r="S322" s="9">
        <f>_xlfn.XLOOKUP(B322,DataSet!$N$2:$N$600,DataSet!$AC$2:$AC$600,0)</f>
        <v>470.93760000000003</v>
      </c>
    </row>
    <row r="323" spans="1:19" s="12" customFormat="1" x14ac:dyDescent="0.3">
      <c r="A323" s="27">
        <v>321</v>
      </c>
      <c r="B323" s="10" t="s">
        <v>1169</v>
      </c>
      <c r="C323" s="10" t="str">
        <f>_xlfn.XLOOKUP(B323,DataSet!$N$2:$N$600,DataSet!$AF$2:$AF$600,0)</f>
        <v>164973</v>
      </c>
      <c r="D323" s="10" t="str">
        <f>_xlfn.XLOOKUP(B323,DataSet!$N$2:$N$600,DataSet!$G$2:$G$600,0)</f>
        <v>Nathan Mautz</v>
      </c>
      <c r="E323" s="10" t="str">
        <f>_xlfn.XLOOKUP(B323,DataSet!$N$2:$N$600,DataSet!$F$2:$F$600,0)</f>
        <v>NM-18445</v>
      </c>
      <c r="F323" s="10" t="str">
        <f>_xlfn.XLOOKUP(B323,DataSet!$N$2:$N$600,DataSet!$W$2:$W$600,0)</f>
        <v>Home Office</v>
      </c>
      <c r="G323" s="13">
        <f>_xlfn.XLOOKUP(B323,DataSet!$N$2:$N$600,DataSet!$C$2:$C$600,0)</f>
        <v>41947</v>
      </c>
      <c r="H323" s="10" t="str">
        <f>_xlfn.XLOOKUP(B323,DataSet!$N$2:$N$600,DataSet!$I$2:$I$600,0)</f>
        <v>United States</v>
      </c>
      <c r="I323" s="10" t="str">
        <f>_xlfn.XLOOKUP(B323,DataSet!$N$2:$N$600,DataSet!$X$2:$X$600,0)</f>
        <v>New York City - New York</v>
      </c>
      <c r="J323" s="10" t="str">
        <f>_xlfn.XLOOKUP(B323,DataSet!$N$2:$N$600,DataSet!$M$2:$M$600,0)</f>
        <v>East</v>
      </c>
      <c r="K323" s="10" t="str">
        <f>_xlfn.XLOOKUP(B323,DataSet!$N$2:$N$600,DataSet!$O$2:$O$600,0)</f>
        <v>Technology</v>
      </c>
      <c r="L323" s="10" t="str">
        <f>_xlfn.XLOOKUP(B323,DataSet!$N$2:$N$600,DataSet!$Y$2:$Y$600,0)</f>
        <v>Accessories</v>
      </c>
      <c r="M323" s="10" t="str">
        <f>_xlfn.XLOOKUP(B323,DataSet!$N$2:$N$600,DataSet!$Q$2:$Q$600,0)</f>
        <v>NETGEAR N750 Dual Band Wi-Fi Gigabit Router</v>
      </c>
      <c r="N323" s="16">
        <f>_xlfn.XLOOKUP(B323,DataSet!$N$2:$N$600,DataSet!$AA$2:$AA$600,0)</f>
        <v>360</v>
      </c>
      <c r="O323" s="10">
        <f>_xlfn.XLOOKUP(B323,DataSet!$N$2:$N$600,DataSet!$S$2:$S$600,0)</f>
        <v>4</v>
      </c>
      <c r="P323" s="15">
        <f>_xlfn.XLOOKUP(B323,DataSet!$N$2:$N$600,DataSet!$T$2:$T$600,0)</f>
        <v>0</v>
      </c>
      <c r="Q323" s="14">
        <f>_xlfn.XLOOKUP(B323,DataSet!$N$2:$N$600,DataSet!$U$2:$U$600,0)</f>
        <v>129.6</v>
      </c>
      <c r="R323" s="16">
        <f>_xlfn.XLOOKUP(B323,DataSet!$N$2:$N$600,DataSet!$AB$2:$AB$600,0)</f>
        <v>1440</v>
      </c>
      <c r="S323" s="9">
        <f>_xlfn.XLOOKUP(B323,DataSet!$N$2:$N$600,DataSet!$AC$2:$AC$600,0)</f>
        <v>1440</v>
      </c>
    </row>
    <row r="324" spans="1:19" s="12" customFormat="1" x14ac:dyDescent="0.3">
      <c r="A324" s="27">
        <v>322</v>
      </c>
      <c r="B324" s="10" t="s">
        <v>545</v>
      </c>
      <c r="C324" s="10" t="str">
        <f>_xlfn.XLOOKUP(B324,DataSet!$N$2:$N$600,DataSet!$AF$2:$AF$600,0)</f>
        <v>107272</v>
      </c>
      <c r="D324" s="10" t="str">
        <f>_xlfn.XLOOKUP(B324,DataSet!$N$2:$N$600,DataSet!$G$2:$G$600,0)</f>
        <v>Troy Staebel</v>
      </c>
      <c r="E324" s="10" t="str">
        <f>_xlfn.XLOOKUP(B324,DataSet!$N$2:$N$600,DataSet!$F$2:$F$600,0)</f>
        <v>TS-21610</v>
      </c>
      <c r="F324" s="10" t="str">
        <f>_xlfn.XLOOKUP(B324,DataSet!$N$2:$N$600,DataSet!$W$2:$W$600,0)</f>
        <v>Consumer</v>
      </c>
      <c r="G324" s="13">
        <f>_xlfn.XLOOKUP(B324,DataSet!$N$2:$N$600,DataSet!$C$2:$C$600,0)</f>
        <v>43044</v>
      </c>
      <c r="H324" s="10" t="str">
        <f>_xlfn.XLOOKUP(B324,DataSet!$N$2:$N$600,DataSet!$I$2:$I$600,0)</f>
        <v>United States</v>
      </c>
      <c r="I324" s="10" t="str">
        <f>_xlfn.XLOOKUP(B324,DataSet!$N$2:$N$600,DataSet!$X$2:$X$600,0)</f>
        <v>Phoenix - Arizona</v>
      </c>
      <c r="J324" s="10" t="str">
        <f>_xlfn.XLOOKUP(B324,DataSet!$N$2:$N$600,DataSet!$M$2:$M$600,0)</f>
        <v>West</v>
      </c>
      <c r="K324" s="10" t="str">
        <f>_xlfn.XLOOKUP(B324,DataSet!$N$2:$N$600,DataSet!$O$2:$O$600,0)</f>
        <v>Office Supplies</v>
      </c>
      <c r="L324" s="10" t="str">
        <f>_xlfn.XLOOKUP(B324,DataSet!$N$2:$N$600,DataSet!$Y$2:$Y$600,0)</f>
        <v>Storage</v>
      </c>
      <c r="M324" s="10" t="str">
        <f>_xlfn.XLOOKUP(B324,DataSet!$N$2:$N$600,DataSet!$Q$2:$Q$600,0)</f>
        <v>Trav-L-File Heavy-Duty Shuttle II, Black</v>
      </c>
      <c r="N324" s="16">
        <f>_xlfn.XLOOKUP(B324,DataSet!$N$2:$N$600,DataSet!$AA$2:$AA$600,0)</f>
        <v>243.99199999999999</v>
      </c>
      <c r="O324" s="10">
        <f>_xlfn.XLOOKUP(B324,DataSet!$N$2:$N$600,DataSet!$S$2:$S$600,0)</f>
        <v>7</v>
      </c>
      <c r="P324" s="15">
        <f>_xlfn.XLOOKUP(B324,DataSet!$N$2:$N$600,DataSet!$T$2:$T$600,0)</f>
        <v>0.2</v>
      </c>
      <c r="Q324" s="14">
        <f>_xlfn.XLOOKUP(B324,DataSet!$N$2:$N$600,DataSet!$U$2:$U$600,0)</f>
        <v>30.498999999999999</v>
      </c>
      <c r="R324" s="16">
        <f>_xlfn.XLOOKUP(B324,DataSet!$N$2:$N$600,DataSet!$AB$2:$AB$600,0)</f>
        <v>1707.944</v>
      </c>
      <c r="S324" s="9">
        <f>_xlfn.XLOOKUP(B324,DataSet!$N$2:$N$600,DataSet!$AC$2:$AC$600,0)</f>
        <v>1366.3552</v>
      </c>
    </row>
    <row r="325" spans="1:19" s="12" customFormat="1" x14ac:dyDescent="0.3">
      <c r="A325" s="27">
        <v>323</v>
      </c>
      <c r="B325" s="10" t="s">
        <v>1175</v>
      </c>
      <c r="C325" s="10" t="str">
        <f>_xlfn.XLOOKUP(B325,DataSet!$N$2:$N$600,DataSet!$AF$2:$AF$600,0)</f>
        <v>156601</v>
      </c>
      <c r="D325" s="10" t="str">
        <f>_xlfn.XLOOKUP(B325,DataSet!$N$2:$N$600,DataSet!$G$2:$G$600,0)</f>
        <v>Frank Atkinson</v>
      </c>
      <c r="E325" s="10" t="str">
        <f>_xlfn.XLOOKUP(B325,DataSet!$N$2:$N$600,DataSet!$F$2:$F$600,0)</f>
        <v>FA-14230</v>
      </c>
      <c r="F325" s="10" t="str">
        <f>_xlfn.XLOOKUP(B325,DataSet!$N$2:$N$600,DataSet!$W$2:$W$600,0)</f>
        <v>Corporate</v>
      </c>
      <c r="G325" s="13">
        <f>_xlfn.XLOOKUP(B325,DataSet!$N$2:$N$600,DataSet!$C$2:$C$600,0)</f>
        <v>41901</v>
      </c>
      <c r="H325" s="10" t="str">
        <f>_xlfn.XLOOKUP(B325,DataSet!$N$2:$N$600,DataSet!$I$2:$I$600,0)</f>
        <v>United States</v>
      </c>
      <c r="I325" s="10" t="str">
        <f>_xlfn.XLOOKUP(B325,DataSet!$N$2:$N$600,DataSet!$X$2:$X$600,0)</f>
        <v>Long Beach - California</v>
      </c>
      <c r="J325" s="10" t="str">
        <f>_xlfn.XLOOKUP(B325,DataSet!$N$2:$N$600,DataSet!$M$2:$M$600,0)</f>
        <v>West</v>
      </c>
      <c r="K325" s="10" t="str">
        <f>_xlfn.XLOOKUP(B325,DataSet!$N$2:$N$600,DataSet!$O$2:$O$600,0)</f>
        <v>Office Supplies</v>
      </c>
      <c r="L325" s="10" t="str">
        <f>_xlfn.XLOOKUP(B325,DataSet!$N$2:$N$600,DataSet!$Y$2:$Y$600,0)</f>
        <v>Fasteners</v>
      </c>
      <c r="M325" s="10" t="str">
        <f>_xlfn.XLOOKUP(B325,DataSet!$N$2:$N$600,DataSet!$Q$2:$Q$600,0)</f>
        <v>OIC Binder Clips</v>
      </c>
      <c r="N325" s="16">
        <f>_xlfn.XLOOKUP(B325,DataSet!$N$2:$N$600,DataSet!$AA$2:$AA$600,0)</f>
        <v>7.16</v>
      </c>
      <c r="O325" s="10">
        <f>_xlfn.XLOOKUP(B325,DataSet!$N$2:$N$600,DataSet!$S$2:$S$600,0)</f>
        <v>2</v>
      </c>
      <c r="P325" s="15">
        <f>_xlfn.XLOOKUP(B325,DataSet!$N$2:$N$600,DataSet!$T$2:$T$600,0)</f>
        <v>0</v>
      </c>
      <c r="Q325" s="14">
        <f>_xlfn.XLOOKUP(B325,DataSet!$N$2:$N$600,DataSet!$U$2:$U$600,0)</f>
        <v>3.58</v>
      </c>
      <c r="R325" s="16">
        <f>_xlfn.XLOOKUP(B325,DataSet!$N$2:$N$600,DataSet!$AB$2:$AB$600,0)</f>
        <v>14.32</v>
      </c>
      <c r="S325" s="9">
        <f>_xlfn.XLOOKUP(B325,DataSet!$N$2:$N$600,DataSet!$AC$2:$AC$600,0)</f>
        <v>14.32</v>
      </c>
    </row>
    <row r="326" spans="1:19" s="12" customFormat="1" x14ac:dyDescent="0.3">
      <c r="A326" s="27">
        <v>324</v>
      </c>
      <c r="B326" s="10" t="s">
        <v>1089</v>
      </c>
      <c r="C326" s="10" t="str">
        <f>_xlfn.XLOOKUP(B326,DataSet!$N$2:$N$600,DataSet!$AF$2:$AF$600,0)</f>
        <v>111451</v>
      </c>
      <c r="D326" s="10" t="str">
        <f>_xlfn.XLOOKUP(B326,DataSet!$N$2:$N$600,DataSet!$G$2:$G$600,0)</f>
        <v>Kelly Lampkin</v>
      </c>
      <c r="E326" s="10" t="str">
        <f>_xlfn.XLOOKUP(B326,DataSet!$N$2:$N$600,DataSet!$F$2:$F$600,0)</f>
        <v>KL-16555</v>
      </c>
      <c r="F326" s="10" t="str">
        <f>_xlfn.XLOOKUP(B326,DataSet!$N$2:$N$600,DataSet!$W$2:$W$600,0)</f>
        <v>Corporate</v>
      </c>
      <c r="G326" s="13">
        <f>_xlfn.XLOOKUP(B326,DataSet!$N$2:$N$600,DataSet!$C$2:$C$600,0)</f>
        <v>41999</v>
      </c>
      <c r="H326" s="10" t="str">
        <f>_xlfn.XLOOKUP(B326,DataSet!$N$2:$N$600,DataSet!$I$2:$I$600,0)</f>
        <v>United States</v>
      </c>
      <c r="I326" s="10" t="str">
        <f>_xlfn.XLOOKUP(B326,DataSet!$N$2:$N$600,DataSet!$X$2:$X$600,0)</f>
        <v>Colorado Springs - Colorado</v>
      </c>
      <c r="J326" s="10" t="str">
        <f>_xlfn.XLOOKUP(B326,DataSet!$N$2:$N$600,DataSet!$M$2:$M$600,0)</f>
        <v>West</v>
      </c>
      <c r="K326" s="10" t="str">
        <f>_xlfn.XLOOKUP(B326,DataSet!$N$2:$N$600,DataSet!$O$2:$O$600,0)</f>
        <v>Office Supplies</v>
      </c>
      <c r="L326" s="10" t="str">
        <f>_xlfn.XLOOKUP(B326,DataSet!$N$2:$N$600,DataSet!$Y$2:$Y$600,0)</f>
        <v>Binders</v>
      </c>
      <c r="M326" s="10" t="str">
        <f>_xlfn.XLOOKUP(B326,DataSet!$N$2:$N$600,DataSet!$Q$2:$Q$600,0)</f>
        <v>Ibico Laser Imprintable Binding System Covers</v>
      </c>
      <c r="N326" s="16">
        <f>_xlfn.XLOOKUP(B326,DataSet!$N$2:$N$600,DataSet!$AA$2:$AA$600,0)</f>
        <v>78.599999999999994</v>
      </c>
      <c r="O326" s="10">
        <f>_xlfn.XLOOKUP(B326,DataSet!$N$2:$N$600,DataSet!$S$2:$S$600,0)</f>
        <v>5</v>
      </c>
      <c r="P326" s="15">
        <f>_xlfn.XLOOKUP(B326,DataSet!$N$2:$N$600,DataSet!$T$2:$T$600,0)</f>
        <v>0.7</v>
      </c>
      <c r="Q326" s="14">
        <f>_xlfn.XLOOKUP(B326,DataSet!$N$2:$N$600,DataSet!$U$2:$U$600,0)</f>
        <v>-62.88</v>
      </c>
      <c r="R326" s="16">
        <f>_xlfn.XLOOKUP(B326,DataSet!$N$2:$N$600,DataSet!$AB$2:$AB$600,0)</f>
        <v>393</v>
      </c>
      <c r="S326" s="9">
        <f>_xlfn.XLOOKUP(B326,DataSet!$N$2:$N$600,DataSet!$AC$2:$AC$600,0)</f>
        <v>117.90000000000002</v>
      </c>
    </row>
    <row r="327" spans="1:19" s="12" customFormat="1" x14ac:dyDescent="0.3">
      <c r="A327" s="27">
        <v>325</v>
      </c>
      <c r="B327" s="10" t="s">
        <v>1181</v>
      </c>
      <c r="C327" s="10" t="str">
        <f>_xlfn.XLOOKUP(B327,DataSet!$N$2:$N$600,DataSet!$AF$2:$AF$600,0)</f>
        <v>162138</v>
      </c>
      <c r="D327" s="10" t="str">
        <f>_xlfn.XLOOKUP(B327,DataSet!$N$2:$N$600,DataSet!$G$2:$G$600,0)</f>
        <v>Grace Kelly</v>
      </c>
      <c r="E327" s="10" t="str">
        <f>_xlfn.XLOOKUP(B327,DataSet!$N$2:$N$600,DataSet!$F$2:$F$600,0)</f>
        <v>GK-14620</v>
      </c>
      <c r="F327" s="10" t="str">
        <f>_xlfn.XLOOKUP(B327,DataSet!$N$2:$N$600,DataSet!$W$2:$W$600,0)</f>
        <v>Corporate</v>
      </c>
      <c r="G327" s="13">
        <f>_xlfn.XLOOKUP(B327,DataSet!$N$2:$N$600,DataSet!$C$2:$C$600,0)</f>
        <v>42483</v>
      </c>
      <c r="H327" s="10" t="str">
        <f>_xlfn.XLOOKUP(B327,DataSet!$N$2:$N$600,DataSet!$I$2:$I$600,0)</f>
        <v>United States</v>
      </c>
      <c r="I327" s="10" t="str">
        <f>_xlfn.XLOOKUP(B327,DataSet!$N$2:$N$600,DataSet!$X$2:$X$600,0)</f>
        <v>Hesperia - California</v>
      </c>
      <c r="J327" s="10" t="str">
        <f>_xlfn.XLOOKUP(B327,DataSet!$N$2:$N$600,DataSet!$M$2:$M$600,0)</f>
        <v>West</v>
      </c>
      <c r="K327" s="10" t="str">
        <f>_xlfn.XLOOKUP(B327,DataSet!$N$2:$N$600,DataSet!$O$2:$O$600,0)</f>
        <v>Technology</v>
      </c>
      <c r="L327" s="10" t="str">
        <f>_xlfn.XLOOKUP(B327,DataSet!$N$2:$N$600,DataSet!$Y$2:$Y$600,0)</f>
        <v>Accessories</v>
      </c>
      <c r="M327" s="10" t="str">
        <f>_xlfn.XLOOKUP(B327,DataSet!$N$2:$N$600,DataSet!$Q$2:$Q$600,0)</f>
        <v>Logitech Wireless Headset h800</v>
      </c>
      <c r="N327" s="16">
        <f>_xlfn.XLOOKUP(B327,DataSet!$N$2:$N$600,DataSet!$AA$2:$AA$600,0)</f>
        <v>99.99</v>
      </c>
      <c r="O327" s="10">
        <f>_xlfn.XLOOKUP(B327,DataSet!$N$2:$N$600,DataSet!$S$2:$S$600,0)</f>
        <v>1</v>
      </c>
      <c r="P327" s="15">
        <f>_xlfn.XLOOKUP(B327,DataSet!$N$2:$N$600,DataSet!$T$2:$T$600,0)</f>
        <v>0</v>
      </c>
      <c r="Q327" s="14">
        <f>_xlfn.XLOOKUP(B327,DataSet!$N$2:$N$600,DataSet!$U$2:$U$600,0)</f>
        <v>34.996499999999997</v>
      </c>
      <c r="R327" s="16">
        <f>_xlfn.XLOOKUP(B327,DataSet!$N$2:$N$600,DataSet!$AB$2:$AB$600,0)</f>
        <v>99.99</v>
      </c>
      <c r="S327" s="9">
        <f>_xlfn.XLOOKUP(B327,DataSet!$N$2:$N$600,DataSet!$AC$2:$AC$600,0)</f>
        <v>99.99</v>
      </c>
    </row>
    <row r="328" spans="1:19" s="12" customFormat="1" x14ac:dyDescent="0.3">
      <c r="A328" s="27">
        <v>326</v>
      </c>
      <c r="B328" s="10" t="s">
        <v>1187</v>
      </c>
      <c r="C328" s="10" t="str">
        <f>_xlfn.XLOOKUP(B328,DataSet!$N$2:$N$600,DataSet!$AF$2:$AF$600,0)</f>
        <v>153339</v>
      </c>
      <c r="D328" s="10" t="str">
        <f>_xlfn.XLOOKUP(B328,DataSet!$N$2:$N$600,DataSet!$G$2:$G$600,0)</f>
        <v>Don Jones</v>
      </c>
      <c r="E328" s="10" t="str">
        <f>_xlfn.XLOOKUP(B328,DataSet!$N$2:$N$600,DataSet!$F$2:$F$600,0)</f>
        <v>DJ-13510</v>
      </c>
      <c r="F328" s="10" t="str">
        <f>_xlfn.XLOOKUP(B328,DataSet!$N$2:$N$600,DataSet!$W$2:$W$600,0)</f>
        <v>Corporate</v>
      </c>
      <c r="G328" s="13">
        <f>_xlfn.XLOOKUP(B328,DataSet!$N$2:$N$600,DataSet!$C$2:$C$600,0)</f>
        <v>43042</v>
      </c>
      <c r="H328" s="10" t="str">
        <f>_xlfn.XLOOKUP(B328,DataSet!$N$2:$N$600,DataSet!$I$2:$I$600,0)</f>
        <v>United States</v>
      </c>
      <c r="I328" s="10" t="str">
        <f>_xlfn.XLOOKUP(B328,DataSet!$N$2:$N$600,DataSet!$X$2:$X$600,0)</f>
        <v>Murfreesboro - Tennessee</v>
      </c>
      <c r="J328" s="10" t="str">
        <f>_xlfn.XLOOKUP(B328,DataSet!$N$2:$N$600,DataSet!$M$2:$M$600,0)</f>
        <v>South</v>
      </c>
      <c r="K328" s="10" t="str">
        <f>_xlfn.XLOOKUP(B328,DataSet!$N$2:$N$600,DataSet!$O$2:$O$600,0)</f>
        <v>Furniture</v>
      </c>
      <c r="L328" s="10" t="str">
        <f>_xlfn.XLOOKUP(B328,DataSet!$N$2:$N$600,DataSet!$Y$2:$Y$600,0)</f>
        <v>Furnishings</v>
      </c>
      <c r="M328" s="10" t="str">
        <f>_xlfn.XLOOKUP(B328,DataSet!$N$2:$N$600,DataSet!$Q$2:$Q$600,0)</f>
        <v>Telescoping Adjustable Floor Lamp</v>
      </c>
      <c r="N328" s="16">
        <f>_xlfn.XLOOKUP(B328,DataSet!$N$2:$N$600,DataSet!$AA$2:$AA$600,0)</f>
        <v>15.992000000000001</v>
      </c>
      <c r="O328" s="10">
        <f>_xlfn.XLOOKUP(B328,DataSet!$N$2:$N$600,DataSet!$S$2:$S$600,0)</f>
        <v>1</v>
      </c>
      <c r="P328" s="15">
        <f>_xlfn.XLOOKUP(B328,DataSet!$N$2:$N$600,DataSet!$T$2:$T$600,0)</f>
        <v>0.2</v>
      </c>
      <c r="Q328" s="14">
        <f>_xlfn.XLOOKUP(B328,DataSet!$N$2:$N$600,DataSet!$U$2:$U$600,0)</f>
        <v>0.99950000000000006</v>
      </c>
      <c r="R328" s="16">
        <f>_xlfn.XLOOKUP(B328,DataSet!$N$2:$N$600,DataSet!$AB$2:$AB$600,0)</f>
        <v>15.992000000000001</v>
      </c>
      <c r="S328" s="9">
        <f>_xlfn.XLOOKUP(B328,DataSet!$N$2:$N$600,DataSet!$AC$2:$AC$600,0)</f>
        <v>12.793600000000001</v>
      </c>
    </row>
    <row r="329" spans="1:19" s="12" customFormat="1" x14ac:dyDescent="0.3">
      <c r="A329" s="27">
        <v>327</v>
      </c>
      <c r="B329" s="10" t="s">
        <v>1192</v>
      </c>
      <c r="C329" s="10" t="str">
        <f>_xlfn.XLOOKUP(B329,DataSet!$N$2:$N$600,DataSet!$AF$2:$AF$600,0)</f>
        <v>141544</v>
      </c>
      <c r="D329" s="10" t="str">
        <f>_xlfn.XLOOKUP(B329,DataSet!$N$2:$N$600,DataSet!$G$2:$G$600,0)</f>
        <v>Patrick O'Brill</v>
      </c>
      <c r="E329" s="10" t="str">
        <f>_xlfn.XLOOKUP(B329,DataSet!$N$2:$N$600,DataSet!$F$2:$F$600,0)</f>
        <v>PO-18850</v>
      </c>
      <c r="F329" s="10" t="str">
        <f>_xlfn.XLOOKUP(B329,DataSet!$N$2:$N$600,DataSet!$W$2:$W$600,0)</f>
        <v>Consumer</v>
      </c>
      <c r="G329" s="13">
        <f>_xlfn.XLOOKUP(B329,DataSet!$N$2:$N$600,DataSet!$C$2:$C$600,0)</f>
        <v>42612</v>
      </c>
      <c r="H329" s="10" t="str">
        <f>_xlfn.XLOOKUP(B329,DataSet!$N$2:$N$600,DataSet!$I$2:$I$600,0)</f>
        <v>United States</v>
      </c>
      <c r="I329" s="10" t="str">
        <f>_xlfn.XLOOKUP(B329,DataSet!$N$2:$N$600,DataSet!$X$2:$X$600,0)</f>
        <v>Philadelphia - Pennsylvania</v>
      </c>
      <c r="J329" s="10" t="str">
        <f>_xlfn.XLOOKUP(B329,DataSet!$N$2:$N$600,DataSet!$M$2:$M$600,0)</f>
        <v>East</v>
      </c>
      <c r="K329" s="10" t="str">
        <f>_xlfn.XLOOKUP(B329,DataSet!$N$2:$N$600,DataSet!$O$2:$O$600,0)</f>
        <v>Technology</v>
      </c>
      <c r="L329" s="10" t="str">
        <f>_xlfn.XLOOKUP(B329,DataSet!$N$2:$N$600,DataSet!$Y$2:$Y$600,0)</f>
        <v>Phones</v>
      </c>
      <c r="M329" s="10" t="str">
        <f>_xlfn.XLOOKUP(B329,DataSet!$N$2:$N$600,DataSet!$Q$2:$Q$600,0)</f>
        <v>Aastra 57i VoIP phone</v>
      </c>
      <c r="N329" s="16">
        <f>_xlfn.XLOOKUP(B329,DataSet!$N$2:$N$600,DataSet!$AA$2:$AA$600,0)</f>
        <v>290.89800000000002</v>
      </c>
      <c r="O329" s="10">
        <f>_xlfn.XLOOKUP(B329,DataSet!$N$2:$N$600,DataSet!$S$2:$S$600,0)</f>
        <v>3</v>
      </c>
      <c r="P329" s="15">
        <f>_xlfn.XLOOKUP(B329,DataSet!$N$2:$N$600,DataSet!$T$2:$T$600,0)</f>
        <v>0.4</v>
      </c>
      <c r="Q329" s="14">
        <f>_xlfn.XLOOKUP(B329,DataSet!$N$2:$N$600,DataSet!$U$2:$U$600,0)</f>
        <v>-67.876199999999997</v>
      </c>
      <c r="R329" s="16">
        <f>_xlfn.XLOOKUP(B329,DataSet!$N$2:$N$600,DataSet!$AB$2:$AB$600,0)</f>
        <v>872.69400000000007</v>
      </c>
      <c r="S329" s="9">
        <f>_xlfn.XLOOKUP(B329,DataSet!$N$2:$N$600,DataSet!$AC$2:$AC$600,0)</f>
        <v>523.6164</v>
      </c>
    </row>
    <row r="330" spans="1:19" s="12" customFormat="1" x14ac:dyDescent="0.3">
      <c r="A330" s="27">
        <v>328</v>
      </c>
      <c r="B330" s="10" t="s">
        <v>1194</v>
      </c>
      <c r="C330" s="10" t="str">
        <f>_xlfn.XLOOKUP(B330,DataSet!$N$2:$N$600,DataSet!$AF$2:$AF$600,0)</f>
        <v>141544</v>
      </c>
      <c r="D330" s="10" t="str">
        <f>_xlfn.XLOOKUP(B330,DataSet!$N$2:$N$600,DataSet!$G$2:$G$600,0)</f>
        <v>Patrick O'Brill</v>
      </c>
      <c r="E330" s="10" t="str">
        <f>_xlfn.XLOOKUP(B330,DataSet!$N$2:$N$600,DataSet!$F$2:$F$600,0)</f>
        <v>PO-18850</v>
      </c>
      <c r="F330" s="10" t="str">
        <f>_xlfn.XLOOKUP(B330,DataSet!$N$2:$N$600,DataSet!$W$2:$W$600,0)</f>
        <v>Consumer</v>
      </c>
      <c r="G330" s="13">
        <f>_xlfn.XLOOKUP(B330,DataSet!$N$2:$N$600,DataSet!$C$2:$C$600,0)</f>
        <v>42612</v>
      </c>
      <c r="H330" s="10" t="str">
        <f>_xlfn.XLOOKUP(B330,DataSet!$N$2:$N$600,DataSet!$I$2:$I$600,0)</f>
        <v>United States</v>
      </c>
      <c r="I330" s="10" t="str">
        <f>_xlfn.XLOOKUP(B330,DataSet!$N$2:$N$600,DataSet!$X$2:$X$600,0)</f>
        <v>Philadelphia - Pennsylvania</v>
      </c>
      <c r="J330" s="10" t="str">
        <f>_xlfn.XLOOKUP(B330,DataSet!$N$2:$N$600,DataSet!$M$2:$M$600,0)</f>
        <v>East</v>
      </c>
      <c r="K330" s="10" t="str">
        <f>_xlfn.XLOOKUP(B330,DataSet!$N$2:$N$600,DataSet!$O$2:$O$600,0)</f>
        <v>Office Supplies</v>
      </c>
      <c r="L330" s="10" t="str">
        <f>_xlfn.XLOOKUP(B330,DataSet!$N$2:$N$600,DataSet!$Y$2:$Y$600,0)</f>
        <v>Storage</v>
      </c>
      <c r="M330" s="10" t="str">
        <f>_xlfn.XLOOKUP(B330,DataSet!$N$2:$N$600,DataSet!$Q$2:$Q$600,0)</f>
        <v>File Shuttle II and Handi-File, Black</v>
      </c>
      <c r="N330" s="16">
        <f>_xlfn.XLOOKUP(B330,DataSet!$N$2:$N$600,DataSet!$AA$2:$AA$600,0)</f>
        <v>54.223999999999997</v>
      </c>
      <c r="O330" s="10">
        <f>_xlfn.XLOOKUP(B330,DataSet!$N$2:$N$600,DataSet!$S$2:$S$600,0)</f>
        <v>2</v>
      </c>
      <c r="P330" s="15">
        <f>_xlfn.XLOOKUP(B330,DataSet!$N$2:$N$600,DataSet!$T$2:$T$600,0)</f>
        <v>0.2</v>
      </c>
      <c r="Q330" s="14">
        <f>_xlfn.XLOOKUP(B330,DataSet!$N$2:$N$600,DataSet!$U$2:$U$600,0)</f>
        <v>3.3889999999999998</v>
      </c>
      <c r="R330" s="16">
        <f>_xlfn.XLOOKUP(B330,DataSet!$N$2:$N$600,DataSet!$AB$2:$AB$600,0)</f>
        <v>108.44799999999999</v>
      </c>
      <c r="S330" s="9">
        <f>_xlfn.XLOOKUP(B330,DataSet!$N$2:$N$600,DataSet!$AC$2:$AC$600,0)</f>
        <v>86.758399999999995</v>
      </c>
    </row>
    <row r="331" spans="1:19" s="12" customFormat="1" x14ac:dyDescent="0.3">
      <c r="A331" s="27">
        <v>329</v>
      </c>
      <c r="B331" s="10" t="s">
        <v>1196</v>
      </c>
      <c r="C331" s="10" t="str">
        <f>_xlfn.XLOOKUP(B331,DataSet!$N$2:$N$600,DataSet!$AF$2:$AF$600,0)</f>
        <v>141544</v>
      </c>
      <c r="D331" s="10" t="str">
        <f>_xlfn.XLOOKUP(B331,DataSet!$N$2:$N$600,DataSet!$G$2:$G$600,0)</f>
        <v>Patrick O'Brill</v>
      </c>
      <c r="E331" s="10" t="str">
        <f>_xlfn.XLOOKUP(B331,DataSet!$N$2:$N$600,DataSet!$F$2:$F$600,0)</f>
        <v>PO-18850</v>
      </c>
      <c r="F331" s="10" t="str">
        <f>_xlfn.XLOOKUP(B331,DataSet!$N$2:$N$600,DataSet!$W$2:$W$600,0)</f>
        <v>Consumer</v>
      </c>
      <c r="G331" s="13">
        <f>_xlfn.XLOOKUP(B331,DataSet!$N$2:$N$600,DataSet!$C$2:$C$600,0)</f>
        <v>42612</v>
      </c>
      <c r="H331" s="10" t="str">
        <f>_xlfn.XLOOKUP(B331,DataSet!$N$2:$N$600,DataSet!$I$2:$I$600,0)</f>
        <v>United States</v>
      </c>
      <c r="I331" s="10" t="str">
        <f>_xlfn.XLOOKUP(B331,DataSet!$N$2:$N$600,DataSet!$X$2:$X$600,0)</f>
        <v>Philadelphia - Pennsylvania</v>
      </c>
      <c r="J331" s="10" t="str">
        <f>_xlfn.XLOOKUP(B331,DataSet!$N$2:$N$600,DataSet!$M$2:$M$600,0)</f>
        <v>East</v>
      </c>
      <c r="K331" s="10" t="str">
        <f>_xlfn.XLOOKUP(B331,DataSet!$N$2:$N$600,DataSet!$O$2:$O$600,0)</f>
        <v>Furniture</v>
      </c>
      <c r="L331" s="10" t="str">
        <f>_xlfn.XLOOKUP(B331,DataSet!$N$2:$N$600,DataSet!$Y$2:$Y$600,0)</f>
        <v>Chairs</v>
      </c>
      <c r="M331" s="10" t="str">
        <f>_xlfn.XLOOKUP(B331,DataSet!$N$2:$N$600,DataSet!$Q$2:$Q$600,0)</f>
        <v>Hon 2090 “Pillow Soft” Series Mid Back Swivel/Tilt Chairs</v>
      </c>
      <c r="N331" s="16">
        <f>_xlfn.XLOOKUP(B331,DataSet!$N$2:$N$600,DataSet!$AA$2:$AA$600,0)</f>
        <v>786.74400000000003</v>
      </c>
      <c r="O331" s="10">
        <f>_xlfn.XLOOKUP(B331,DataSet!$N$2:$N$600,DataSet!$S$2:$S$600,0)</f>
        <v>4</v>
      </c>
      <c r="P331" s="15">
        <f>_xlfn.XLOOKUP(B331,DataSet!$N$2:$N$600,DataSet!$T$2:$T$600,0)</f>
        <v>0.3</v>
      </c>
      <c r="Q331" s="14">
        <f>_xlfn.XLOOKUP(B331,DataSet!$N$2:$N$600,DataSet!$U$2:$U$600,0)</f>
        <v>-258.5016</v>
      </c>
      <c r="R331" s="16">
        <f>_xlfn.XLOOKUP(B331,DataSet!$N$2:$N$600,DataSet!$AB$2:$AB$600,0)</f>
        <v>3146.9760000000001</v>
      </c>
      <c r="S331" s="9">
        <f>_xlfn.XLOOKUP(B331,DataSet!$N$2:$N$600,DataSet!$AC$2:$AC$600,0)</f>
        <v>2202.8831999999998</v>
      </c>
    </row>
    <row r="332" spans="1:19" s="12" customFormat="1" x14ac:dyDescent="0.3">
      <c r="A332" s="27">
        <v>330</v>
      </c>
      <c r="B332" s="10" t="s">
        <v>1198</v>
      </c>
      <c r="C332" s="10" t="str">
        <f>_xlfn.XLOOKUP(B332,DataSet!$N$2:$N$600,DataSet!$AF$2:$AF$600,0)</f>
        <v>141544</v>
      </c>
      <c r="D332" s="10" t="str">
        <f>_xlfn.XLOOKUP(B332,DataSet!$N$2:$N$600,DataSet!$G$2:$G$600,0)</f>
        <v>Patrick O'Brill</v>
      </c>
      <c r="E332" s="10" t="str">
        <f>_xlfn.XLOOKUP(B332,DataSet!$N$2:$N$600,DataSet!$F$2:$F$600,0)</f>
        <v>PO-18850</v>
      </c>
      <c r="F332" s="10" t="str">
        <f>_xlfn.XLOOKUP(B332,DataSet!$N$2:$N$600,DataSet!$W$2:$W$600,0)</f>
        <v>Consumer</v>
      </c>
      <c r="G332" s="13">
        <f>_xlfn.XLOOKUP(B332,DataSet!$N$2:$N$600,DataSet!$C$2:$C$600,0)</f>
        <v>42612</v>
      </c>
      <c r="H332" s="10" t="str">
        <f>_xlfn.XLOOKUP(B332,DataSet!$N$2:$N$600,DataSet!$I$2:$I$600,0)</f>
        <v>United States</v>
      </c>
      <c r="I332" s="10" t="str">
        <f>_xlfn.XLOOKUP(B332,DataSet!$N$2:$N$600,DataSet!$X$2:$X$600,0)</f>
        <v>Philadelphia - Pennsylvania</v>
      </c>
      <c r="J332" s="10" t="str">
        <f>_xlfn.XLOOKUP(B332,DataSet!$N$2:$N$600,DataSet!$M$2:$M$600,0)</f>
        <v>East</v>
      </c>
      <c r="K332" s="10" t="str">
        <f>_xlfn.XLOOKUP(B332,DataSet!$N$2:$N$600,DataSet!$O$2:$O$600,0)</f>
        <v>Office Supplies</v>
      </c>
      <c r="L332" s="10" t="str">
        <f>_xlfn.XLOOKUP(B332,DataSet!$N$2:$N$600,DataSet!$Y$2:$Y$600,0)</f>
        <v>Labels</v>
      </c>
      <c r="M332" s="10" t="str">
        <f>_xlfn.XLOOKUP(B332,DataSet!$N$2:$N$600,DataSet!$Q$2:$Q$600,0)</f>
        <v>Round Specialty Laser Printer Labels</v>
      </c>
      <c r="N332" s="16">
        <f>_xlfn.XLOOKUP(B332,DataSet!$N$2:$N$600,DataSet!$AA$2:$AA$600,0)</f>
        <v>100.24</v>
      </c>
      <c r="O332" s="10">
        <f>_xlfn.XLOOKUP(B332,DataSet!$N$2:$N$600,DataSet!$S$2:$S$600,0)</f>
        <v>10</v>
      </c>
      <c r="P332" s="15">
        <f>_xlfn.XLOOKUP(B332,DataSet!$N$2:$N$600,DataSet!$T$2:$T$600,0)</f>
        <v>0.2</v>
      </c>
      <c r="Q332" s="14">
        <f>_xlfn.XLOOKUP(B332,DataSet!$N$2:$N$600,DataSet!$U$2:$U$600,0)</f>
        <v>33.831000000000003</v>
      </c>
      <c r="R332" s="16">
        <f>_xlfn.XLOOKUP(B332,DataSet!$N$2:$N$600,DataSet!$AB$2:$AB$600,0)</f>
        <v>1002.4</v>
      </c>
      <c r="S332" s="9">
        <f>_xlfn.XLOOKUP(B332,DataSet!$N$2:$N$600,DataSet!$AC$2:$AC$600,0)</f>
        <v>801.92000000000007</v>
      </c>
    </row>
    <row r="333" spans="1:19" s="12" customFormat="1" x14ac:dyDescent="0.3">
      <c r="A333" s="27">
        <v>331</v>
      </c>
      <c r="B333" s="10" t="s">
        <v>1200</v>
      </c>
      <c r="C333" s="10" t="str">
        <f>_xlfn.XLOOKUP(B333,DataSet!$N$2:$N$600,DataSet!$AF$2:$AF$600,0)</f>
        <v>141544</v>
      </c>
      <c r="D333" s="10" t="str">
        <f>_xlfn.XLOOKUP(B333,DataSet!$N$2:$N$600,DataSet!$G$2:$G$600,0)</f>
        <v>Patrick O'Brill</v>
      </c>
      <c r="E333" s="10" t="str">
        <f>_xlfn.XLOOKUP(B333,DataSet!$N$2:$N$600,DataSet!$F$2:$F$600,0)</f>
        <v>PO-18850</v>
      </c>
      <c r="F333" s="10" t="str">
        <f>_xlfn.XLOOKUP(B333,DataSet!$N$2:$N$600,DataSet!$W$2:$W$600,0)</f>
        <v>Consumer</v>
      </c>
      <c r="G333" s="13">
        <f>_xlfn.XLOOKUP(B333,DataSet!$N$2:$N$600,DataSet!$C$2:$C$600,0)</f>
        <v>42612</v>
      </c>
      <c r="H333" s="10" t="str">
        <f>_xlfn.XLOOKUP(B333,DataSet!$N$2:$N$600,DataSet!$I$2:$I$600,0)</f>
        <v>United States</v>
      </c>
      <c r="I333" s="10" t="str">
        <f>_xlfn.XLOOKUP(B333,DataSet!$N$2:$N$600,DataSet!$X$2:$X$600,0)</f>
        <v>Philadelphia - Pennsylvania</v>
      </c>
      <c r="J333" s="10" t="str">
        <f>_xlfn.XLOOKUP(B333,DataSet!$N$2:$N$600,DataSet!$M$2:$M$600,0)</f>
        <v>East</v>
      </c>
      <c r="K333" s="10" t="str">
        <f>_xlfn.XLOOKUP(B333,DataSet!$N$2:$N$600,DataSet!$O$2:$O$600,0)</f>
        <v>Office Supplies</v>
      </c>
      <c r="L333" s="10" t="str">
        <f>_xlfn.XLOOKUP(B333,DataSet!$N$2:$N$600,DataSet!$Y$2:$Y$600,0)</f>
        <v>Binders</v>
      </c>
      <c r="M333" s="10" t="str">
        <f>_xlfn.XLOOKUP(B333,DataSet!$N$2:$N$600,DataSet!$Q$2:$Q$600,0)</f>
        <v>GBC Premium Transparent Covers with Diagonal Lined Pattern</v>
      </c>
      <c r="N333" s="16">
        <f>_xlfn.XLOOKUP(B333,DataSet!$N$2:$N$600,DataSet!$AA$2:$AA$600,0)</f>
        <v>37.764000000000003</v>
      </c>
      <c r="O333" s="10">
        <f>_xlfn.XLOOKUP(B333,DataSet!$N$2:$N$600,DataSet!$S$2:$S$600,0)</f>
        <v>6</v>
      </c>
      <c r="P333" s="15">
        <f>_xlfn.XLOOKUP(B333,DataSet!$N$2:$N$600,DataSet!$T$2:$T$600,0)</f>
        <v>0.7</v>
      </c>
      <c r="Q333" s="14">
        <f>_xlfn.XLOOKUP(B333,DataSet!$N$2:$N$600,DataSet!$U$2:$U$600,0)</f>
        <v>-27.6936</v>
      </c>
      <c r="R333" s="16">
        <f>_xlfn.XLOOKUP(B333,DataSet!$N$2:$N$600,DataSet!$AB$2:$AB$600,0)</f>
        <v>226.584</v>
      </c>
      <c r="S333" s="9">
        <f>_xlfn.XLOOKUP(B333,DataSet!$N$2:$N$600,DataSet!$AC$2:$AC$600,0)</f>
        <v>67.975200000000015</v>
      </c>
    </row>
    <row r="334" spans="1:19" s="12" customFormat="1" x14ac:dyDescent="0.3">
      <c r="A334" s="27">
        <v>332</v>
      </c>
      <c r="B334" s="10" t="s">
        <v>1205</v>
      </c>
      <c r="C334" s="10" t="str">
        <f>_xlfn.XLOOKUP(B334,DataSet!$N$2:$N$600,DataSet!$AF$2:$AF$600,0)</f>
        <v>150147</v>
      </c>
      <c r="D334" s="10" t="str">
        <f>_xlfn.XLOOKUP(B334,DataSet!$N$2:$N$600,DataSet!$G$2:$G$600,0)</f>
        <v>John Lucas</v>
      </c>
      <c r="E334" s="10" t="str">
        <f>_xlfn.XLOOKUP(B334,DataSet!$N$2:$N$600,DataSet!$F$2:$F$600,0)</f>
        <v>JL-15850</v>
      </c>
      <c r="F334" s="10" t="str">
        <f>_xlfn.XLOOKUP(B334,DataSet!$N$2:$N$600,DataSet!$W$2:$W$600,0)</f>
        <v>Consumer</v>
      </c>
      <c r="G334" s="13">
        <f>_xlfn.XLOOKUP(B334,DataSet!$N$2:$N$600,DataSet!$C$2:$C$600,0)</f>
        <v>42485</v>
      </c>
      <c r="H334" s="10" t="str">
        <f>_xlfn.XLOOKUP(B334,DataSet!$N$2:$N$600,DataSet!$I$2:$I$600,0)</f>
        <v>United States</v>
      </c>
      <c r="I334" s="10" t="str">
        <f>_xlfn.XLOOKUP(B334,DataSet!$N$2:$N$600,DataSet!$X$2:$X$600,0)</f>
        <v>Philadelphia - Pennsylvania</v>
      </c>
      <c r="J334" s="10" t="str">
        <f>_xlfn.XLOOKUP(B334,DataSet!$N$2:$N$600,DataSet!$M$2:$M$600,0)</f>
        <v>East</v>
      </c>
      <c r="K334" s="10" t="str">
        <f>_xlfn.XLOOKUP(B334,DataSet!$N$2:$N$600,DataSet!$O$2:$O$600,0)</f>
        <v>Technology</v>
      </c>
      <c r="L334" s="10" t="str">
        <f>_xlfn.XLOOKUP(B334,DataSet!$N$2:$N$600,DataSet!$Y$2:$Y$600,0)</f>
        <v>Phones</v>
      </c>
      <c r="M334" s="10" t="str">
        <f>_xlfn.XLOOKUP(B334,DataSet!$N$2:$N$600,DataSet!$Q$2:$Q$600,0)</f>
        <v>AT&amp;T 841000 Phone</v>
      </c>
      <c r="N334" s="16">
        <f>_xlfn.XLOOKUP(B334,DataSet!$N$2:$N$600,DataSet!$AA$2:$AA$600,0)</f>
        <v>82.8</v>
      </c>
      <c r="O334" s="10">
        <f>_xlfn.XLOOKUP(B334,DataSet!$N$2:$N$600,DataSet!$S$2:$S$600,0)</f>
        <v>2</v>
      </c>
      <c r="P334" s="15">
        <f>_xlfn.XLOOKUP(B334,DataSet!$N$2:$N$600,DataSet!$T$2:$T$600,0)</f>
        <v>0.4</v>
      </c>
      <c r="Q334" s="14">
        <f>_xlfn.XLOOKUP(B334,DataSet!$N$2:$N$600,DataSet!$U$2:$U$600,0)</f>
        <v>-20.7</v>
      </c>
      <c r="R334" s="16">
        <f>_xlfn.XLOOKUP(B334,DataSet!$N$2:$N$600,DataSet!$AB$2:$AB$600,0)</f>
        <v>165.6</v>
      </c>
      <c r="S334" s="9">
        <f>_xlfn.XLOOKUP(B334,DataSet!$N$2:$N$600,DataSet!$AC$2:$AC$600,0)</f>
        <v>99.36</v>
      </c>
    </row>
    <row r="335" spans="1:19" s="12" customFormat="1" x14ac:dyDescent="0.3">
      <c r="A335" s="27">
        <v>333</v>
      </c>
      <c r="B335" s="10" t="s">
        <v>1207</v>
      </c>
      <c r="C335" s="10" t="str">
        <f>_xlfn.XLOOKUP(B335,DataSet!$N$2:$N$600,DataSet!$AF$2:$AF$600,0)</f>
        <v>150147</v>
      </c>
      <c r="D335" s="10" t="str">
        <f>_xlfn.XLOOKUP(B335,DataSet!$N$2:$N$600,DataSet!$G$2:$G$600,0)</f>
        <v>John Lucas</v>
      </c>
      <c r="E335" s="10" t="str">
        <f>_xlfn.XLOOKUP(B335,DataSet!$N$2:$N$600,DataSet!$F$2:$F$600,0)</f>
        <v>JL-15850</v>
      </c>
      <c r="F335" s="10" t="str">
        <f>_xlfn.XLOOKUP(B335,DataSet!$N$2:$N$600,DataSet!$W$2:$W$600,0)</f>
        <v>Consumer</v>
      </c>
      <c r="G335" s="13">
        <f>_xlfn.XLOOKUP(B335,DataSet!$N$2:$N$600,DataSet!$C$2:$C$600,0)</f>
        <v>42485</v>
      </c>
      <c r="H335" s="10" t="str">
        <f>_xlfn.XLOOKUP(B335,DataSet!$N$2:$N$600,DataSet!$I$2:$I$600,0)</f>
        <v>United States</v>
      </c>
      <c r="I335" s="10" t="str">
        <f>_xlfn.XLOOKUP(B335,DataSet!$N$2:$N$600,DataSet!$X$2:$X$600,0)</f>
        <v>Philadelphia - Pennsylvania</v>
      </c>
      <c r="J335" s="10" t="str">
        <f>_xlfn.XLOOKUP(B335,DataSet!$N$2:$N$600,DataSet!$M$2:$M$600,0)</f>
        <v>East</v>
      </c>
      <c r="K335" s="10" t="str">
        <f>_xlfn.XLOOKUP(B335,DataSet!$N$2:$N$600,DataSet!$O$2:$O$600,0)</f>
        <v>Office Supplies</v>
      </c>
      <c r="L335" s="10" t="str">
        <f>_xlfn.XLOOKUP(B335,DataSet!$N$2:$N$600,DataSet!$Y$2:$Y$600,0)</f>
        <v>Binders</v>
      </c>
      <c r="M335" s="10" t="str">
        <f>_xlfn.XLOOKUP(B335,DataSet!$N$2:$N$600,DataSet!$Q$2:$Q$600,0)</f>
        <v>Ibico Recycled Grain-Textured Covers</v>
      </c>
      <c r="N335" s="16">
        <f>_xlfn.XLOOKUP(B335,DataSet!$N$2:$N$600,DataSet!$AA$2:$AA$600,0)</f>
        <v>20.724</v>
      </c>
      <c r="O335" s="10">
        <f>_xlfn.XLOOKUP(B335,DataSet!$N$2:$N$600,DataSet!$S$2:$S$600,0)</f>
        <v>2</v>
      </c>
      <c r="P335" s="15">
        <f>_xlfn.XLOOKUP(B335,DataSet!$N$2:$N$600,DataSet!$T$2:$T$600,0)</f>
        <v>0.7</v>
      </c>
      <c r="Q335" s="14">
        <f>_xlfn.XLOOKUP(B335,DataSet!$N$2:$N$600,DataSet!$U$2:$U$600,0)</f>
        <v>-13.816000000000001</v>
      </c>
      <c r="R335" s="16">
        <f>_xlfn.XLOOKUP(B335,DataSet!$N$2:$N$600,DataSet!$AB$2:$AB$600,0)</f>
        <v>41.448</v>
      </c>
      <c r="S335" s="9">
        <f>_xlfn.XLOOKUP(B335,DataSet!$N$2:$N$600,DataSet!$AC$2:$AC$600,0)</f>
        <v>12.434400000000002</v>
      </c>
    </row>
    <row r="336" spans="1:19" s="12" customFormat="1" x14ac:dyDescent="0.3">
      <c r="A336" s="27">
        <v>334</v>
      </c>
      <c r="B336" s="10" t="s">
        <v>1209</v>
      </c>
      <c r="C336" s="10" t="str">
        <f>_xlfn.XLOOKUP(B336,DataSet!$N$2:$N$600,DataSet!$AF$2:$AF$600,0)</f>
        <v>150147</v>
      </c>
      <c r="D336" s="10" t="str">
        <f>_xlfn.XLOOKUP(B336,DataSet!$N$2:$N$600,DataSet!$G$2:$G$600,0)</f>
        <v>John Lucas</v>
      </c>
      <c r="E336" s="10" t="str">
        <f>_xlfn.XLOOKUP(B336,DataSet!$N$2:$N$600,DataSet!$F$2:$F$600,0)</f>
        <v>JL-15850</v>
      </c>
      <c r="F336" s="10" t="str">
        <f>_xlfn.XLOOKUP(B336,DataSet!$N$2:$N$600,DataSet!$W$2:$W$600,0)</f>
        <v>Consumer</v>
      </c>
      <c r="G336" s="13">
        <f>_xlfn.XLOOKUP(B336,DataSet!$N$2:$N$600,DataSet!$C$2:$C$600,0)</f>
        <v>42485</v>
      </c>
      <c r="H336" s="10" t="str">
        <f>_xlfn.XLOOKUP(B336,DataSet!$N$2:$N$600,DataSet!$I$2:$I$600,0)</f>
        <v>United States</v>
      </c>
      <c r="I336" s="10" t="str">
        <f>_xlfn.XLOOKUP(B336,DataSet!$N$2:$N$600,DataSet!$X$2:$X$600,0)</f>
        <v>Philadelphia - Pennsylvania</v>
      </c>
      <c r="J336" s="10" t="str">
        <f>_xlfn.XLOOKUP(B336,DataSet!$N$2:$N$600,DataSet!$M$2:$M$600,0)</f>
        <v>East</v>
      </c>
      <c r="K336" s="10" t="str">
        <f>_xlfn.XLOOKUP(B336,DataSet!$N$2:$N$600,DataSet!$O$2:$O$600,0)</f>
        <v>Office Supplies</v>
      </c>
      <c r="L336" s="10" t="str">
        <f>_xlfn.XLOOKUP(B336,DataSet!$N$2:$N$600,DataSet!$Y$2:$Y$600,0)</f>
        <v>Binders</v>
      </c>
      <c r="M336" s="10" t="str">
        <f>_xlfn.XLOOKUP(B336,DataSet!$N$2:$N$600,DataSet!$Q$2:$Q$600,0)</f>
        <v>Wilson Jones Custom Binder Spines &amp; Labels</v>
      </c>
      <c r="N336" s="16">
        <f>_xlfn.XLOOKUP(B336,DataSet!$N$2:$N$600,DataSet!$AA$2:$AA$600,0)</f>
        <v>4.8959999999999999</v>
      </c>
      <c r="O336" s="10">
        <f>_xlfn.XLOOKUP(B336,DataSet!$N$2:$N$600,DataSet!$S$2:$S$600,0)</f>
        <v>3</v>
      </c>
      <c r="P336" s="15">
        <f>_xlfn.XLOOKUP(B336,DataSet!$N$2:$N$600,DataSet!$T$2:$T$600,0)</f>
        <v>0.7</v>
      </c>
      <c r="Q336" s="14">
        <f>_xlfn.XLOOKUP(B336,DataSet!$N$2:$N$600,DataSet!$U$2:$U$600,0)</f>
        <v>-3.4272</v>
      </c>
      <c r="R336" s="16">
        <f>_xlfn.XLOOKUP(B336,DataSet!$N$2:$N$600,DataSet!$AB$2:$AB$600,0)</f>
        <v>14.687999999999999</v>
      </c>
      <c r="S336" s="9">
        <f>_xlfn.XLOOKUP(B336,DataSet!$N$2:$N$600,DataSet!$AC$2:$AC$600,0)</f>
        <v>4.4064000000000005</v>
      </c>
    </row>
    <row r="337" spans="1:19" s="12" customFormat="1" x14ac:dyDescent="0.3">
      <c r="A337" s="27">
        <v>335</v>
      </c>
      <c r="B337" s="10" t="s">
        <v>1214</v>
      </c>
      <c r="C337" s="10" t="str">
        <f>_xlfn.XLOOKUP(B337,DataSet!$N$2:$N$600,DataSet!$AF$2:$AF$600,0)</f>
        <v>137946</v>
      </c>
      <c r="D337" s="10" t="str">
        <f>_xlfn.XLOOKUP(B337,DataSet!$N$2:$N$600,DataSet!$G$2:$G$600,0)</f>
        <v>Doug Bickford</v>
      </c>
      <c r="E337" s="10" t="str">
        <f>_xlfn.XLOOKUP(B337,DataSet!$N$2:$N$600,DataSet!$F$2:$F$600,0)</f>
        <v>DB-13615</v>
      </c>
      <c r="F337" s="10" t="str">
        <f>_xlfn.XLOOKUP(B337,DataSet!$N$2:$N$600,DataSet!$W$2:$W$600,0)</f>
        <v>Consumer</v>
      </c>
      <c r="G337" s="13">
        <f>_xlfn.XLOOKUP(B337,DataSet!$N$2:$N$600,DataSet!$C$2:$C$600,0)</f>
        <v>42248</v>
      </c>
      <c r="H337" s="10" t="str">
        <f>_xlfn.XLOOKUP(B337,DataSet!$N$2:$N$600,DataSet!$I$2:$I$600,0)</f>
        <v>United States</v>
      </c>
      <c r="I337" s="10" t="str">
        <f>_xlfn.XLOOKUP(B337,DataSet!$N$2:$N$600,DataSet!$X$2:$X$600,0)</f>
        <v>Los Angeles - California</v>
      </c>
      <c r="J337" s="10" t="str">
        <f>_xlfn.XLOOKUP(B337,DataSet!$N$2:$N$600,DataSet!$M$2:$M$600,0)</f>
        <v>West</v>
      </c>
      <c r="K337" s="10" t="str">
        <f>_xlfn.XLOOKUP(B337,DataSet!$N$2:$N$600,DataSet!$O$2:$O$600,0)</f>
        <v>Office Supplies</v>
      </c>
      <c r="L337" s="10" t="str">
        <f>_xlfn.XLOOKUP(B337,DataSet!$N$2:$N$600,DataSet!$Y$2:$Y$600,0)</f>
        <v>Binders</v>
      </c>
      <c r="M337" s="10" t="str">
        <f>_xlfn.XLOOKUP(B337,DataSet!$N$2:$N$600,DataSet!$Q$2:$Q$600,0)</f>
        <v>Storex Dura Pro Binders</v>
      </c>
      <c r="N337" s="16">
        <f>_xlfn.XLOOKUP(B337,DataSet!$N$2:$N$600,DataSet!$AA$2:$AA$600,0)</f>
        <v>4.7519999999999998</v>
      </c>
      <c r="O337" s="10">
        <f>_xlfn.XLOOKUP(B337,DataSet!$N$2:$N$600,DataSet!$S$2:$S$600,0)</f>
        <v>1</v>
      </c>
      <c r="P337" s="15">
        <f>_xlfn.XLOOKUP(B337,DataSet!$N$2:$N$600,DataSet!$T$2:$T$600,0)</f>
        <v>0.2</v>
      </c>
      <c r="Q337" s="14">
        <f>_xlfn.XLOOKUP(B337,DataSet!$N$2:$N$600,DataSet!$U$2:$U$600,0)</f>
        <v>1.6037999999999999</v>
      </c>
      <c r="R337" s="16">
        <f>_xlfn.XLOOKUP(B337,DataSet!$N$2:$N$600,DataSet!$AB$2:$AB$600,0)</f>
        <v>4.7519999999999998</v>
      </c>
      <c r="S337" s="9">
        <f>_xlfn.XLOOKUP(B337,DataSet!$N$2:$N$600,DataSet!$AC$2:$AC$600,0)</f>
        <v>3.8016000000000001</v>
      </c>
    </row>
    <row r="338" spans="1:19" s="12" customFormat="1" x14ac:dyDescent="0.3">
      <c r="A338" s="27">
        <v>336</v>
      </c>
      <c r="B338" s="10" t="s">
        <v>1216</v>
      </c>
      <c r="C338" s="10" t="str">
        <f>_xlfn.XLOOKUP(B338,DataSet!$N$2:$N$600,DataSet!$AF$2:$AF$600,0)</f>
        <v>137946</v>
      </c>
      <c r="D338" s="10" t="str">
        <f>_xlfn.XLOOKUP(B338,DataSet!$N$2:$N$600,DataSet!$G$2:$G$600,0)</f>
        <v>Doug Bickford</v>
      </c>
      <c r="E338" s="10" t="str">
        <f>_xlfn.XLOOKUP(B338,DataSet!$N$2:$N$600,DataSet!$F$2:$F$600,0)</f>
        <v>DB-13615</v>
      </c>
      <c r="F338" s="10" t="str">
        <f>_xlfn.XLOOKUP(B338,DataSet!$N$2:$N$600,DataSet!$W$2:$W$600,0)</f>
        <v>Consumer</v>
      </c>
      <c r="G338" s="13">
        <f>_xlfn.XLOOKUP(B338,DataSet!$N$2:$N$600,DataSet!$C$2:$C$600,0)</f>
        <v>42248</v>
      </c>
      <c r="H338" s="10" t="str">
        <f>_xlfn.XLOOKUP(B338,DataSet!$N$2:$N$600,DataSet!$I$2:$I$600,0)</f>
        <v>United States</v>
      </c>
      <c r="I338" s="10" t="str">
        <f>_xlfn.XLOOKUP(B338,DataSet!$N$2:$N$600,DataSet!$X$2:$X$600,0)</f>
        <v>Los Angeles - California</v>
      </c>
      <c r="J338" s="10" t="str">
        <f>_xlfn.XLOOKUP(B338,DataSet!$N$2:$N$600,DataSet!$M$2:$M$600,0)</f>
        <v>West</v>
      </c>
      <c r="K338" s="10" t="str">
        <f>_xlfn.XLOOKUP(B338,DataSet!$N$2:$N$600,DataSet!$O$2:$O$600,0)</f>
        <v>Technology</v>
      </c>
      <c r="L338" s="10" t="str">
        <f>_xlfn.XLOOKUP(B338,DataSet!$N$2:$N$600,DataSet!$Y$2:$Y$600,0)</f>
        <v>Copiers</v>
      </c>
      <c r="M338" s="10" t="str">
        <f>_xlfn.XLOOKUP(B338,DataSet!$N$2:$N$600,DataSet!$Q$2:$Q$600,0)</f>
        <v>Hewlett Packard LaserJet 3310 Copier</v>
      </c>
      <c r="N338" s="16">
        <f>_xlfn.XLOOKUP(B338,DataSet!$N$2:$N$600,DataSet!$AA$2:$AA$600,0)</f>
        <v>959.98400000000004</v>
      </c>
      <c r="O338" s="10">
        <f>_xlfn.XLOOKUP(B338,DataSet!$N$2:$N$600,DataSet!$S$2:$S$600,0)</f>
        <v>2</v>
      </c>
      <c r="P338" s="15">
        <f>_xlfn.XLOOKUP(B338,DataSet!$N$2:$N$600,DataSet!$T$2:$T$600,0)</f>
        <v>0.2</v>
      </c>
      <c r="Q338" s="14">
        <f>_xlfn.XLOOKUP(B338,DataSet!$N$2:$N$600,DataSet!$U$2:$U$600,0)</f>
        <v>335.99439999999998</v>
      </c>
      <c r="R338" s="16">
        <f>_xlfn.XLOOKUP(B338,DataSet!$N$2:$N$600,DataSet!$AB$2:$AB$600,0)</f>
        <v>1919.9680000000001</v>
      </c>
      <c r="S338" s="9">
        <f>_xlfn.XLOOKUP(B338,DataSet!$N$2:$N$600,DataSet!$AC$2:$AC$600,0)</f>
        <v>1535.9744000000001</v>
      </c>
    </row>
    <row r="339" spans="1:19" s="12" customFormat="1" x14ac:dyDescent="0.3">
      <c r="A339" s="27">
        <v>337</v>
      </c>
      <c r="B339" s="10" t="s">
        <v>1219</v>
      </c>
      <c r="C339" s="10" t="str">
        <f>_xlfn.XLOOKUP(B339,DataSet!$N$2:$N$600,DataSet!$AF$2:$AF$600,0)</f>
        <v>137946</v>
      </c>
      <c r="D339" s="10" t="str">
        <f>_xlfn.XLOOKUP(B339,DataSet!$N$2:$N$600,DataSet!$G$2:$G$600,0)</f>
        <v>Doug Bickford</v>
      </c>
      <c r="E339" s="10" t="str">
        <f>_xlfn.XLOOKUP(B339,DataSet!$N$2:$N$600,DataSet!$F$2:$F$600,0)</f>
        <v>DB-13615</v>
      </c>
      <c r="F339" s="10" t="str">
        <f>_xlfn.XLOOKUP(B339,DataSet!$N$2:$N$600,DataSet!$W$2:$W$600,0)</f>
        <v>Consumer</v>
      </c>
      <c r="G339" s="13">
        <f>_xlfn.XLOOKUP(B339,DataSet!$N$2:$N$600,DataSet!$C$2:$C$600,0)</f>
        <v>42248</v>
      </c>
      <c r="H339" s="10" t="str">
        <f>_xlfn.XLOOKUP(B339,DataSet!$N$2:$N$600,DataSet!$I$2:$I$600,0)</f>
        <v>United States</v>
      </c>
      <c r="I339" s="10" t="str">
        <f>_xlfn.XLOOKUP(B339,DataSet!$N$2:$N$600,DataSet!$X$2:$X$600,0)</f>
        <v>Los Angeles - California</v>
      </c>
      <c r="J339" s="10" t="str">
        <f>_xlfn.XLOOKUP(B339,DataSet!$N$2:$N$600,DataSet!$M$2:$M$600,0)</f>
        <v>West</v>
      </c>
      <c r="K339" s="10" t="str">
        <f>_xlfn.XLOOKUP(B339,DataSet!$N$2:$N$600,DataSet!$O$2:$O$600,0)</f>
        <v>Office Supplies</v>
      </c>
      <c r="L339" s="10" t="str">
        <f>_xlfn.XLOOKUP(B339,DataSet!$N$2:$N$600,DataSet!$Y$2:$Y$600,0)</f>
        <v>Binders</v>
      </c>
      <c r="M339" s="10" t="str">
        <f>_xlfn.XLOOKUP(B339,DataSet!$N$2:$N$600,DataSet!$Q$2:$Q$600,0)</f>
        <v>Avery Non-Stick Binders</v>
      </c>
      <c r="N339" s="16">
        <f>_xlfn.XLOOKUP(B339,DataSet!$N$2:$N$600,DataSet!$AA$2:$AA$600,0)</f>
        <v>14.368</v>
      </c>
      <c r="O339" s="10">
        <f>_xlfn.XLOOKUP(B339,DataSet!$N$2:$N$600,DataSet!$S$2:$S$600,0)</f>
        <v>4</v>
      </c>
      <c r="P339" s="15">
        <f>_xlfn.XLOOKUP(B339,DataSet!$N$2:$N$600,DataSet!$T$2:$T$600,0)</f>
        <v>0.2</v>
      </c>
      <c r="Q339" s="14">
        <f>_xlfn.XLOOKUP(B339,DataSet!$N$2:$N$600,DataSet!$U$2:$U$600,0)</f>
        <v>4.49</v>
      </c>
      <c r="R339" s="16">
        <f>_xlfn.XLOOKUP(B339,DataSet!$N$2:$N$600,DataSet!$AB$2:$AB$600,0)</f>
        <v>57.472000000000001</v>
      </c>
      <c r="S339" s="9">
        <f>_xlfn.XLOOKUP(B339,DataSet!$N$2:$N$600,DataSet!$AC$2:$AC$600,0)</f>
        <v>45.977600000000002</v>
      </c>
    </row>
    <row r="340" spans="1:19" s="12" customFormat="1" x14ac:dyDescent="0.3">
      <c r="A340" s="27">
        <v>338</v>
      </c>
      <c r="B340" s="10" t="s">
        <v>1224</v>
      </c>
      <c r="C340" s="10" t="str">
        <f>_xlfn.XLOOKUP(B340,DataSet!$N$2:$N$600,DataSet!$AF$2:$AF$600,0)</f>
        <v>129924</v>
      </c>
      <c r="D340" s="10" t="str">
        <f>_xlfn.XLOOKUP(B340,DataSet!$N$2:$N$600,DataSet!$G$2:$G$600,0)</f>
        <v>Alyssa Crouse</v>
      </c>
      <c r="E340" s="10" t="str">
        <f>_xlfn.XLOOKUP(B340,DataSet!$N$2:$N$600,DataSet!$F$2:$F$600,0)</f>
        <v>AC-10420</v>
      </c>
      <c r="F340" s="10" t="str">
        <f>_xlfn.XLOOKUP(B340,DataSet!$N$2:$N$600,DataSet!$W$2:$W$600,0)</f>
        <v>Corporate</v>
      </c>
      <c r="G340" s="13">
        <f>_xlfn.XLOOKUP(B340,DataSet!$N$2:$N$600,DataSet!$C$2:$C$600,0)</f>
        <v>41832</v>
      </c>
      <c r="H340" s="10" t="str">
        <f>_xlfn.XLOOKUP(B340,DataSet!$N$2:$N$600,DataSet!$I$2:$I$600,0)</f>
        <v>United States</v>
      </c>
      <c r="I340" s="10" t="str">
        <f>_xlfn.XLOOKUP(B340,DataSet!$N$2:$N$600,DataSet!$X$2:$X$600,0)</f>
        <v>San Francisco - California</v>
      </c>
      <c r="J340" s="10" t="str">
        <f>_xlfn.XLOOKUP(B340,DataSet!$N$2:$N$600,DataSet!$M$2:$M$600,0)</f>
        <v>West</v>
      </c>
      <c r="K340" s="10" t="str">
        <f>_xlfn.XLOOKUP(B340,DataSet!$N$2:$N$600,DataSet!$O$2:$O$600,0)</f>
        <v>Office Supplies</v>
      </c>
      <c r="L340" s="10" t="str">
        <f>_xlfn.XLOOKUP(B340,DataSet!$N$2:$N$600,DataSet!$Y$2:$Y$600,0)</f>
        <v>Binders</v>
      </c>
      <c r="M340" s="10" t="str">
        <f>_xlfn.XLOOKUP(B340,DataSet!$N$2:$N$600,DataSet!$Q$2:$Q$600,0)</f>
        <v>Tuff Stuff Recycled Round Ring Binders</v>
      </c>
      <c r="N340" s="16">
        <f>_xlfn.XLOOKUP(B340,DataSet!$N$2:$N$600,DataSet!$AA$2:$AA$600,0)</f>
        <v>7.7119999999999997</v>
      </c>
      <c r="O340" s="10">
        <f>_xlfn.XLOOKUP(B340,DataSet!$N$2:$N$600,DataSet!$S$2:$S$600,0)</f>
        <v>2</v>
      </c>
      <c r="P340" s="15">
        <f>_xlfn.XLOOKUP(B340,DataSet!$N$2:$N$600,DataSet!$T$2:$T$600,0)</f>
        <v>0.2</v>
      </c>
      <c r="Q340" s="14">
        <f>_xlfn.XLOOKUP(B340,DataSet!$N$2:$N$600,DataSet!$U$2:$U$600,0)</f>
        <v>2.7955999999999999</v>
      </c>
      <c r="R340" s="16">
        <f>_xlfn.XLOOKUP(B340,DataSet!$N$2:$N$600,DataSet!$AB$2:$AB$600,0)</f>
        <v>15.423999999999999</v>
      </c>
      <c r="S340" s="9">
        <f>_xlfn.XLOOKUP(B340,DataSet!$N$2:$N$600,DataSet!$AC$2:$AC$600,0)</f>
        <v>12.3392</v>
      </c>
    </row>
    <row r="341" spans="1:19" s="12" customFormat="1" x14ac:dyDescent="0.3">
      <c r="A341" s="27">
        <v>339</v>
      </c>
      <c r="B341" s="10" t="s">
        <v>1226</v>
      </c>
      <c r="C341" s="10" t="str">
        <f>_xlfn.XLOOKUP(B341,DataSet!$N$2:$N$600,DataSet!$AF$2:$AF$600,0)</f>
        <v>129924</v>
      </c>
      <c r="D341" s="10" t="str">
        <f>_xlfn.XLOOKUP(B341,DataSet!$N$2:$N$600,DataSet!$G$2:$G$600,0)</f>
        <v>Alyssa Crouse</v>
      </c>
      <c r="E341" s="10" t="str">
        <f>_xlfn.XLOOKUP(B341,DataSet!$N$2:$N$600,DataSet!$F$2:$F$600,0)</f>
        <v>AC-10420</v>
      </c>
      <c r="F341" s="10" t="str">
        <f>_xlfn.XLOOKUP(B341,DataSet!$N$2:$N$600,DataSet!$W$2:$W$600,0)</f>
        <v>Corporate</v>
      </c>
      <c r="G341" s="13">
        <f>_xlfn.XLOOKUP(B341,DataSet!$N$2:$N$600,DataSet!$C$2:$C$600,0)</f>
        <v>41832</v>
      </c>
      <c r="H341" s="10" t="str">
        <f>_xlfn.XLOOKUP(B341,DataSet!$N$2:$N$600,DataSet!$I$2:$I$600,0)</f>
        <v>United States</v>
      </c>
      <c r="I341" s="10" t="str">
        <f>_xlfn.XLOOKUP(B341,DataSet!$N$2:$N$600,DataSet!$X$2:$X$600,0)</f>
        <v>San Francisco - California</v>
      </c>
      <c r="J341" s="10" t="str">
        <f>_xlfn.XLOOKUP(B341,DataSet!$N$2:$N$600,DataSet!$M$2:$M$600,0)</f>
        <v>West</v>
      </c>
      <c r="K341" s="10" t="str">
        <f>_xlfn.XLOOKUP(B341,DataSet!$N$2:$N$600,DataSet!$O$2:$O$600,0)</f>
        <v>Furniture</v>
      </c>
      <c r="L341" s="10" t="str">
        <f>_xlfn.XLOOKUP(B341,DataSet!$N$2:$N$600,DataSet!$Y$2:$Y$600,0)</f>
        <v>Tables</v>
      </c>
      <c r="M341" s="10" t="str">
        <f>_xlfn.XLOOKUP(B341,DataSet!$N$2:$N$600,DataSet!$Q$2:$Q$600,0)</f>
        <v>Hon 5100 Series Wood Tables</v>
      </c>
      <c r="N341" s="16">
        <f>_xlfn.XLOOKUP(B341,DataSet!$N$2:$N$600,DataSet!$AA$2:$AA$600,0)</f>
        <v>698.35199999999998</v>
      </c>
      <c r="O341" s="10">
        <f>_xlfn.XLOOKUP(B341,DataSet!$N$2:$N$600,DataSet!$S$2:$S$600,0)</f>
        <v>3</v>
      </c>
      <c r="P341" s="15">
        <f>_xlfn.XLOOKUP(B341,DataSet!$N$2:$N$600,DataSet!$T$2:$T$600,0)</f>
        <v>0.2</v>
      </c>
      <c r="Q341" s="14">
        <f>_xlfn.XLOOKUP(B341,DataSet!$N$2:$N$600,DataSet!$U$2:$U$600,0)</f>
        <v>-17.4588</v>
      </c>
      <c r="R341" s="16">
        <f>_xlfn.XLOOKUP(B341,DataSet!$N$2:$N$600,DataSet!$AB$2:$AB$600,0)</f>
        <v>2095.056</v>
      </c>
      <c r="S341" s="9">
        <f>_xlfn.XLOOKUP(B341,DataSet!$N$2:$N$600,DataSet!$AC$2:$AC$600,0)</f>
        <v>1676.0448000000001</v>
      </c>
    </row>
    <row r="342" spans="1:19" s="12" customFormat="1" x14ac:dyDescent="0.3">
      <c r="A342" s="27">
        <v>340</v>
      </c>
      <c r="B342" s="10" t="s">
        <v>1230</v>
      </c>
      <c r="C342" s="10" t="str">
        <f>_xlfn.XLOOKUP(B342,DataSet!$N$2:$N$600,DataSet!$AF$2:$AF$600,0)</f>
        <v>128167</v>
      </c>
      <c r="D342" s="10" t="str">
        <f>_xlfn.XLOOKUP(B342,DataSet!$N$2:$N$600,DataSet!$G$2:$G$600,0)</f>
        <v>Ken Lonsdale</v>
      </c>
      <c r="E342" s="10" t="str">
        <f>_xlfn.XLOOKUP(B342,DataSet!$N$2:$N$600,DataSet!$F$2:$F$600,0)</f>
        <v>KL-16645</v>
      </c>
      <c r="F342" s="10" t="str">
        <f>_xlfn.XLOOKUP(B342,DataSet!$N$2:$N$600,DataSet!$W$2:$W$600,0)</f>
        <v>Consumer</v>
      </c>
      <c r="G342" s="13">
        <f>_xlfn.XLOOKUP(B342,DataSet!$N$2:$N$600,DataSet!$C$2:$C$600,0)</f>
        <v>42177</v>
      </c>
      <c r="H342" s="10" t="str">
        <f>_xlfn.XLOOKUP(B342,DataSet!$N$2:$N$600,DataSet!$I$2:$I$600,0)</f>
        <v>United States</v>
      </c>
      <c r="I342" s="10" t="str">
        <f>_xlfn.XLOOKUP(B342,DataSet!$N$2:$N$600,DataSet!$X$2:$X$600,0)</f>
        <v>Layton - Utah</v>
      </c>
      <c r="J342" s="10" t="str">
        <f>_xlfn.XLOOKUP(B342,DataSet!$N$2:$N$600,DataSet!$M$2:$M$600,0)</f>
        <v>West</v>
      </c>
      <c r="K342" s="10" t="str">
        <f>_xlfn.XLOOKUP(B342,DataSet!$N$2:$N$600,DataSet!$O$2:$O$600,0)</f>
        <v>Office Supplies</v>
      </c>
      <c r="L342" s="10" t="str">
        <f>_xlfn.XLOOKUP(B342,DataSet!$N$2:$N$600,DataSet!$Y$2:$Y$600,0)</f>
        <v>Fasteners</v>
      </c>
      <c r="M342" s="10" t="str">
        <f>_xlfn.XLOOKUP(B342,DataSet!$N$2:$N$600,DataSet!$Q$2:$Q$600,0)</f>
        <v>OIC Binder Clips, Mini, 1/4" Capacity, Black</v>
      </c>
      <c r="N342" s="16">
        <f>_xlfn.XLOOKUP(B342,DataSet!$N$2:$N$600,DataSet!$AA$2:$AA$600,0)</f>
        <v>4.96</v>
      </c>
      <c r="O342" s="10">
        <f>_xlfn.XLOOKUP(B342,DataSet!$N$2:$N$600,DataSet!$S$2:$S$600,0)</f>
        <v>4</v>
      </c>
      <c r="P342" s="15">
        <f>_xlfn.XLOOKUP(B342,DataSet!$N$2:$N$600,DataSet!$T$2:$T$600,0)</f>
        <v>0</v>
      </c>
      <c r="Q342" s="14">
        <f>_xlfn.XLOOKUP(B342,DataSet!$N$2:$N$600,DataSet!$U$2:$U$600,0)</f>
        <v>2.3311999999999999</v>
      </c>
      <c r="R342" s="16">
        <f>_xlfn.XLOOKUP(B342,DataSet!$N$2:$N$600,DataSet!$AB$2:$AB$600,0)</f>
        <v>19.84</v>
      </c>
      <c r="S342" s="9">
        <f>_xlfn.XLOOKUP(B342,DataSet!$N$2:$N$600,DataSet!$AC$2:$AC$600,0)</f>
        <v>19.84</v>
      </c>
    </row>
    <row r="343" spans="1:19" s="12" customFormat="1" x14ac:dyDescent="0.3">
      <c r="A343" s="27">
        <v>341</v>
      </c>
      <c r="B343" s="10" t="s">
        <v>1233</v>
      </c>
      <c r="C343" s="10" t="str">
        <f>_xlfn.XLOOKUP(B343,DataSet!$N$2:$N$600,DataSet!$AF$2:$AF$600,0)</f>
        <v>122336</v>
      </c>
      <c r="D343" s="10" t="str">
        <f>_xlfn.XLOOKUP(B343,DataSet!$N$2:$N$600,DataSet!$G$2:$G$600,0)</f>
        <v>Jonathan Doherty</v>
      </c>
      <c r="E343" s="10" t="str">
        <f>_xlfn.XLOOKUP(B343,DataSet!$N$2:$N$600,DataSet!$F$2:$F$600,0)</f>
        <v>JD-15895</v>
      </c>
      <c r="F343" s="10" t="str">
        <f>_xlfn.XLOOKUP(B343,DataSet!$N$2:$N$600,DataSet!$W$2:$W$600,0)</f>
        <v>Corporate</v>
      </c>
      <c r="G343" s="13">
        <f>_xlfn.XLOOKUP(B343,DataSet!$N$2:$N$600,DataSet!$C$2:$C$600,0)</f>
        <v>41742</v>
      </c>
      <c r="H343" s="10" t="str">
        <f>_xlfn.XLOOKUP(B343,DataSet!$N$2:$N$600,DataSet!$I$2:$I$600,0)</f>
        <v>United States</v>
      </c>
      <c r="I343" s="10" t="str">
        <f>_xlfn.XLOOKUP(B343,DataSet!$N$2:$N$600,DataSet!$X$2:$X$600,0)</f>
        <v>Philadelphia - Pennsylvania</v>
      </c>
      <c r="J343" s="10" t="str">
        <f>_xlfn.XLOOKUP(B343,DataSet!$N$2:$N$600,DataSet!$M$2:$M$600,0)</f>
        <v>East</v>
      </c>
      <c r="K343" s="10" t="str">
        <f>_xlfn.XLOOKUP(B343,DataSet!$N$2:$N$600,DataSet!$O$2:$O$600,0)</f>
        <v>Office Supplies</v>
      </c>
      <c r="L343" s="10" t="str">
        <f>_xlfn.XLOOKUP(B343,DataSet!$N$2:$N$600,DataSet!$Y$2:$Y$600,0)</f>
        <v>Art</v>
      </c>
      <c r="M343" s="10" t="str">
        <f>_xlfn.XLOOKUP(B343,DataSet!$N$2:$N$600,DataSet!$Q$2:$Q$600,0)</f>
        <v>Newell 314</v>
      </c>
      <c r="N343" s="16">
        <f>_xlfn.XLOOKUP(B343,DataSet!$N$2:$N$600,DataSet!$AA$2:$AA$600,0)</f>
        <v>17.856000000000002</v>
      </c>
      <c r="O343" s="10">
        <f>_xlfn.XLOOKUP(B343,DataSet!$N$2:$N$600,DataSet!$S$2:$S$600,0)</f>
        <v>4</v>
      </c>
      <c r="P343" s="15">
        <f>_xlfn.XLOOKUP(B343,DataSet!$N$2:$N$600,DataSet!$T$2:$T$600,0)</f>
        <v>0.2</v>
      </c>
      <c r="Q343" s="14">
        <f>_xlfn.XLOOKUP(B343,DataSet!$N$2:$N$600,DataSet!$U$2:$U$600,0)</f>
        <v>1.1160000000000001</v>
      </c>
      <c r="R343" s="16">
        <f>_xlfn.XLOOKUP(B343,DataSet!$N$2:$N$600,DataSet!$AB$2:$AB$600,0)</f>
        <v>71.424000000000007</v>
      </c>
      <c r="S343" s="9">
        <f>_xlfn.XLOOKUP(B343,DataSet!$N$2:$N$600,DataSet!$AC$2:$AC$600,0)</f>
        <v>57.13920000000001</v>
      </c>
    </row>
    <row r="344" spans="1:19" s="12" customFormat="1" x14ac:dyDescent="0.3">
      <c r="A344" s="27">
        <v>342</v>
      </c>
      <c r="B344" s="10" t="s">
        <v>95</v>
      </c>
      <c r="C344" s="10" t="str">
        <f>_xlfn.XLOOKUP(B344,DataSet!$N$2:$N$600,DataSet!$AF$2:$AF$600,0)</f>
        <v>161389</v>
      </c>
      <c r="D344" s="10" t="str">
        <f>_xlfn.XLOOKUP(B344,DataSet!$N$2:$N$600,DataSet!$G$2:$G$600,0)</f>
        <v>Irene Maddox</v>
      </c>
      <c r="E344" s="10" t="str">
        <f>_xlfn.XLOOKUP(B344,DataSet!$N$2:$N$600,DataSet!$F$2:$F$600,0)</f>
        <v>IM-15070</v>
      </c>
      <c r="F344" s="10" t="str">
        <f>_xlfn.XLOOKUP(B344,DataSet!$N$2:$N$600,DataSet!$W$2:$W$600,0)</f>
        <v>Consumer</v>
      </c>
      <c r="G344" s="13">
        <f>_xlfn.XLOOKUP(B344,DataSet!$N$2:$N$600,DataSet!$C$2:$C$600,0)</f>
        <v>42709</v>
      </c>
      <c r="H344" s="10" t="str">
        <f>_xlfn.XLOOKUP(B344,DataSet!$N$2:$N$600,DataSet!$I$2:$I$600,0)</f>
        <v>United States</v>
      </c>
      <c r="I344" s="10" t="str">
        <f>_xlfn.XLOOKUP(B344,DataSet!$N$2:$N$600,DataSet!$X$2:$X$600,0)</f>
        <v>Seattle - Washington</v>
      </c>
      <c r="J344" s="10" t="str">
        <f>_xlfn.XLOOKUP(B344,DataSet!$N$2:$N$600,DataSet!$M$2:$M$600,0)</f>
        <v>West</v>
      </c>
      <c r="K344" s="10" t="str">
        <f>_xlfn.XLOOKUP(B344,DataSet!$N$2:$N$600,DataSet!$O$2:$O$600,0)</f>
        <v>Office Supplies</v>
      </c>
      <c r="L344" s="10" t="str">
        <f>_xlfn.XLOOKUP(B344,DataSet!$N$2:$N$600,DataSet!$Y$2:$Y$600,0)</f>
        <v>Binders</v>
      </c>
      <c r="M344" s="10" t="str">
        <f>_xlfn.XLOOKUP(B344,DataSet!$N$2:$N$600,DataSet!$Q$2:$Q$600,0)</f>
        <v>Fellowes PB200 Plastic Comb Binding Machine</v>
      </c>
      <c r="N344" s="16">
        <f>_xlfn.XLOOKUP(B344,DataSet!$N$2:$N$600,DataSet!$AA$2:$AA$600,0)</f>
        <v>407.976</v>
      </c>
      <c r="O344" s="10">
        <f>_xlfn.XLOOKUP(B344,DataSet!$N$2:$N$600,DataSet!$S$2:$S$600,0)</f>
        <v>3</v>
      </c>
      <c r="P344" s="15">
        <f>_xlfn.XLOOKUP(B344,DataSet!$N$2:$N$600,DataSet!$T$2:$T$600,0)</f>
        <v>0.2</v>
      </c>
      <c r="Q344" s="14">
        <f>_xlfn.XLOOKUP(B344,DataSet!$N$2:$N$600,DataSet!$U$2:$U$600,0)</f>
        <v>132.59219999999999</v>
      </c>
      <c r="R344" s="16">
        <f>_xlfn.XLOOKUP(B344,DataSet!$N$2:$N$600,DataSet!$AB$2:$AB$600,0)</f>
        <v>1223.9279999999999</v>
      </c>
      <c r="S344" s="9">
        <f>_xlfn.XLOOKUP(B344,DataSet!$N$2:$N$600,DataSet!$AC$2:$AC$600,0)</f>
        <v>979.14239999999995</v>
      </c>
    </row>
    <row r="345" spans="1:19" s="12" customFormat="1" x14ac:dyDescent="0.3">
      <c r="A345" s="27">
        <v>343</v>
      </c>
      <c r="B345" s="10" t="s">
        <v>560</v>
      </c>
      <c r="C345" s="10" t="str">
        <f>_xlfn.XLOOKUP(B345,DataSet!$N$2:$N$600,DataSet!$AF$2:$AF$600,0)</f>
        <v>164147</v>
      </c>
      <c r="D345" s="10" t="str">
        <f>_xlfn.XLOOKUP(B345,DataSet!$N$2:$N$600,DataSet!$G$2:$G$600,0)</f>
        <v>Dorothy Wardle</v>
      </c>
      <c r="E345" s="10" t="str">
        <f>_xlfn.XLOOKUP(B345,DataSet!$N$2:$N$600,DataSet!$F$2:$F$600,0)</f>
        <v>DW-13585</v>
      </c>
      <c r="F345" s="10" t="str">
        <f>_xlfn.XLOOKUP(B345,DataSet!$N$2:$N$600,DataSet!$W$2:$W$600,0)</f>
        <v>Corporate</v>
      </c>
      <c r="G345" s="13">
        <f>_xlfn.XLOOKUP(B345,DataSet!$N$2:$N$600,DataSet!$C$2:$C$600,0)</f>
        <v>42768</v>
      </c>
      <c r="H345" s="10" t="str">
        <f>_xlfn.XLOOKUP(B345,DataSet!$N$2:$N$600,DataSet!$I$2:$I$600,0)</f>
        <v>United States</v>
      </c>
      <c r="I345" s="10" t="str">
        <f>_xlfn.XLOOKUP(B345,DataSet!$N$2:$N$600,DataSet!$X$2:$X$600,0)</f>
        <v>Columbus - Ohio</v>
      </c>
      <c r="J345" s="10" t="str">
        <f>_xlfn.XLOOKUP(B345,DataSet!$N$2:$N$600,DataSet!$M$2:$M$600,0)</f>
        <v>East</v>
      </c>
      <c r="K345" s="10" t="str">
        <f>_xlfn.XLOOKUP(B345,DataSet!$N$2:$N$600,DataSet!$O$2:$O$600,0)</f>
        <v>Office Supplies</v>
      </c>
      <c r="L345" s="10" t="str">
        <f>_xlfn.XLOOKUP(B345,DataSet!$N$2:$N$600,DataSet!$Y$2:$Y$600,0)</f>
        <v>Fasteners</v>
      </c>
      <c r="M345" s="10" t="str">
        <f>_xlfn.XLOOKUP(B345,DataSet!$N$2:$N$600,DataSet!$Q$2:$Q$600,0)</f>
        <v>Staples</v>
      </c>
      <c r="N345" s="16">
        <f>_xlfn.XLOOKUP(B345,DataSet!$N$2:$N$600,DataSet!$AA$2:$AA$600,0)</f>
        <v>21.456</v>
      </c>
      <c r="O345" s="10">
        <f>_xlfn.XLOOKUP(B345,DataSet!$N$2:$N$600,DataSet!$S$2:$S$600,0)</f>
        <v>9</v>
      </c>
      <c r="P345" s="15">
        <f>_xlfn.XLOOKUP(B345,DataSet!$N$2:$N$600,DataSet!$T$2:$T$600,0)</f>
        <v>0.2</v>
      </c>
      <c r="Q345" s="14">
        <f>_xlfn.XLOOKUP(B345,DataSet!$N$2:$N$600,DataSet!$U$2:$U$600,0)</f>
        <v>6.9732000000000003</v>
      </c>
      <c r="R345" s="16">
        <f>_xlfn.XLOOKUP(B345,DataSet!$N$2:$N$600,DataSet!$AB$2:$AB$600,0)</f>
        <v>193.10399999999998</v>
      </c>
      <c r="S345" s="9">
        <f>_xlfn.XLOOKUP(B345,DataSet!$N$2:$N$600,DataSet!$AC$2:$AC$600,0)</f>
        <v>154.48320000000001</v>
      </c>
    </row>
    <row r="346" spans="1:19" s="12" customFormat="1" x14ac:dyDescent="0.3">
      <c r="A346" s="27">
        <v>344</v>
      </c>
      <c r="B346" s="10" t="s">
        <v>1235</v>
      </c>
      <c r="C346" s="10" t="str">
        <f>_xlfn.XLOOKUP(B346,DataSet!$N$2:$N$600,DataSet!$AF$2:$AF$600,0)</f>
        <v>122336</v>
      </c>
      <c r="D346" s="10" t="str">
        <f>_xlfn.XLOOKUP(B346,DataSet!$N$2:$N$600,DataSet!$G$2:$G$600,0)</f>
        <v>Jonathan Doherty</v>
      </c>
      <c r="E346" s="10" t="str">
        <f>_xlfn.XLOOKUP(B346,DataSet!$N$2:$N$600,DataSet!$F$2:$F$600,0)</f>
        <v>JD-15895</v>
      </c>
      <c r="F346" s="10" t="str">
        <f>_xlfn.XLOOKUP(B346,DataSet!$N$2:$N$600,DataSet!$W$2:$W$600,0)</f>
        <v>Corporate</v>
      </c>
      <c r="G346" s="13">
        <f>_xlfn.XLOOKUP(B346,DataSet!$N$2:$N$600,DataSet!$C$2:$C$600,0)</f>
        <v>41742</v>
      </c>
      <c r="H346" s="10" t="str">
        <f>_xlfn.XLOOKUP(B346,DataSet!$N$2:$N$600,DataSet!$I$2:$I$600,0)</f>
        <v>United States</v>
      </c>
      <c r="I346" s="10" t="str">
        <f>_xlfn.XLOOKUP(B346,DataSet!$N$2:$N$600,DataSet!$X$2:$X$600,0)</f>
        <v>Philadelphia - Pennsylvania</v>
      </c>
      <c r="J346" s="10" t="str">
        <f>_xlfn.XLOOKUP(B346,DataSet!$N$2:$N$600,DataSet!$M$2:$M$600,0)</f>
        <v>East</v>
      </c>
      <c r="K346" s="10" t="str">
        <f>_xlfn.XLOOKUP(B346,DataSet!$N$2:$N$600,DataSet!$O$2:$O$600,0)</f>
        <v>Technology</v>
      </c>
      <c r="L346" s="10" t="str">
        <f>_xlfn.XLOOKUP(B346,DataSet!$N$2:$N$600,DataSet!$Y$2:$Y$600,0)</f>
        <v>Phones</v>
      </c>
      <c r="M346" s="10" t="str">
        <f>_xlfn.XLOOKUP(B346,DataSet!$N$2:$N$600,DataSet!$Q$2:$Q$600,0)</f>
        <v>Square Credit Card Reader, 4 1/2" x 4 1/2" x 1", White</v>
      </c>
      <c r="N346" s="16">
        <f>_xlfn.XLOOKUP(B346,DataSet!$N$2:$N$600,DataSet!$AA$2:$AA$600,0)</f>
        <v>71.927999999999997</v>
      </c>
      <c r="O346" s="10">
        <f>_xlfn.XLOOKUP(B346,DataSet!$N$2:$N$600,DataSet!$S$2:$S$600,0)</f>
        <v>12</v>
      </c>
      <c r="P346" s="15">
        <f>_xlfn.XLOOKUP(B346,DataSet!$N$2:$N$600,DataSet!$T$2:$T$600,0)</f>
        <v>0.4</v>
      </c>
      <c r="Q346" s="14">
        <f>_xlfn.XLOOKUP(B346,DataSet!$N$2:$N$600,DataSet!$U$2:$U$600,0)</f>
        <v>8.3916000000000004</v>
      </c>
      <c r="R346" s="16">
        <f>_xlfn.XLOOKUP(B346,DataSet!$N$2:$N$600,DataSet!$AB$2:$AB$600,0)</f>
        <v>863.13599999999997</v>
      </c>
      <c r="S346" s="9">
        <f>_xlfn.XLOOKUP(B346,DataSet!$N$2:$N$600,DataSet!$AC$2:$AC$600,0)</f>
        <v>517.88159999999993</v>
      </c>
    </row>
    <row r="347" spans="1:19" s="12" customFormat="1" x14ac:dyDescent="0.3">
      <c r="A347" s="27">
        <v>345</v>
      </c>
      <c r="B347" s="10" t="s">
        <v>120</v>
      </c>
      <c r="C347" s="10" t="str">
        <f>_xlfn.XLOOKUP(B347,DataSet!$N$2:$N$600,DataSet!$AF$2:$AF$600,0)</f>
        <v>167164</v>
      </c>
      <c r="D347" s="10" t="str">
        <f>_xlfn.XLOOKUP(B347,DataSet!$N$2:$N$600,DataSet!$G$2:$G$600,0)</f>
        <v>Alejandro Grove</v>
      </c>
      <c r="E347" s="10" t="str">
        <f>_xlfn.XLOOKUP(B347,DataSet!$N$2:$N$600,DataSet!$F$2:$F$600,0)</f>
        <v>AG-10270</v>
      </c>
      <c r="F347" s="10" t="str">
        <f>_xlfn.XLOOKUP(B347,DataSet!$N$2:$N$600,DataSet!$W$2:$W$600,0)</f>
        <v>Consumer</v>
      </c>
      <c r="G347" s="13">
        <f>_xlfn.XLOOKUP(B347,DataSet!$N$2:$N$600,DataSet!$C$2:$C$600,0)</f>
        <v>41772</v>
      </c>
      <c r="H347" s="10" t="str">
        <f>_xlfn.XLOOKUP(B347,DataSet!$N$2:$N$600,DataSet!$I$2:$I$600,0)</f>
        <v>United States</v>
      </c>
      <c r="I347" s="10" t="str">
        <f>_xlfn.XLOOKUP(B347,DataSet!$N$2:$N$600,DataSet!$X$2:$X$600,0)</f>
        <v>West Jordan - Utah</v>
      </c>
      <c r="J347" s="10" t="str">
        <f>_xlfn.XLOOKUP(B347,DataSet!$N$2:$N$600,DataSet!$M$2:$M$600,0)</f>
        <v>West</v>
      </c>
      <c r="K347" s="10" t="str">
        <f>_xlfn.XLOOKUP(B347,DataSet!$N$2:$N$600,DataSet!$O$2:$O$600,0)</f>
        <v>Office Supplies</v>
      </c>
      <c r="L347" s="10" t="str">
        <f>_xlfn.XLOOKUP(B347,DataSet!$N$2:$N$600,DataSet!$Y$2:$Y$600,0)</f>
        <v>Storage</v>
      </c>
      <c r="M347" s="10" t="str">
        <f>_xlfn.XLOOKUP(B347,DataSet!$N$2:$N$600,DataSet!$Q$2:$Q$600,0)</f>
        <v>Fellowes Super Stor/Drawer</v>
      </c>
      <c r="N347" s="16">
        <f>_xlfn.XLOOKUP(B347,DataSet!$N$2:$N$600,DataSet!$AA$2:$AA$600,0)</f>
        <v>55.5</v>
      </c>
      <c r="O347" s="10">
        <f>_xlfn.XLOOKUP(B347,DataSet!$N$2:$N$600,DataSet!$S$2:$S$600,0)</f>
        <v>2</v>
      </c>
      <c r="P347" s="15">
        <f>_xlfn.XLOOKUP(B347,DataSet!$N$2:$N$600,DataSet!$T$2:$T$600,0)</f>
        <v>0</v>
      </c>
      <c r="Q347" s="14">
        <f>_xlfn.XLOOKUP(B347,DataSet!$N$2:$N$600,DataSet!$U$2:$U$600,0)</f>
        <v>9.99</v>
      </c>
      <c r="R347" s="16">
        <f>_xlfn.XLOOKUP(B347,DataSet!$N$2:$N$600,DataSet!$AB$2:$AB$600,0)</f>
        <v>111</v>
      </c>
      <c r="S347" s="9">
        <f>_xlfn.XLOOKUP(B347,DataSet!$N$2:$N$600,DataSet!$AC$2:$AC$600,0)</f>
        <v>111</v>
      </c>
    </row>
    <row r="348" spans="1:19" s="12" customFormat="1" x14ac:dyDescent="0.3">
      <c r="A348" s="27">
        <v>346</v>
      </c>
      <c r="B348" s="10" t="s">
        <v>556</v>
      </c>
      <c r="C348" s="10" t="str">
        <f>_xlfn.XLOOKUP(B348,DataSet!$N$2:$N$600,DataSet!$AF$2:$AF$600,0)</f>
        <v>164147</v>
      </c>
      <c r="D348" s="10" t="str">
        <f>_xlfn.XLOOKUP(B348,DataSet!$N$2:$N$600,DataSet!$G$2:$G$600,0)</f>
        <v>Dorothy Wardle</v>
      </c>
      <c r="E348" s="10" t="str">
        <f>_xlfn.XLOOKUP(B348,DataSet!$N$2:$N$600,DataSet!$F$2:$F$600,0)</f>
        <v>DW-13585</v>
      </c>
      <c r="F348" s="10" t="str">
        <f>_xlfn.XLOOKUP(B348,DataSet!$N$2:$N$600,DataSet!$W$2:$W$600,0)</f>
        <v>Corporate</v>
      </c>
      <c r="G348" s="13">
        <f>_xlfn.XLOOKUP(B348,DataSet!$N$2:$N$600,DataSet!$C$2:$C$600,0)</f>
        <v>42768</v>
      </c>
      <c r="H348" s="10" t="str">
        <f>_xlfn.XLOOKUP(B348,DataSet!$N$2:$N$600,DataSet!$I$2:$I$600,0)</f>
        <v>United States</v>
      </c>
      <c r="I348" s="10" t="str">
        <f>_xlfn.XLOOKUP(B348,DataSet!$N$2:$N$600,DataSet!$X$2:$X$600,0)</f>
        <v>Columbus - Ohio</v>
      </c>
      <c r="J348" s="10" t="str">
        <f>_xlfn.XLOOKUP(B348,DataSet!$N$2:$N$600,DataSet!$M$2:$M$600,0)</f>
        <v>East</v>
      </c>
      <c r="K348" s="10" t="str">
        <f>_xlfn.XLOOKUP(B348,DataSet!$N$2:$N$600,DataSet!$O$2:$O$600,0)</f>
        <v>Technology</v>
      </c>
      <c r="L348" s="10" t="str">
        <f>_xlfn.XLOOKUP(B348,DataSet!$N$2:$N$600,DataSet!$Y$2:$Y$600,0)</f>
        <v>Phones</v>
      </c>
      <c r="M348" s="10" t="str">
        <f>_xlfn.XLOOKUP(B348,DataSet!$N$2:$N$600,DataSet!$Q$2:$Q$600,0)</f>
        <v>Anker 36W 4-Port USB Wall Charger Travel Power Adapter for iPhone 5s 5c 5</v>
      </c>
      <c r="N348" s="16">
        <f>_xlfn.XLOOKUP(B348,DataSet!$N$2:$N$600,DataSet!$AA$2:$AA$600,0)</f>
        <v>59.97</v>
      </c>
      <c r="O348" s="10">
        <f>_xlfn.XLOOKUP(B348,DataSet!$N$2:$N$600,DataSet!$S$2:$S$600,0)</f>
        <v>5</v>
      </c>
      <c r="P348" s="15">
        <f>_xlfn.XLOOKUP(B348,DataSet!$N$2:$N$600,DataSet!$T$2:$T$600,0)</f>
        <v>0.4</v>
      </c>
      <c r="Q348" s="14">
        <f>_xlfn.XLOOKUP(B348,DataSet!$N$2:$N$600,DataSet!$U$2:$U$600,0)</f>
        <v>-11.994</v>
      </c>
      <c r="R348" s="16">
        <f>_xlfn.XLOOKUP(B348,DataSet!$N$2:$N$600,DataSet!$AB$2:$AB$600,0)</f>
        <v>299.85000000000002</v>
      </c>
      <c r="S348" s="9">
        <f>_xlfn.XLOOKUP(B348,DataSet!$N$2:$N$600,DataSet!$AC$2:$AC$600,0)</f>
        <v>179.91</v>
      </c>
    </row>
    <row r="349" spans="1:19" s="12" customFormat="1" x14ac:dyDescent="0.3">
      <c r="A349" s="27">
        <v>347</v>
      </c>
      <c r="B349" s="10" t="s">
        <v>782</v>
      </c>
      <c r="C349" s="10" t="str">
        <f>_xlfn.XLOOKUP(B349,DataSet!$N$2:$N$600,DataSet!$AF$2:$AF$600,0)</f>
        <v>140004</v>
      </c>
      <c r="D349" s="10" t="str">
        <f>_xlfn.XLOOKUP(B349,DataSet!$N$2:$N$600,DataSet!$G$2:$G$600,0)</f>
        <v>Cassandra Brandow</v>
      </c>
      <c r="E349" s="10" t="str">
        <f>_xlfn.XLOOKUP(B349,DataSet!$N$2:$N$600,DataSet!$F$2:$F$600,0)</f>
        <v>CB-12025</v>
      </c>
      <c r="F349" s="10" t="str">
        <f>_xlfn.XLOOKUP(B349,DataSet!$N$2:$N$600,DataSet!$W$2:$W$600,0)</f>
        <v>Consumer</v>
      </c>
      <c r="G349" s="13">
        <f>_xlfn.XLOOKUP(B349,DataSet!$N$2:$N$600,DataSet!$C$2:$C$600,0)</f>
        <v>41719</v>
      </c>
      <c r="H349" s="10" t="str">
        <f>_xlfn.XLOOKUP(B349,DataSet!$N$2:$N$600,DataSet!$I$2:$I$600,0)</f>
        <v>United States</v>
      </c>
      <c r="I349" s="10" t="str">
        <f>_xlfn.XLOOKUP(B349,DataSet!$N$2:$N$600,DataSet!$X$2:$X$600,0)</f>
        <v>Hamilton - Ohio</v>
      </c>
      <c r="J349" s="10" t="str">
        <f>_xlfn.XLOOKUP(B349,DataSet!$N$2:$N$600,DataSet!$M$2:$M$600,0)</f>
        <v>East</v>
      </c>
      <c r="K349" s="10" t="str">
        <f>_xlfn.XLOOKUP(B349,DataSet!$N$2:$N$600,DataSet!$O$2:$O$600,0)</f>
        <v>Office Supplies</v>
      </c>
      <c r="L349" s="10" t="str">
        <f>_xlfn.XLOOKUP(B349,DataSet!$N$2:$N$600,DataSet!$Y$2:$Y$600,0)</f>
        <v>Art</v>
      </c>
      <c r="M349" s="10" t="str">
        <f>_xlfn.XLOOKUP(B349,DataSet!$N$2:$N$600,DataSet!$Q$2:$Q$600,0)</f>
        <v>Binney &amp; Smith inkTank Erasable Desk Highlighter, Chisel Tip, Yellow, 12/Box</v>
      </c>
      <c r="N349" s="16">
        <f>_xlfn.XLOOKUP(B349,DataSet!$N$2:$N$600,DataSet!$AA$2:$AA$600,0)</f>
        <v>6.048</v>
      </c>
      <c r="O349" s="10">
        <f>_xlfn.XLOOKUP(B349,DataSet!$N$2:$N$600,DataSet!$S$2:$S$600,0)</f>
        <v>3</v>
      </c>
      <c r="P349" s="15">
        <f>_xlfn.XLOOKUP(B349,DataSet!$N$2:$N$600,DataSet!$T$2:$T$600,0)</f>
        <v>0.2</v>
      </c>
      <c r="Q349" s="14">
        <f>_xlfn.XLOOKUP(B349,DataSet!$N$2:$N$600,DataSet!$U$2:$U$600,0)</f>
        <v>1.5875999999999999</v>
      </c>
      <c r="R349" s="16">
        <f>_xlfn.XLOOKUP(B349,DataSet!$N$2:$N$600,DataSet!$AB$2:$AB$600,0)</f>
        <v>18.143999999999998</v>
      </c>
      <c r="S349" s="9">
        <f>_xlfn.XLOOKUP(B349,DataSet!$N$2:$N$600,DataSet!$AC$2:$AC$600,0)</f>
        <v>14.5152</v>
      </c>
    </row>
    <row r="350" spans="1:19" s="12" customFormat="1" x14ac:dyDescent="0.3">
      <c r="A350" s="27">
        <v>348</v>
      </c>
      <c r="B350" s="10" t="s">
        <v>183</v>
      </c>
      <c r="C350" s="10" t="str">
        <f>_xlfn.XLOOKUP(B350,DataSet!$N$2:$N$600,DataSet!$AF$2:$AF$600,0)</f>
        <v>107727</v>
      </c>
      <c r="D350" s="10" t="str">
        <f>_xlfn.XLOOKUP(B350,DataSet!$N$2:$N$600,DataSet!$G$2:$G$600,0)</f>
        <v>Matt Abelman</v>
      </c>
      <c r="E350" s="10" t="str">
        <f>_xlfn.XLOOKUP(B350,DataSet!$N$2:$N$600,DataSet!$F$2:$F$600,0)</f>
        <v>MA-17560</v>
      </c>
      <c r="F350" s="10" t="str">
        <f>_xlfn.XLOOKUP(B350,DataSet!$N$2:$N$600,DataSet!$W$2:$W$600,0)</f>
        <v>Home Office</v>
      </c>
      <c r="G350" s="13">
        <f>_xlfn.XLOOKUP(B350,DataSet!$N$2:$N$600,DataSet!$C$2:$C$600,0)</f>
        <v>43027</v>
      </c>
      <c r="H350" s="10" t="str">
        <f>_xlfn.XLOOKUP(B350,DataSet!$N$2:$N$600,DataSet!$I$2:$I$600,0)</f>
        <v>United States</v>
      </c>
      <c r="I350" s="10" t="str">
        <f>_xlfn.XLOOKUP(B350,DataSet!$N$2:$N$600,DataSet!$X$2:$X$600,0)</f>
        <v>Houston - Texas</v>
      </c>
      <c r="J350" s="10" t="str">
        <f>_xlfn.XLOOKUP(B350,DataSet!$N$2:$N$600,DataSet!$M$2:$M$600,0)</f>
        <v>Central</v>
      </c>
      <c r="K350" s="10" t="str">
        <f>_xlfn.XLOOKUP(B350,DataSet!$N$2:$N$600,DataSet!$O$2:$O$600,0)</f>
        <v>Office Supplies</v>
      </c>
      <c r="L350" s="10" t="str">
        <f>_xlfn.XLOOKUP(B350,DataSet!$N$2:$N$600,DataSet!$Y$2:$Y$600,0)</f>
        <v>Paper</v>
      </c>
      <c r="M350" s="10" t="str">
        <f>_xlfn.XLOOKUP(B350,DataSet!$N$2:$N$600,DataSet!$Q$2:$Q$600,0)</f>
        <v>Easy-staple paper</v>
      </c>
      <c r="N350" s="16">
        <f>_xlfn.XLOOKUP(B350,DataSet!$N$2:$N$600,DataSet!$AA$2:$AA$600,0)</f>
        <v>29.472000000000001</v>
      </c>
      <c r="O350" s="10">
        <f>_xlfn.XLOOKUP(B350,DataSet!$N$2:$N$600,DataSet!$S$2:$S$600,0)</f>
        <v>3</v>
      </c>
      <c r="P350" s="15">
        <f>_xlfn.XLOOKUP(B350,DataSet!$N$2:$N$600,DataSet!$T$2:$T$600,0)</f>
        <v>0.2</v>
      </c>
      <c r="Q350" s="14">
        <f>_xlfn.XLOOKUP(B350,DataSet!$N$2:$N$600,DataSet!$U$2:$U$600,0)</f>
        <v>9.9467999999999996</v>
      </c>
      <c r="R350" s="16">
        <f>_xlfn.XLOOKUP(B350,DataSet!$N$2:$N$600,DataSet!$AB$2:$AB$600,0)</f>
        <v>88.415999999999997</v>
      </c>
      <c r="S350" s="9">
        <f>_xlfn.XLOOKUP(B350,DataSet!$N$2:$N$600,DataSet!$AC$2:$AC$600,0)</f>
        <v>70.732799999999997</v>
      </c>
    </row>
    <row r="351" spans="1:19" s="12" customFormat="1" x14ac:dyDescent="0.3">
      <c r="A351" s="27">
        <v>349</v>
      </c>
      <c r="B351" s="10" t="s">
        <v>1247</v>
      </c>
      <c r="C351" s="10" t="str">
        <f>_xlfn.XLOOKUP(B351,DataSet!$N$2:$N$600,DataSet!$AF$2:$AF$600,0)</f>
        <v>134306</v>
      </c>
      <c r="D351" s="10" t="str">
        <f>_xlfn.XLOOKUP(B351,DataSet!$N$2:$N$600,DataSet!$G$2:$G$600,0)</f>
        <v>Tamara Dahlen</v>
      </c>
      <c r="E351" s="10" t="str">
        <f>_xlfn.XLOOKUP(B351,DataSet!$N$2:$N$600,DataSet!$F$2:$F$600,0)</f>
        <v>TD-20995</v>
      </c>
      <c r="F351" s="10" t="str">
        <f>_xlfn.XLOOKUP(B351,DataSet!$N$2:$N$600,DataSet!$W$2:$W$600,0)</f>
        <v>Consumer</v>
      </c>
      <c r="G351" s="13">
        <f>_xlfn.XLOOKUP(B351,DataSet!$N$2:$N$600,DataSet!$C$2:$C$600,0)</f>
        <v>42924</v>
      </c>
      <c r="H351" s="10" t="str">
        <f>_xlfn.XLOOKUP(B351,DataSet!$N$2:$N$600,DataSet!$I$2:$I$600,0)</f>
        <v>United States</v>
      </c>
      <c r="I351" s="10" t="str">
        <f>_xlfn.XLOOKUP(B351,DataSet!$N$2:$N$600,DataSet!$X$2:$X$600,0)</f>
        <v>Lowell - Massachusetts</v>
      </c>
      <c r="J351" s="10" t="str">
        <f>_xlfn.XLOOKUP(B351,DataSet!$N$2:$N$600,DataSet!$M$2:$M$600,0)</f>
        <v>East</v>
      </c>
      <c r="K351" s="10" t="str">
        <f>_xlfn.XLOOKUP(B351,DataSet!$N$2:$N$600,DataSet!$O$2:$O$600,0)</f>
        <v>Office Supplies</v>
      </c>
      <c r="L351" s="10" t="str">
        <f>_xlfn.XLOOKUP(B351,DataSet!$N$2:$N$600,DataSet!$Y$2:$Y$600,0)</f>
        <v>Art</v>
      </c>
      <c r="M351" s="10" t="str">
        <f>_xlfn.XLOOKUP(B351,DataSet!$N$2:$N$600,DataSet!$Q$2:$Q$600,0)</f>
        <v>BIC Brite Liner Highlighters, Chisel Tip</v>
      </c>
      <c r="N351" s="16">
        <f>_xlfn.XLOOKUP(B351,DataSet!$N$2:$N$600,DataSet!$AA$2:$AA$600,0)</f>
        <v>12.96</v>
      </c>
      <c r="O351" s="10">
        <f>_xlfn.XLOOKUP(B351,DataSet!$N$2:$N$600,DataSet!$S$2:$S$600,0)</f>
        <v>2</v>
      </c>
      <c r="P351" s="15">
        <f>_xlfn.XLOOKUP(B351,DataSet!$N$2:$N$600,DataSet!$T$2:$T$600,0)</f>
        <v>0</v>
      </c>
      <c r="Q351" s="14">
        <f>_xlfn.XLOOKUP(B351,DataSet!$N$2:$N$600,DataSet!$U$2:$U$600,0)</f>
        <v>4.1471999999999998</v>
      </c>
      <c r="R351" s="16">
        <f>_xlfn.XLOOKUP(B351,DataSet!$N$2:$N$600,DataSet!$AB$2:$AB$600,0)</f>
        <v>25.92</v>
      </c>
      <c r="S351" s="9">
        <f>_xlfn.XLOOKUP(B351,DataSet!$N$2:$N$600,DataSet!$AC$2:$AC$600,0)</f>
        <v>25.92</v>
      </c>
    </row>
    <row r="352" spans="1:19" s="12" customFormat="1" x14ac:dyDescent="0.3">
      <c r="A352" s="27">
        <v>350</v>
      </c>
      <c r="B352" s="10" t="s">
        <v>968</v>
      </c>
      <c r="C352" s="10" t="str">
        <f>_xlfn.XLOOKUP(B352,DataSet!$N$2:$N$600,DataSet!$AF$2:$AF$600,0)</f>
        <v>163139</v>
      </c>
      <c r="D352" s="10" t="str">
        <f>_xlfn.XLOOKUP(B352,DataSet!$N$2:$N$600,DataSet!$G$2:$G$600,0)</f>
        <v>Craig Carreira</v>
      </c>
      <c r="E352" s="10" t="str">
        <f>_xlfn.XLOOKUP(B352,DataSet!$N$2:$N$600,DataSet!$F$2:$F$600,0)</f>
        <v>CC-12670</v>
      </c>
      <c r="F352" s="10" t="str">
        <f>_xlfn.XLOOKUP(B352,DataSet!$N$2:$N$600,DataSet!$W$2:$W$600,0)</f>
        <v>Consumer</v>
      </c>
      <c r="G352" s="13">
        <f>_xlfn.XLOOKUP(B352,DataSet!$N$2:$N$600,DataSet!$C$2:$C$600,0)</f>
        <v>43070</v>
      </c>
      <c r="H352" s="10" t="str">
        <f>_xlfn.XLOOKUP(B352,DataSet!$N$2:$N$600,DataSet!$I$2:$I$600,0)</f>
        <v>United States</v>
      </c>
      <c r="I352" s="10" t="str">
        <f>_xlfn.XLOOKUP(B352,DataSet!$N$2:$N$600,DataSet!$X$2:$X$600,0)</f>
        <v>New York City - New York</v>
      </c>
      <c r="J352" s="10" t="str">
        <f>_xlfn.XLOOKUP(B352,DataSet!$N$2:$N$600,DataSet!$M$2:$M$600,0)</f>
        <v>East</v>
      </c>
      <c r="K352" s="10" t="str">
        <f>_xlfn.XLOOKUP(B352,DataSet!$N$2:$N$600,DataSet!$O$2:$O$600,0)</f>
        <v>Technology</v>
      </c>
      <c r="L352" s="10" t="str">
        <f>_xlfn.XLOOKUP(B352,DataSet!$N$2:$N$600,DataSet!$Y$2:$Y$600,0)</f>
        <v>Accessories</v>
      </c>
      <c r="M352" s="10" t="str">
        <f>_xlfn.XLOOKUP(B352,DataSet!$N$2:$N$600,DataSet!$Q$2:$Q$600,0)</f>
        <v>Sabrent 4-Port USB 2.0 Hub</v>
      </c>
      <c r="N352" s="16">
        <f>_xlfn.XLOOKUP(B352,DataSet!$N$2:$N$600,DataSet!$AA$2:$AA$600,0)</f>
        <v>20.37</v>
      </c>
      <c r="O352" s="10">
        <f>_xlfn.XLOOKUP(B352,DataSet!$N$2:$N$600,DataSet!$S$2:$S$600,0)</f>
        <v>3</v>
      </c>
      <c r="P352" s="15">
        <f>_xlfn.XLOOKUP(B352,DataSet!$N$2:$N$600,DataSet!$T$2:$T$600,0)</f>
        <v>0</v>
      </c>
      <c r="Q352" s="14">
        <f>_xlfn.XLOOKUP(B352,DataSet!$N$2:$N$600,DataSet!$U$2:$U$600,0)</f>
        <v>6.9257999999999997</v>
      </c>
      <c r="R352" s="16">
        <f>_xlfn.XLOOKUP(B352,DataSet!$N$2:$N$600,DataSet!$AB$2:$AB$600,0)</f>
        <v>61.11</v>
      </c>
      <c r="S352" s="9">
        <f>_xlfn.XLOOKUP(B352,DataSet!$N$2:$N$600,DataSet!$AC$2:$AC$600,0)</f>
        <v>61.11</v>
      </c>
    </row>
    <row r="353" spans="1:19" s="12" customFormat="1" x14ac:dyDescent="0.3">
      <c r="A353" s="27">
        <v>351</v>
      </c>
      <c r="B353" s="10" t="s">
        <v>1252</v>
      </c>
      <c r="C353" s="10" t="str">
        <f>_xlfn.XLOOKUP(B353,DataSet!$N$2:$N$600,DataSet!$AF$2:$AF$600,0)</f>
        <v>129714</v>
      </c>
      <c r="D353" s="10" t="str">
        <f>_xlfn.XLOOKUP(B353,DataSet!$N$2:$N$600,DataSet!$G$2:$G$600,0)</f>
        <v>Adam Bellavance</v>
      </c>
      <c r="E353" s="10" t="str">
        <f>_xlfn.XLOOKUP(B353,DataSet!$N$2:$N$600,DataSet!$F$2:$F$600,0)</f>
        <v>AB-10060</v>
      </c>
      <c r="F353" s="10" t="str">
        <f>_xlfn.XLOOKUP(B353,DataSet!$N$2:$N$600,DataSet!$W$2:$W$600,0)</f>
        <v>Home Office</v>
      </c>
      <c r="G353" s="13">
        <f>_xlfn.XLOOKUP(B353,DataSet!$N$2:$N$600,DataSet!$C$2:$C$600,0)</f>
        <v>42614</v>
      </c>
      <c r="H353" s="10" t="str">
        <f>_xlfn.XLOOKUP(B353,DataSet!$N$2:$N$600,DataSet!$I$2:$I$600,0)</f>
        <v>United States</v>
      </c>
      <c r="I353" s="10" t="str">
        <f>_xlfn.XLOOKUP(B353,DataSet!$N$2:$N$600,DataSet!$X$2:$X$600,0)</f>
        <v>New York City - New York</v>
      </c>
      <c r="J353" s="10" t="str">
        <f>_xlfn.XLOOKUP(B353,DataSet!$N$2:$N$600,DataSet!$M$2:$M$600,0)</f>
        <v>East</v>
      </c>
      <c r="K353" s="10" t="str">
        <f>_xlfn.XLOOKUP(B353,DataSet!$N$2:$N$600,DataSet!$O$2:$O$600,0)</f>
        <v>Office Supplies</v>
      </c>
      <c r="L353" s="10" t="str">
        <f>_xlfn.XLOOKUP(B353,DataSet!$N$2:$N$600,DataSet!$Y$2:$Y$600,0)</f>
        <v>Paper</v>
      </c>
      <c r="M353" s="10" t="str">
        <f>_xlfn.XLOOKUP(B353,DataSet!$N$2:$N$600,DataSet!$Q$2:$Q$600,0)</f>
        <v>Xerox 1881</v>
      </c>
      <c r="N353" s="16">
        <f>_xlfn.XLOOKUP(B353,DataSet!$N$2:$N$600,DataSet!$AA$2:$AA$600,0)</f>
        <v>24.56</v>
      </c>
      <c r="O353" s="10">
        <f>_xlfn.XLOOKUP(B353,DataSet!$N$2:$N$600,DataSet!$S$2:$S$600,0)</f>
        <v>2</v>
      </c>
      <c r="P353" s="15">
        <f>_xlfn.XLOOKUP(B353,DataSet!$N$2:$N$600,DataSet!$T$2:$T$600,0)</f>
        <v>0</v>
      </c>
      <c r="Q353" s="14">
        <f>_xlfn.XLOOKUP(B353,DataSet!$N$2:$N$600,DataSet!$U$2:$U$600,0)</f>
        <v>11.543200000000001</v>
      </c>
      <c r="R353" s="16">
        <f>_xlfn.XLOOKUP(B353,DataSet!$N$2:$N$600,DataSet!$AB$2:$AB$600,0)</f>
        <v>49.12</v>
      </c>
      <c r="S353" s="9">
        <f>_xlfn.XLOOKUP(B353,DataSet!$N$2:$N$600,DataSet!$AC$2:$AC$600,0)</f>
        <v>49.12</v>
      </c>
    </row>
    <row r="354" spans="1:19" s="12" customFormat="1" x14ac:dyDescent="0.3">
      <c r="A354" s="27">
        <v>352</v>
      </c>
      <c r="B354" s="10" t="s">
        <v>1254</v>
      </c>
      <c r="C354" s="10" t="str">
        <f>_xlfn.XLOOKUP(B354,DataSet!$N$2:$N$600,DataSet!$AF$2:$AF$600,0)</f>
        <v>129714</v>
      </c>
      <c r="D354" s="10" t="str">
        <f>_xlfn.XLOOKUP(B354,DataSet!$N$2:$N$600,DataSet!$G$2:$G$600,0)</f>
        <v>Adam Bellavance</v>
      </c>
      <c r="E354" s="10" t="str">
        <f>_xlfn.XLOOKUP(B354,DataSet!$N$2:$N$600,DataSet!$F$2:$F$600,0)</f>
        <v>AB-10060</v>
      </c>
      <c r="F354" s="10" t="str">
        <f>_xlfn.XLOOKUP(B354,DataSet!$N$2:$N$600,DataSet!$W$2:$W$600,0)</f>
        <v>Home Office</v>
      </c>
      <c r="G354" s="13">
        <f>_xlfn.XLOOKUP(B354,DataSet!$N$2:$N$600,DataSet!$C$2:$C$600,0)</f>
        <v>42614</v>
      </c>
      <c r="H354" s="10" t="str">
        <f>_xlfn.XLOOKUP(B354,DataSet!$N$2:$N$600,DataSet!$I$2:$I$600,0)</f>
        <v>United States</v>
      </c>
      <c r="I354" s="10" t="str">
        <f>_xlfn.XLOOKUP(B354,DataSet!$N$2:$N$600,DataSet!$X$2:$X$600,0)</f>
        <v>New York City - New York</v>
      </c>
      <c r="J354" s="10" t="str">
        <f>_xlfn.XLOOKUP(B354,DataSet!$N$2:$N$600,DataSet!$M$2:$M$600,0)</f>
        <v>East</v>
      </c>
      <c r="K354" s="10" t="str">
        <f>_xlfn.XLOOKUP(B354,DataSet!$N$2:$N$600,DataSet!$O$2:$O$600,0)</f>
        <v>Office Supplies</v>
      </c>
      <c r="L354" s="10" t="str">
        <f>_xlfn.XLOOKUP(B354,DataSet!$N$2:$N$600,DataSet!$Y$2:$Y$600,0)</f>
        <v>Binders</v>
      </c>
      <c r="M354" s="10" t="str">
        <f>_xlfn.XLOOKUP(B354,DataSet!$N$2:$N$600,DataSet!$Q$2:$Q$600,0)</f>
        <v>Acco Hanging Data Binders</v>
      </c>
      <c r="N354" s="16">
        <f>_xlfn.XLOOKUP(B354,DataSet!$N$2:$N$600,DataSet!$AA$2:$AA$600,0)</f>
        <v>3.048</v>
      </c>
      <c r="O354" s="10">
        <f>_xlfn.XLOOKUP(B354,DataSet!$N$2:$N$600,DataSet!$S$2:$S$600,0)</f>
        <v>1</v>
      </c>
      <c r="P354" s="15">
        <f>_xlfn.XLOOKUP(B354,DataSet!$N$2:$N$600,DataSet!$T$2:$T$600,0)</f>
        <v>0.2</v>
      </c>
      <c r="Q354" s="14">
        <f>_xlfn.XLOOKUP(B354,DataSet!$N$2:$N$600,DataSet!$U$2:$U$600,0)</f>
        <v>1.0668</v>
      </c>
      <c r="R354" s="16">
        <f>_xlfn.XLOOKUP(B354,DataSet!$N$2:$N$600,DataSet!$AB$2:$AB$600,0)</f>
        <v>3.048</v>
      </c>
      <c r="S354" s="9">
        <f>_xlfn.XLOOKUP(B354,DataSet!$N$2:$N$600,DataSet!$AC$2:$AC$600,0)</f>
        <v>2.4384000000000001</v>
      </c>
    </row>
    <row r="355" spans="1:19" s="12" customFormat="1" x14ac:dyDescent="0.3">
      <c r="A355" s="27">
        <v>353</v>
      </c>
      <c r="B355" s="10" t="s">
        <v>1252</v>
      </c>
      <c r="C355" s="10" t="str">
        <f>_xlfn.XLOOKUP(B355,DataSet!$N$2:$N$600,DataSet!$AF$2:$AF$600,0)</f>
        <v>129714</v>
      </c>
      <c r="D355" s="10" t="str">
        <f>_xlfn.XLOOKUP(B355,DataSet!$N$2:$N$600,DataSet!$G$2:$G$600,0)</f>
        <v>Adam Bellavance</v>
      </c>
      <c r="E355" s="10" t="str">
        <f>_xlfn.XLOOKUP(B355,DataSet!$N$2:$N$600,DataSet!$F$2:$F$600,0)</f>
        <v>AB-10060</v>
      </c>
      <c r="F355" s="10" t="str">
        <f>_xlfn.XLOOKUP(B355,DataSet!$N$2:$N$600,DataSet!$W$2:$W$600,0)</f>
        <v>Home Office</v>
      </c>
      <c r="G355" s="13">
        <f>_xlfn.XLOOKUP(B355,DataSet!$N$2:$N$600,DataSet!$C$2:$C$600,0)</f>
        <v>42614</v>
      </c>
      <c r="H355" s="10" t="str">
        <f>_xlfn.XLOOKUP(B355,DataSet!$N$2:$N$600,DataSet!$I$2:$I$600,0)</f>
        <v>United States</v>
      </c>
      <c r="I355" s="10" t="str">
        <f>_xlfn.XLOOKUP(B355,DataSet!$N$2:$N$600,DataSet!$X$2:$X$600,0)</f>
        <v>New York City - New York</v>
      </c>
      <c r="J355" s="10" t="str">
        <f>_xlfn.XLOOKUP(B355,DataSet!$N$2:$N$600,DataSet!$M$2:$M$600,0)</f>
        <v>East</v>
      </c>
      <c r="K355" s="10" t="str">
        <f>_xlfn.XLOOKUP(B355,DataSet!$N$2:$N$600,DataSet!$O$2:$O$600,0)</f>
        <v>Office Supplies</v>
      </c>
      <c r="L355" s="10" t="str">
        <f>_xlfn.XLOOKUP(B355,DataSet!$N$2:$N$600,DataSet!$Y$2:$Y$600,0)</f>
        <v>Paper</v>
      </c>
      <c r="M355" s="10" t="str">
        <f>_xlfn.XLOOKUP(B355,DataSet!$N$2:$N$600,DataSet!$Q$2:$Q$600,0)</f>
        <v>Xerox 1881</v>
      </c>
      <c r="N355" s="16">
        <f>_xlfn.XLOOKUP(B355,DataSet!$N$2:$N$600,DataSet!$AA$2:$AA$600,0)</f>
        <v>24.56</v>
      </c>
      <c r="O355" s="10">
        <f>_xlfn.XLOOKUP(B355,DataSet!$N$2:$N$600,DataSet!$S$2:$S$600,0)</f>
        <v>2</v>
      </c>
      <c r="P355" s="15">
        <f>_xlfn.XLOOKUP(B355,DataSet!$N$2:$N$600,DataSet!$T$2:$T$600,0)</f>
        <v>0</v>
      </c>
      <c r="Q355" s="14">
        <f>_xlfn.XLOOKUP(B355,DataSet!$N$2:$N$600,DataSet!$U$2:$U$600,0)</f>
        <v>11.543200000000001</v>
      </c>
      <c r="R355" s="16">
        <f>_xlfn.XLOOKUP(B355,DataSet!$N$2:$N$600,DataSet!$AB$2:$AB$600,0)</f>
        <v>49.12</v>
      </c>
      <c r="S355" s="9">
        <f>_xlfn.XLOOKUP(B355,DataSet!$N$2:$N$600,DataSet!$AC$2:$AC$600,0)</f>
        <v>49.12</v>
      </c>
    </row>
    <row r="356" spans="1:19" s="12" customFormat="1" x14ac:dyDescent="0.3">
      <c r="A356" s="27">
        <v>354</v>
      </c>
      <c r="B356" s="10" t="s">
        <v>1256</v>
      </c>
      <c r="C356" s="10" t="str">
        <f>_xlfn.XLOOKUP(B356,DataSet!$N$2:$N$600,DataSet!$AF$2:$AF$600,0)</f>
        <v>129714</v>
      </c>
      <c r="D356" s="10" t="str">
        <f>_xlfn.XLOOKUP(B356,DataSet!$N$2:$N$600,DataSet!$G$2:$G$600,0)</f>
        <v>Adam Bellavance</v>
      </c>
      <c r="E356" s="10" t="str">
        <f>_xlfn.XLOOKUP(B356,DataSet!$N$2:$N$600,DataSet!$F$2:$F$600,0)</f>
        <v>AB-10060</v>
      </c>
      <c r="F356" s="10" t="str">
        <f>_xlfn.XLOOKUP(B356,DataSet!$N$2:$N$600,DataSet!$W$2:$W$600,0)</f>
        <v>Home Office</v>
      </c>
      <c r="G356" s="13">
        <f>_xlfn.XLOOKUP(B356,DataSet!$N$2:$N$600,DataSet!$C$2:$C$600,0)</f>
        <v>42614</v>
      </c>
      <c r="H356" s="10" t="str">
        <f>_xlfn.XLOOKUP(B356,DataSet!$N$2:$N$600,DataSet!$I$2:$I$600,0)</f>
        <v>United States</v>
      </c>
      <c r="I356" s="10" t="str">
        <f>_xlfn.XLOOKUP(B356,DataSet!$N$2:$N$600,DataSet!$X$2:$X$600,0)</f>
        <v>New York City - New York</v>
      </c>
      <c r="J356" s="10" t="str">
        <f>_xlfn.XLOOKUP(B356,DataSet!$N$2:$N$600,DataSet!$M$2:$M$600,0)</f>
        <v>East</v>
      </c>
      <c r="K356" s="10" t="str">
        <f>_xlfn.XLOOKUP(B356,DataSet!$N$2:$N$600,DataSet!$O$2:$O$600,0)</f>
        <v>Office Supplies</v>
      </c>
      <c r="L356" s="10" t="str">
        <f>_xlfn.XLOOKUP(B356,DataSet!$N$2:$N$600,DataSet!$Y$2:$Y$600,0)</f>
        <v>Binders</v>
      </c>
      <c r="M356" s="10" t="str">
        <f>_xlfn.XLOOKUP(B356,DataSet!$N$2:$N$600,DataSet!$Q$2:$Q$600,0)</f>
        <v>GBC DocuBind P400 Electric Binding System</v>
      </c>
      <c r="N356" s="16">
        <f>_xlfn.XLOOKUP(B356,DataSet!$N$2:$N$600,DataSet!$AA$2:$AA$600,0)</f>
        <v>4355.1679999999997</v>
      </c>
      <c r="O356" s="10">
        <f>_xlfn.XLOOKUP(B356,DataSet!$N$2:$N$600,DataSet!$S$2:$S$600,0)</f>
        <v>4</v>
      </c>
      <c r="P356" s="15">
        <f>_xlfn.XLOOKUP(B356,DataSet!$N$2:$N$600,DataSet!$T$2:$T$600,0)</f>
        <v>0.2</v>
      </c>
      <c r="Q356" s="14">
        <f>_xlfn.XLOOKUP(B356,DataSet!$N$2:$N$600,DataSet!$U$2:$U$600,0)</f>
        <v>1415.4295999999999</v>
      </c>
      <c r="R356" s="16">
        <f>_xlfn.XLOOKUP(B356,DataSet!$N$2:$N$600,DataSet!$AB$2:$AB$600,0)</f>
        <v>17420.671999999999</v>
      </c>
      <c r="S356" s="9">
        <f>_xlfn.XLOOKUP(B356,DataSet!$N$2:$N$600,DataSet!$AC$2:$AC$600,0)</f>
        <v>13936.5376</v>
      </c>
    </row>
    <row r="357" spans="1:19" s="12" customFormat="1" x14ac:dyDescent="0.3">
      <c r="A357" s="27">
        <v>355</v>
      </c>
      <c r="B357" s="10" t="s">
        <v>1261</v>
      </c>
      <c r="C357" s="10" t="str">
        <f>_xlfn.XLOOKUP(B357,DataSet!$N$2:$N$600,DataSet!$AF$2:$AF$600,0)</f>
        <v>138520</v>
      </c>
      <c r="D357" s="10" t="str">
        <f>_xlfn.XLOOKUP(B357,DataSet!$N$2:$N$600,DataSet!$G$2:$G$600,0)</f>
        <v>Jeremy Lonsdale</v>
      </c>
      <c r="E357" s="10" t="str">
        <f>_xlfn.XLOOKUP(B357,DataSet!$N$2:$N$600,DataSet!$F$2:$F$600,0)</f>
        <v>JL-15505</v>
      </c>
      <c r="F357" s="10" t="str">
        <f>_xlfn.XLOOKUP(B357,DataSet!$N$2:$N$600,DataSet!$W$2:$W$600,0)</f>
        <v>Consumer</v>
      </c>
      <c r="G357" s="13">
        <f>_xlfn.XLOOKUP(B357,DataSet!$N$2:$N$600,DataSet!$C$2:$C$600,0)</f>
        <v>42468</v>
      </c>
      <c r="H357" s="10" t="str">
        <f>_xlfn.XLOOKUP(B357,DataSet!$N$2:$N$600,DataSet!$I$2:$I$600,0)</f>
        <v>United States</v>
      </c>
      <c r="I357" s="10" t="str">
        <f>_xlfn.XLOOKUP(B357,DataSet!$N$2:$N$600,DataSet!$X$2:$X$600,0)</f>
        <v>New York City - New York</v>
      </c>
      <c r="J357" s="10" t="str">
        <f>_xlfn.XLOOKUP(B357,DataSet!$N$2:$N$600,DataSet!$M$2:$M$600,0)</f>
        <v>East</v>
      </c>
      <c r="K357" s="10" t="str">
        <f>_xlfn.XLOOKUP(B357,DataSet!$N$2:$N$600,DataSet!$O$2:$O$600,0)</f>
        <v>Furniture</v>
      </c>
      <c r="L357" s="10" t="str">
        <f>_xlfn.XLOOKUP(B357,DataSet!$N$2:$N$600,DataSet!$Y$2:$Y$600,0)</f>
        <v>Bookcases</v>
      </c>
      <c r="M357" s="10" t="str">
        <f>_xlfn.XLOOKUP(B357,DataSet!$N$2:$N$600,DataSet!$Q$2:$Q$600,0)</f>
        <v>Sauder Barrister Bookcases</v>
      </c>
      <c r="N357" s="16">
        <f>_xlfn.XLOOKUP(B357,DataSet!$N$2:$N$600,DataSet!$AA$2:$AA$600,0)</f>
        <v>388.70400000000001</v>
      </c>
      <c r="O357" s="10">
        <f>_xlfn.XLOOKUP(B357,DataSet!$N$2:$N$600,DataSet!$S$2:$S$600,0)</f>
        <v>6</v>
      </c>
      <c r="P357" s="15">
        <f>_xlfn.XLOOKUP(B357,DataSet!$N$2:$N$600,DataSet!$T$2:$T$600,0)</f>
        <v>0.2</v>
      </c>
      <c r="Q357" s="14">
        <f>_xlfn.XLOOKUP(B357,DataSet!$N$2:$N$600,DataSet!$U$2:$U$600,0)</f>
        <v>-4.8587999999999996</v>
      </c>
      <c r="R357" s="16">
        <f>_xlfn.XLOOKUP(B357,DataSet!$N$2:$N$600,DataSet!$AB$2:$AB$600,0)</f>
        <v>2332.2240000000002</v>
      </c>
      <c r="S357" s="9">
        <f>_xlfn.XLOOKUP(B357,DataSet!$N$2:$N$600,DataSet!$AC$2:$AC$600,0)</f>
        <v>1865.7792000000002</v>
      </c>
    </row>
    <row r="358" spans="1:19" s="12" customFormat="1" x14ac:dyDescent="0.3">
      <c r="A358" s="27">
        <v>356</v>
      </c>
      <c r="B358" s="10" t="s">
        <v>1263</v>
      </c>
      <c r="C358" s="10" t="str">
        <f>_xlfn.XLOOKUP(B358,DataSet!$N$2:$N$600,DataSet!$AF$2:$AF$600,0)</f>
        <v>138520</v>
      </c>
      <c r="D358" s="10" t="str">
        <f>_xlfn.XLOOKUP(B358,DataSet!$N$2:$N$600,DataSet!$G$2:$G$600,0)</f>
        <v>Jeremy Lonsdale</v>
      </c>
      <c r="E358" s="10" t="str">
        <f>_xlfn.XLOOKUP(B358,DataSet!$N$2:$N$600,DataSet!$F$2:$F$600,0)</f>
        <v>JL-15505</v>
      </c>
      <c r="F358" s="10" t="str">
        <f>_xlfn.XLOOKUP(B358,DataSet!$N$2:$N$600,DataSet!$W$2:$W$600,0)</f>
        <v>Consumer</v>
      </c>
      <c r="G358" s="13">
        <f>_xlfn.XLOOKUP(B358,DataSet!$N$2:$N$600,DataSet!$C$2:$C$600,0)</f>
        <v>42468</v>
      </c>
      <c r="H358" s="10" t="str">
        <f>_xlfn.XLOOKUP(B358,DataSet!$N$2:$N$600,DataSet!$I$2:$I$600,0)</f>
        <v>United States</v>
      </c>
      <c r="I358" s="10" t="str">
        <f>_xlfn.XLOOKUP(B358,DataSet!$N$2:$N$600,DataSet!$X$2:$X$600,0)</f>
        <v>New York City - New York</v>
      </c>
      <c r="J358" s="10" t="str">
        <f>_xlfn.XLOOKUP(B358,DataSet!$N$2:$N$600,DataSet!$M$2:$M$600,0)</f>
        <v>East</v>
      </c>
      <c r="K358" s="10" t="str">
        <f>_xlfn.XLOOKUP(B358,DataSet!$N$2:$N$600,DataSet!$O$2:$O$600,0)</f>
        <v>Office Supplies</v>
      </c>
      <c r="L358" s="10" t="str">
        <f>_xlfn.XLOOKUP(B358,DataSet!$N$2:$N$600,DataSet!$Y$2:$Y$600,0)</f>
        <v>Envelopes</v>
      </c>
      <c r="M358" s="10" t="str">
        <f>_xlfn.XLOOKUP(B358,DataSet!$N$2:$N$600,DataSet!$Q$2:$Q$600,0)</f>
        <v>#10 Gummed Flap White Envelopes, 100/Box</v>
      </c>
      <c r="N358" s="16">
        <f>_xlfn.XLOOKUP(B358,DataSet!$N$2:$N$600,DataSet!$AA$2:$AA$600,0)</f>
        <v>8.26</v>
      </c>
      <c r="O358" s="10">
        <f>_xlfn.XLOOKUP(B358,DataSet!$N$2:$N$600,DataSet!$S$2:$S$600,0)</f>
        <v>2</v>
      </c>
      <c r="P358" s="15">
        <f>_xlfn.XLOOKUP(B358,DataSet!$N$2:$N$600,DataSet!$T$2:$T$600,0)</f>
        <v>0</v>
      </c>
      <c r="Q358" s="14">
        <f>_xlfn.XLOOKUP(B358,DataSet!$N$2:$N$600,DataSet!$U$2:$U$600,0)</f>
        <v>3.7995999999999999</v>
      </c>
      <c r="R358" s="16">
        <f>_xlfn.XLOOKUP(B358,DataSet!$N$2:$N$600,DataSet!$AB$2:$AB$600,0)</f>
        <v>16.52</v>
      </c>
      <c r="S358" s="9">
        <f>_xlfn.XLOOKUP(B358,DataSet!$N$2:$N$600,DataSet!$AC$2:$AC$600,0)</f>
        <v>16.52</v>
      </c>
    </row>
    <row r="359" spans="1:19" s="12" customFormat="1" x14ac:dyDescent="0.3">
      <c r="A359" s="27">
        <v>357</v>
      </c>
      <c r="B359" s="10" t="s">
        <v>1265</v>
      </c>
      <c r="C359" s="10" t="str">
        <f>_xlfn.XLOOKUP(B359,DataSet!$N$2:$N$600,DataSet!$AF$2:$AF$600,0)</f>
        <v>138520</v>
      </c>
      <c r="D359" s="10" t="str">
        <f>_xlfn.XLOOKUP(B359,DataSet!$N$2:$N$600,DataSet!$G$2:$G$600,0)</f>
        <v>Jeremy Lonsdale</v>
      </c>
      <c r="E359" s="10" t="str">
        <f>_xlfn.XLOOKUP(B359,DataSet!$N$2:$N$600,DataSet!$F$2:$F$600,0)</f>
        <v>JL-15505</v>
      </c>
      <c r="F359" s="10" t="str">
        <f>_xlfn.XLOOKUP(B359,DataSet!$N$2:$N$600,DataSet!$W$2:$W$600,0)</f>
        <v>Consumer</v>
      </c>
      <c r="G359" s="13">
        <f>_xlfn.XLOOKUP(B359,DataSet!$N$2:$N$600,DataSet!$C$2:$C$600,0)</f>
        <v>42468</v>
      </c>
      <c r="H359" s="10" t="str">
        <f>_xlfn.XLOOKUP(B359,DataSet!$N$2:$N$600,DataSet!$I$2:$I$600,0)</f>
        <v>United States</v>
      </c>
      <c r="I359" s="10" t="str">
        <f>_xlfn.XLOOKUP(B359,DataSet!$N$2:$N$600,DataSet!$X$2:$X$600,0)</f>
        <v>New York City - New York</v>
      </c>
      <c r="J359" s="10" t="str">
        <f>_xlfn.XLOOKUP(B359,DataSet!$N$2:$N$600,DataSet!$M$2:$M$600,0)</f>
        <v>East</v>
      </c>
      <c r="K359" s="10" t="str">
        <f>_xlfn.XLOOKUP(B359,DataSet!$N$2:$N$600,DataSet!$O$2:$O$600,0)</f>
        <v>Office Supplies</v>
      </c>
      <c r="L359" s="10" t="str">
        <f>_xlfn.XLOOKUP(B359,DataSet!$N$2:$N$600,DataSet!$Y$2:$Y$600,0)</f>
        <v>Art</v>
      </c>
      <c r="M359" s="10" t="str">
        <f>_xlfn.XLOOKUP(B359,DataSet!$N$2:$N$600,DataSet!$Q$2:$Q$600,0)</f>
        <v>Dixon Prang Watercolor Pencils, 10-Color Set with Brush</v>
      </c>
      <c r="N359" s="16">
        <f>_xlfn.XLOOKUP(B359,DataSet!$N$2:$N$600,DataSet!$AA$2:$AA$600,0)</f>
        <v>17.04</v>
      </c>
      <c r="O359" s="10">
        <f>_xlfn.XLOOKUP(B359,DataSet!$N$2:$N$600,DataSet!$S$2:$S$600,0)</f>
        <v>4</v>
      </c>
      <c r="P359" s="15">
        <f>_xlfn.XLOOKUP(B359,DataSet!$N$2:$N$600,DataSet!$T$2:$T$600,0)</f>
        <v>0</v>
      </c>
      <c r="Q359" s="14">
        <f>_xlfn.XLOOKUP(B359,DataSet!$N$2:$N$600,DataSet!$U$2:$U$600,0)</f>
        <v>6.9863999999999997</v>
      </c>
      <c r="R359" s="16">
        <f>_xlfn.XLOOKUP(B359,DataSet!$N$2:$N$600,DataSet!$AB$2:$AB$600,0)</f>
        <v>68.16</v>
      </c>
      <c r="S359" s="9">
        <f>_xlfn.XLOOKUP(B359,DataSet!$N$2:$N$600,DataSet!$AC$2:$AC$600,0)</f>
        <v>68.16</v>
      </c>
    </row>
    <row r="360" spans="1:19" s="12" customFormat="1" x14ac:dyDescent="0.3">
      <c r="A360" s="27">
        <v>358</v>
      </c>
      <c r="B360" s="10" t="s">
        <v>1267</v>
      </c>
      <c r="C360" s="10" t="str">
        <f>_xlfn.XLOOKUP(B360,DataSet!$N$2:$N$600,DataSet!$AF$2:$AF$600,0)</f>
        <v>138520</v>
      </c>
      <c r="D360" s="10" t="str">
        <f>_xlfn.XLOOKUP(B360,DataSet!$N$2:$N$600,DataSet!$G$2:$G$600,0)</f>
        <v>Jeremy Lonsdale</v>
      </c>
      <c r="E360" s="10" t="str">
        <f>_xlfn.XLOOKUP(B360,DataSet!$N$2:$N$600,DataSet!$F$2:$F$600,0)</f>
        <v>JL-15505</v>
      </c>
      <c r="F360" s="10" t="str">
        <f>_xlfn.XLOOKUP(B360,DataSet!$N$2:$N$600,DataSet!$W$2:$W$600,0)</f>
        <v>Consumer</v>
      </c>
      <c r="G360" s="13">
        <f>_xlfn.XLOOKUP(B360,DataSet!$N$2:$N$600,DataSet!$C$2:$C$600,0)</f>
        <v>42468</v>
      </c>
      <c r="H360" s="10" t="str">
        <f>_xlfn.XLOOKUP(B360,DataSet!$N$2:$N$600,DataSet!$I$2:$I$600,0)</f>
        <v>United States</v>
      </c>
      <c r="I360" s="10" t="str">
        <f>_xlfn.XLOOKUP(B360,DataSet!$N$2:$N$600,DataSet!$X$2:$X$600,0)</f>
        <v>New York City - New York</v>
      </c>
      <c r="J360" s="10" t="str">
        <f>_xlfn.XLOOKUP(B360,DataSet!$N$2:$N$600,DataSet!$M$2:$M$600,0)</f>
        <v>East</v>
      </c>
      <c r="K360" s="10" t="str">
        <f>_xlfn.XLOOKUP(B360,DataSet!$N$2:$N$600,DataSet!$O$2:$O$600,0)</f>
        <v>Office Supplies</v>
      </c>
      <c r="L360" s="10" t="str">
        <f>_xlfn.XLOOKUP(B360,DataSet!$N$2:$N$600,DataSet!$Y$2:$Y$600,0)</f>
        <v>Paper</v>
      </c>
      <c r="M360" s="10" t="str">
        <f>_xlfn.XLOOKUP(B360,DataSet!$N$2:$N$600,DataSet!$Q$2:$Q$600,0)</f>
        <v>Adams Phone Message Book, 200 Message Capacity, 8 1/16” x 11”</v>
      </c>
      <c r="N360" s="16">
        <f>_xlfn.XLOOKUP(B360,DataSet!$N$2:$N$600,DataSet!$AA$2:$AA$600,0)</f>
        <v>34.4</v>
      </c>
      <c r="O360" s="10">
        <f>_xlfn.XLOOKUP(B360,DataSet!$N$2:$N$600,DataSet!$S$2:$S$600,0)</f>
        <v>5</v>
      </c>
      <c r="P360" s="15">
        <f>_xlfn.XLOOKUP(B360,DataSet!$N$2:$N$600,DataSet!$T$2:$T$600,0)</f>
        <v>0</v>
      </c>
      <c r="Q360" s="14">
        <f>_xlfn.XLOOKUP(B360,DataSet!$N$2:$N$600,DataSet!$U$2:$U$600,0)</f>
        <v>15.824</v>
      </c>
      <c r="R360" s="16">
        <f>_xlfn.XLOOKUP(B360,DataSet!$N$2:$N$600,DataSet!$AB$2:$AB$600,0)</f>
        <v>172</v>
      </c>
      <c r="S360" s="9">
        <f>_xlfn.XLOOKUP(B360,DataSet!$N$2:$N$600,DataSet!$AC$2:$AC$600,0)</f>
        <v>172</v>
      </c>
    </row>
    <row r="361" spans="1:19" s="12" customFormat="1" x14ac:dyDescent="0.3">
      <c r="A361" s="27">
        <v>359</v>
      </c>
      <c r="B361" s="10" t="s">
        <v>802</v>
      </c>
      <c r="C361" s="10" t="str">
        <f>_xlfn.XLOOKUP(B361,DataSet!$N$2:$N$600,DataSet!$AF$2:$AF$600,0)</f>
        <v>105074</v>
      </c>
      <c r="D361" s="10" t="str">
        <f>_xlfn.XLOOKUP(B361,DataSet!$N$2:$N$600,DataSet!$G$2:$G$600,0)</f>
        <v>Maria Bertelson</v>
      </c>
      <c r="E361" s="10" t="str">
        <f>_xlfn.XLOOKUP(B361,DataSet!$N$2:$N$600,DataSet!$F$2:$F$600,0)</f>
        <v>MB-17305</v>
      </c>
      <c r="F361" s="10" t="str">
        <f>_xlfn.XLOOKUP(B361,DataSet!$N$2:$N$600,DataSet!$W$2:$W$600,0)</f>
        <v>Consumer</v>
      </c>
      <c r="G361" s="13">
        <f>_xlfn.XLOOKUP(B361,DataSet!$N$2:$N$600,DataSet!$C$2:$C$600,0)</f>
        <v>42910</v>
      </c>
      <c r="H361" s="10" t="str">
        <f>_xlfn.XLOOKUP(B361,DataSet!$N$2:$N$600,DataSet!$I$2:$I$600,0)</f>
        <v>United States</v>
      </c>
      <c r="I361" s="10" t="str">
        <f>_xlfn.XLOOKUP(B361,DataSet!$N$2:$N$600,DataSet!$X$2:$X$600,0)</f>
        <v>Akron - Ohio</v>
      </c>
      <c r="J361" s="10" t="str">
        <f>_xlfn.XLOOKUP(B361,DataSet!$N$2:$N$600,DataSet!$M$2:$M$600,0)</f>
        <v>East</v>
      </c>
      <c r="K361" s="10" t="str">
        <f>_xlfn.XLOOKUP(B361,DataSet!$N$2:$N$600,DataSet!$O$2:$O$600,0)</f>
        <v>Office Supplies</v>
      </c>
      <c r="L361" s="10" t="str">
        <f>_xlfn.XLOOKUP(B361,DataSet!$N$2:$N$600,DataSet!$Y$2:$Y$600,0)</f>
        <v>Paper</v>
      </c>
      <c r="M361" s="10" t="str">
        <f>_xlfn.XLOOKUP(B361,DataSet!$N$2:$N$600,DataSet!$Q$2:$Q$600,0)</f>
        <v>Southworth 25% Cotton Linen-Finish Paper &amp; Envelopes</v>
      </c>
      <c r="N361" s="16">
        <f>_xlfn.XLOOKUP(B361,DataSet!$N$2:$N$600,DataSet!$AA$2:$AA$600,0)</f>
        <v>21.744</v>
      </c>
      <c r="O361" s="10">
        <f>_xlfn.XLOOKUP(B361,DataSet!$N$2:$N$600,DataSet!$S$2:$S$600,0)</f>
        <v>3</v>
      </c>
      <c r="P361" s="15">
        <f>_xlfn.XLOOKUP(B361,DataSet!$N$2:$N$600,DataSet!$T$2:$T$600,0)</f>
        <v>0.2</v>
      </c>
      <c r="Q361" s="14">
        <f>_xlfn.XLOOKUP(B361,DataSet!$N$2:$N$600,DataSet!$U$2:$U$600,0)</f>
        <v>6.7949999999999999</v>
      </c>
      <c r="R361" s="16">
        <f>_xlfn.XLOOKUP(B361,DataSet!$N$2:$N$600,DataSet!$AB$2:$AB$600,0)</f>
        <v>65.231999999999999</v>
      </c>
      <c r="S361" s="9">
        <f>_xlfn.XLOOKUP(B361,DataSet!$N$2:$N$600,DataSet!$AC$2:$AC$600,0)</f>
        <v>52.185600000000001</v>
      </c>
    </row>
    <row r="362" spans="1:19" s="12" customFormat="1" x14ac:dyDescent="0.3">
      <c r="A362" s="27">
        <v>360</v>
      </c>
      <c r="B362" s="10" t="s">
        <v>1274</v>
      </c>
      <c r="C362" s="10" t="str">
        <f>_xlfn.XLOOKUP(B362,DataSet!$N$2:$N$600,DataSet!$AF$2:$AF$600,0)</f>
        <v>155698</v>
      </c>
      <c r="D362" s="10" t="str">
        <f>_xlfn.XLOOKUP(B362,DataSet!$N$2:$N$600,DataSet!$G$2:$G$600,0)</f>
        <v>Victoria Brennan</v>
      </c>
      <c r="E362" s="10" t="str">
        <f>_xlfn.XLOOKUP(B362,DataSet!$N$2:$N$600,DataSet!$F$2:$F$600,0)</f>
        <v>VB-21745</v>
      </c>
      <c r="F362" s="10" t="str">
        <f>_xlfn.XLOOKUP(B362,DataSet!$N$2:$N$600,DataSet!$W$2:$W$600,0)</f>
        <v>Corporate</v>
      </c>
      <c r="G362" s="13">
        <f>_xlfn.XLOOKUP(B362,DataSet!$N$2:$N$600,DataSet!$C$2:$C$600,0)</f>
        <v>42802</v>
      </c>
      <c r="H362" s="10" t="str">
        <f>_xlfn.XLOOKUP(B362,DataSet!$N$2:$N$600,DataSet!$I$2:$I$600,0)</f>
        <v>United States</v>
      </c>
      <c r="I362" s="10" t="str">
        <f>_xlfn.XLOOKUP(B362,DataSet!$N$2:$N$600,DataSet!$X$2:$X$600,0)</f>
        <v>Columbus - Georgia</v>
      </c>
      <c r="J362" s="10" t="str">
        <f>_xlfn.XLOOKUP(B362,DataSet!$N$2:$N$600,DataSet!$M$2:$M$600,0)</f>
        <v>South</v>
      </c>
      <c r="K362" s="10" t="str">
        <f>_xlfn.XLOOKUP(B362,DataSet!$N$2:$N$600,DataSet!$O$2:$O$600,0)</f>
        <v>Office Supplies</v>
      </c>
      <c r="L362" s="10" t="str">
        <f>_xlfn.XLOOKUP(B362,DataSet!$N$2:$N$600,DataSet!$Y$2:$Y$600,0)</f>
        <v>Appliances</v>
      </c>
      <c r="M362" s="10" t="str">
        <f>_xlfn.XLOOKUP(B362,DataSet!$N$2:$N$600,DataSet!$Q$2:$Q$600,0)</f>
        <v>Belkin 8 Outlet SurgeMaster II Gold Surge Protector with Phone Protection</v>
      </c>
      <c r="N362" s="16">
        <f>_xlfn.XLOOKUP(B362,DataSet!$N$2:$N$600,DataSet!$AA$2:$AA$600,0)</f>
        <v>647.84</v>
      </c>
      <c r="O362" s="10">
        <f>_xlfn.XLOOKUP(B362,DataSet!$N$2:$N$600,DataSet!$S$2:$S$600,0)</f>
        <v>8</v>
      </c>
      <c r="P362" s="15">
        <f>_xlfn.XLOOKUP(B362,DataSet!$N$2:$N$600,DataSet!$T$2:$T$600,0)</f>
        <v>0</v>
      </c>
      <c r="Q362" s="14">
        <f>_xlfn.XLOOKUP(B362,DataSet!$N$2:$N$600,DataSet!$U$2:$U$600,0)</f>
        <v>168.4384</v>
      </c>
      <c r="R362" s="16">
        <f>_xlfn.XLOOKUP(B362,DataSet!$N$2:$N$600,DataSet!$AB$2:$AB$600,0)</f>
        <v>5182.72</v>
      </c>
      <c r="S362" s="9">
        <f>_xlfn.XLOOKUP(B362,DataSet!$N$2:$N$600,DataSet!$AC$2:$AC$600,0)</f>
        <v>5182.72</v>
      </c>
    </row>
    <row r="363" spans="1:19" s="12" customFormat="1" x14ac:dyDescent="0.3">
      <c r="A363" s="27">
        <v>361</v>
      </c>
      <c r="B363" s="10" t="s">
        <v>1276</v>
      </c>
      <c r="C363" s="10" t="str">
        <f>_xlfn.XLOOKUP(B363,DataSet!$N$2:$N$600,DataSet!$AF$2:$AF$600,0)</f>
        <v>155698</v>
      </c>
      <c r="D363" s="10" t="str">
        <f>_xlfn.XLOOKUP(B363,DataSet!$N$2:$N$600,DataSet!$G$2:$G$600,0)</f>
        <v>Victoria Brennan</v>
      </c>
      <c r="E363" s="10" t="str">
        <f>_xlfn.XLOOKUP(B363,DataSet!$N$2:$N$600,DataSet!$F$2:$F$600,0)</f>
        <v>VB-21745</v>
      </c>
      <c r="F363" s="10" t="str">
        <f>_xlfn.XLOOKUP(B363,DataSet!$N$2:$N$600,DataSet!$W$2:$W$600,0)</f>
        <v>Corporate</v>
      </c>
      <c r="G363" s="13">
        <f>_xlfn.XLOOKUP(B363,DataSet!$N$2:$N$600,DataSet!$C$2:$C$600,0)</f>
        <v>42802</v>
      </c>
      <c r="H363" s="10" t="str">
        <f>_xlfn.XLOOKUP(B363,DataSet!$N$2:$N$600,DataSet!$I$2:$I$600,0)</f>
        <v>United States</v>
      </c>
      <c r="I363" s="10" t="str">
        <f>_xlfn.XLOOKUP(B363,DataSet!$N$2:$N$600,DataSet!$X$2:$X$600,0)</f>
        <v>Columbus - Georgia</v>
      </c>
      <c r="J363" s="10" t="str">
        <f>_xlfn.XLOOKUP(B363,DataSet!$N$2:$N$600,DataSet!$M$2:$M$600,0)</f>
        <v>South</v>
      </c>
      <c r="K363" s="10" t="str">
        <f>_xlfn.XLOOKUP(B363,DataSet!$N$2:$N$600,DataSet!$O$2:$O$600,0)</f>
        <v>Office Supplies</v>
      </c>
      <c r="L363" s="10" t="str">
        <f>_xlfn.XLOOKUP(B363,DataSet!$N$2:$N$600,DataSet!$Y$2:$Y$600,0)</f>
        <v>Labels</v>
      </c>
      <c r="M363" s="10" t="str">
        <f>_xlfn.XLOOKUP(B363,DataSet!$N$2:$N$600,DataSet!$Q$2:$Q$600,0)</f>
        <v>Avery Address/Shipping Labels for Typewriters, 4" x 2"</v>
      </c>
      <c r="N363" s="16">
        <f>_xlfn.XLOOKUP(B363,DataSet!$N$2:$N$600,DataSet!$AA$2:$AA$600,0)</f>
        <v>20.7</v>
      </c>
      <c r="O363" s="10">
        <f>_xlfn.XLOOKUP(B363,DataSet!$N$2:$N$600,DataSet!$S$2:$S$600,0)</f>
        <v>2</v>
      </c>
      <c r="P363" s="15">
        <f>_xlfn.XLOOKUP(B363,DataSet!$N$2:$N$600,DataSet!$T$2:$T$600,0)</f>
        <v>0</v>
      </c>
      <c r="Q363" s="14">
        <f>_xlfn.XLOOKUP(B363,DataSet!$N$2:$N$600,DataSet!$U$2:$U$600,0)</f>
        <v>9.9359999999999999</v>
      </c>
      <c r="R363" s="16">
        <f>_xlfn.XLOOKUP(B363,DataSet!$N$2:$N$600,DataSet!$AB$2:$AB$600,0)</f>
        <v>41.4</v>
      </c>
      <c r="S363" s="9">
        <f>_xlfn.XLOOKUP(B363,DataSet!$N$2:$N$600,DataSet!$AC$2:$AC$600,0)</f>
        <v>41.4</v>
      </c>
    </row>
    <row r="364" spans="1:19" s="12" customFormat="1" x14ac:dyDescent="0.3">
      <c r="A364" s="27">
        <v>362</v>
      </c>
      <c r="B364" s="10" t="s">
        <v>1276</v>
      </c>
      <c r="C364" s="10" t="str">
        <f>_xlfn.XLOOKUP(B364,DataSet!$N$2:$N$600,DataSet!$AF$2:$AF$600,0)</f>
        <v>155698</v>
      </c>
      <c r="D364" s="10" t="str">
        <f>_xlfn.XLOOKUP(B364,DataSet!$N$2:$N$600,DataSet!$G$2:$G$600,0)</f>
        <v>Victoria Brennan</v>
      </c>
      <c r="E364" s="10" t="str">
        <f>_xlfn.XLOOKUP(B364,DataSet!$N$2:$N$600,DataSet!$F$2:$F$600,0)</f>
        <v>VB-21745</v>
      </c>
      <c r="F364" s="10" t="str">
        <f>_xlfn.XLOOKUP(B364,DataSet!$N$2:$N$600,DataSet!$W$2:$W$600,0)</f>
        <v>Corporate</v>
      </c>
      <c r="G364" s="13">
        <f>_xlfn.XLOOKUP(B364,DataSet!$N$2:$N$600,DataSet!$C$2:$C$600,0)</f>
        <v>42802</v>
      </c>
      <c r="H364" s="10" t="str">
        <f>_xlfn.XLOOKUP(B364,DataSet!$N$2:$N$600,DataSet!$I$2:$I$600,0)</f>
        <v>United States</v>
      </c>
      <c r="I364" s="10" t="str">
        <f>_xlfn.XLOOKUP(B364,DataSet!$N$2:$N$600,DataSet!$X$2:$X$600,0)</f>
        <v>Columbus - Georgia</v>
      </c>
      <c r="J364" s="10" t="str">
        <f>_xlfn.XLOOKUP(B364,DataSet!$N$2:$N$600,DataSet!$M$2:$M$600,0)</f>
        <v>South</v>
      </c>
      <c r="K364" s="10" t="str">
        <f>_xlfn.XLOOKUP(B364,DataSet!$N$2:$N$600,DataSet!$O$2:$O$600,0)</f>
        <v>Office Supplies</v>
      </c>
      <c r="L364" s="10" t="str">
        <f>_xlfn.XLOOKUP(B364,DataSet!$N$2:$N$600,DataSet!$Y$2:$Y$600,0)</f>
        <v>Labels</v>
      </c>
      <c r="M364" s="10" t="str">
        <f>_xlfn.XLOOKUP(B364,DataSet!$N$2:$N$600,DataSet!$Q$2:$Q$600,0)</f>
        <v>Avery Address/Shipping Labels for Typewriters, 4" x 2"</v>
      </c>
      <c r="N364" s="16">
        <f>_xlfn.XLOOKUP(B364,DataSet!$N$2:$N$600,DataSet!$AA$2:$AA$600,0)</f>
        <v>20.7</v>
      </c>
      <c r="O364" s="10">
        <f>_xlfn.XLOOKUP(B364,DataSet!$N$2:$N$600,DataSet!$S$2:$S$600,0)</f>
        <v>2</v>
      </c>
      <c r="P364" s="15">
        <f>_xlfn.XLOOKUP(B364,DataSet!$N$2:$N$600,DataSet!$T$2:$T$600,0)</f>
        <v>0</v>
      </c>
      <c r="Q364" s="14">
        <f>_xlfn.XLOOKUP(B364,DataSet!$N$2:$N$600,DataSet!$U$2:$U$600,0)</f>
        <v>9.9359999999999999</v>
      </c>
      <c r="R364" s="16">
        <f>_xlfn.XLOOKUP(B364,DataSet!$N$2:$N$600,DataSet!$AB$2:$AB$600,0)</f>
        <v>41.4</v>
      </c>
      <c r="S364" s="9">
        <f>_xlfn.XLOOKUP(B364,DataSet!$N$2:$N$600,DataSet!$AC$2:$AC$600,0)</f>
        <v>41.4</v>
      </c>
    </row>
    <row r="365" spans="1:19" s="12" customFormat="1" x14ac:dyDescent="0.3">
      <c r="A365" s="27">
        <v>363</v>
      </c>
      <c r="B365" s="10" t="s">
        <v>1281</v>
      </c>
      <c r="C365" s="10" t="str">
        <f>_xlfn.XLOOKUP(B365,DataSet!$N$2:$N$600,DataSet!$AF$2:$AF$600,0)</f>
        <v>144904</v>
      </c>
      <c r="D365" s="10" t="str">
        <f>_xlfn.XLOOKUP(B365,DataSet!$N$2:$N$600,DataSet!$G$2:$G$600,0)</f>
        <v>Katrina Willman</v>
      </c>
      <c r="E365" s="10" t="str">
        <f>_xlfn.XLOOKUP(B365,DataSet!$N$2:$N$600,DataSet!$F$2:$F$600,0)</f>
        <v>KW-16435</v>
      </c>
      <c r="F365" s="10" t="str">
        <f>_xlfn.XLOOKUP(B365,DataSet!$N$2:$N$600,DataSet!$W$2:$W$600,0)</f>
        <v>Consumer</v>
      </c>
      <c r="G365" s="13">
        <f>_xlfn.XLOOKUP(B365,DataSet!$N$2:$N$600,DataSet!$C$2:$C$600,0)</f>
        <v>43003</v>
      </c>
      <c r="H365" s="10" t="str">
        <f>_xlfn.XLOOKUP(B365,DataSet!$N$2:$N$600,DataSet!$I$2:$I$600,0)</f>
        <v>United States</v>
      </c>
      <c r="I365" s="10" t="str">
        <f>_xlfn.XLOOKUP(B365,DataSet!$N$2:$N$600,DataSet!$X$2:$X$600,0)</f>
        <v>New York City - New York</v>
      </c>
      <c r="J365" s="10" t="str">
        <f>_xlfn.XLOOKUP(B365,DataSet!$N$2:$N$600,DataSet!$M$2:$M$600,0)</f>
        <v>East</v>
      </c>
      <c r="K365" s="10" t="str">
        <f>_xlfn.XLOOKUP(B365,DataSet!$N$2:$N$600,DataSet!$O$2:$O$600,0)</f>
        <v>Furniture</v>
      </c>
      <c r="L365" s="10" t="str">
        <f>_xlfn.XLOOKUP(B365,DataSet!$N$2:$N$600,DataSet!$Y$2:$Y$600,0)</f>
        <v>Chairs</v>
      </c>
      <c r="M365" s="10" t="str">
        <f>_xlfn.XLOOKUP(B365,DataSet!$N$2:$N$600,DataSet!$Q$2:$Q$600,0)</f>
        <v>Global Ergonomic Managers Chair</v>
      </c>
      <c r="N365" s="16">
        <f>_xlfn.XLOOKUP(B365,DataSet!$N$2:$N$600,DataSet!$AA$2:$AA$600,0)</f>
        <v>488.64600000000002</v>
      </c>
      <c r="O365" s="10">
        <f>_xlfn.XLOOKUP(B365,DataSet!$N$2:$N$600,DataSet!$S$2:$S$600,0)</f>
        <v>3</v>
      </c>
      <c r="P365" s="15">
        <f>_xlfn.XLOOKUP(B365,DataSet!$N$2:$N$600,DataSet!$T$2:$T$600,0)</f>
        <v>0.1</v>
      </c>
      <c r="Q365" s="14">
        <f>_xlfn.XLOOKUP(B365,DataSet!$N$2:$N$600,DataSet!$U$2:$U$600,0)</f>
        <v>86.870400000000004</v>
      </c>
      <c r="R365" s="16">
        <f>_xlfn.XLOOKUP(B365,DataSet!$N$2:$N$600,DataSet!$AB$2:$AB$600,0)</f>
        <v>1465.9380000000001</v>
      </c>
      <c r="S365" s="9">
        <f>_xlfn.XLOOKUP(B365,DataSet!$N$2:$N$600,DataSet!$AC$2:$AC$600,0)</f>
        <v>1319.3442000000002</v>
      </c>
    </row>
    <row r="366" spans="1:19" s="12" customFormat="1" x14ac:dyDescent="0.3">
      <c r="A366" s="27">
        <v>364</v>
      </c>
      <c r="B366" s="10" t="s">
        <v>1283</v>
      </c>
      <c r="C366" s="10" t="str">
        <f>_xlfn.XLOOKUP(B366,DataSet!$N$2:$N$600,DataSet!$AF$2:$AF$600,0)</f>
        <v>144904</v>
      </c>
      <c r="D366" s="10" t="str">
        <f>_xlfn.XLOOKUP(B366,DataSet!$N$2:$N$600,DataSet!$G$2:$G$600,0)</f>
        <v>Katrina Willman</v>
      </c>
      <c r="E366" s="10" t="str">
        <f>_xlfn.XLOOKUP(B366,DataSet!$N$2:$N$600,DataSet!$F$2:$F$600,0)</f>
        <v>KW-16435</v>
      </c>
      <c r="F366" s="10" t="str">
        <f>_xlfn.XLOOKUP(B366,DataSet!$N$2:$N$600,DataSet!$W$2:$W$600,0)</f>
        <v>Consumer</v>
      </c>
      <c r="G366" s="13">
        <f>_xlfn.XLOOKUP(B366,DataSet!$N$2:$N$600,DataSet!$C$2:$C$600,0)</f>
        <v>43003</v>
      </c>
      <c r="H366" s="10" t="str">
        <f>_xlfn.XLOOKUP(B366,DataSet!$N$2:$N$600,DataSet!$I$2:$I$600,0)</f>
        <v>United States</v>
      </c>
      <c r="I366" s="10" t="str">
        <f>_xlfn.XLOOKUP(B366,DataSet!$N$2:$N$600,DataSet!$X$2:$X$600,0)</f>
        <v>New York City - New York</v>
      </c>
      <c r="J366" s="10" t="str">
        <f>_xlfn.XLOOKUP(B366,DataSet!$N$2:$N$600,DataSet!$M$2:$M$600,0)</f>
        <v>East</v>
      </c>
      <c r="K366" s="10" t="str">
        <f>_xlfn.XLOOKUP(B366,DataSet!$N$2:$N$600,DataSet!$O$2:$O$600,0)</f>
        <v>Office Supplies</v>
      </c>
      <c r="L366" s="10" t="str">
        <f>_xlfn.XLOOKUP(B366,DataSet!$N$2:$N$600,DataSet!$Y$2:$Y$600,0)</f>
        <v>Art</v>
      </c>
      <c r="M366" s="10" t="str">
        <f>_xlfn.XLOOKUP(B366,DataSet!$N$2:$N$600,DataSet!$Q$2:$Q$600,0)</f>
        <v>Newell 333</v>
      </c>
      <c r="N366" s="16">
        <f>_xlfn.XLOOKUP(B366,DataSet!$N$2:$N$600,DataSet!$AA$2:$AA$600,0)</f>
        <v>5.56</v>
      </c>
      <c r="O366" s="10">
        <f>_xlfn.XLOOKUP(B366,DataSet!$N$2:$N$600,DataSet!$S$2:$S$600,0)</f>
        <v>2</v>
      </c>
      <c r="P366" s="15">
        <f>_xlfn.XLOOKUP(B366,DataSet!$N$2:$N$600,DataSet!$T$2:$T$600,0)</f>
        <v>0</v>
      </c>
      <c r="Q366" s="14">
        <f>_xlfn.XLOOKUP(B366,DataSet!$N$2:$N$600,DataSet!$U$2:$U$600,0)</f>
        <v>1.4456</v>
      </c>
      <c r="R366" s="16">
        <f>_xlfn.XLOOKUP(B366,DataSet!$N$2:$N$600,DataSet!$AB$2:$AB$600,0)</f>
        <v>11.12</v>
      </c>
      <c r="S366" s="9">
        <f>_xlfn.XLOOKUP(B366,DataSet!$N$2:$N$600,DataSet!$AC$2:$AC$600,0)</f>
        <v>11.12</v>
      </c>
    </row>
    <row r="367" spans="1:19" s="12" customFormat="1" x14ac:dyDescent="0.3">
      <c r="A367" s="27">
        <v>365</v>
      </c>
      <c r="B367" s="10" t="s">
        <v>1285</v>
      </c>
      <c r="C367" s="10" t="str">
        <f>_xlfn.XLOOKUP(B367,DataSet!$N$2:$N$600,DataSet!$AF$2:$AF$600,0)</f>
        <v>144904</v>
      </c>
      <c r="D367" s="10" t="str">
        <f>_xlfn.XLOOKUP(B367,DataSet!$N$2:$N$600,DataSet!$G$2:$G$600,0)</f>
        <v>Katrina Willman</v>
      </c>
      <c r="E367" s="10" t="str">
        <f>_xlfn.XLOOKUP(B367,DataSet!$N$2:$N$600,DataSet!$F$2:$F$600,0)</f>
        <v>KW-16435</v>
      </c>
      <c r="F367" s="10" t="str">
        <f>_xlfn.XLOOKUP(B367,DataSet!$N$2:$N$600,DataSet!$W$2:$W$600,0)</f>
        <v>Consumer</v>
      </c>
      <c r="G367" s="13">
        <f>_xlfn.XLOOKUP(B367,DataSet!$N$2:$N$600,DataSet!$C$2:$C$600,0)</f>
        <v>43003</v>
      </c>
      <c r="H367" s="10" t="str">
        <f>_xlfn.XLOOKUP(B367,DataSet!$N$2:$N$600,DataSet!$I$2:$I$600,0)</f>
        <v>United States</v>
      </c>
      <c r="I367" s="10" t="str">
        <f>_xlfn.XLOOKUP(B367,DataSet!$N$2:$N$600,DataSet!$X$2:$X$600,0)</f>
        <v>New York City - New York</v>
      </c>
      <c r="J367" s="10" t="str">
        <f>_xlfn.XLOOKUP(B367,DataSet!$N$2:$N$600,DataSet!$M$2:$M$600,0)</f>
        <v>East</v>
      </c>
      <c r="K367" s="10" t="str">
        <f>_xlfn.XLOOKUP(B367,DataSet!$N$2:$N$600,DataSet!$O$2:$O$600,0)</f>
        <v>Furniture</v>
      </c>
      <c r="L367" s="10" t="str">
        <f>_xlfn.XLOOKUP(B367,DataSet!$N$2:$N$600,DataSet!$Y$2:$Y$600,0)</f>
        <v>Furnishings</v>
      </c>
      <c r="M367" s="10" t="str">
        <f>_xlfn.XLOOKUP(B367,DataSet!$N$2:$N$600,DataSet!$Q$2:$Q$600,0)</f>
        <v>Eldon Wave Desk Accessories</v>
      </c>
      <c r="N367" s="16">
        <f>_xlfn.XLOOKUP(B367,DataSet!$N$2:$N$600,DataSet!$AA$2:$AA$600,0)</f>
        <v>47.12</v>
      </c>
      <c r="O367" s="10">
        <f>_xlfn.XLOOKUP(B367,DataSet!$N$2:$N$600,DataSet!$S$2:$S$600,0)</f>
        <v>8</v>
      </c>
      <c r="P367" s="15">
        <f>_xlfn.XLOOKUP(B367,DataSet!$N$2:$N$600,DataSet!$T$2:$T$600,0)</f>
        <v>0</v>
      </c>
      <c r="Q367" s="14">
        <f>_xlfn.XLOOKUP(B367,DataSet!$N$2:$N$600,DataSet!$U$2:$U$600,0)</f>
        <v>20.732800000000001</v>
      </c>
      <c r="R367" s="16">
        <f>_xlfn.XLOOKUP(B367,DataSet!$N$2:$N$600,DataSet!$AB$2:$AB$600,0)</f>
        <v>376.96</v>
      </c>
      <c r="S367" s="9">
        <f>_xlfn.XLOOKUP(B367,DataSet!$N$2:$N$600,DataSet!$AC$2:$AC$600,0)</f>
        <v>376.96</v>
      </c>
    </row>
    <row r="368" spans="1:19" s="12" customFormat="1" x14ac:dyDescent="0.3">
      <c r="A368" s="27">
        <v>366</v>
      </c>
      <c r="B368" s="10" t="s">
        <v>237</v>
      </c>
      <c r="C368" s="10" t="str">
        <f>_xlfn.XLOOKUP(B368,DataSet!$N$2:$N$600,DataSet!$AF$2:$AF$600,0)</f>
        <v>146703</v>
      </c>
      <c r="D368" s="10" t="str">
        <f>_xlfn.XLOOKUP(B368,DataSet!$N$2:$N$600,DataSet!$G$2:$G$600,0)</f>
        <v>Patrick O'Donnell</v>
      </c>
      <c r="E368" s="10" t="str">
        <f>_xlfn.XLOOKUP(B368,DataSet!$N$2:$N$600,DataSet!$F$2:$F$600,0)</f>
        <v>PO-18865</v>
      </c>
      <c r="F368" s="10" t="str">
        <f>_xlfn.XLOOKUP(B368,DataSet!$N$2:$N$600,DataSet!$W$2:$W$600,0)</f>
        <v>Consumer</v>
      </c>
      <c r="G368" s="13">
        <f>_xlfn.XLOOKUP(B368,DataSet!$N$2:$N$600,DataSet!$C$2:$C$600,0)</f>
        <v>41932</v>
      </c>
      <c r="H368" s="10" t="str">
        <f>_xlfn.XLOOKUP(B368,DataSet!$N$2:$N$600,DataSet!$I$2:$I$600,0)</f>
        <v>United States</v>
      </c>
      <c r="I368" s="10" t="str">
        <f>_xlfn.XLOOKUP(B368,DataSet!$N$2:$N$600,DataSet!$X$2:$X$600,0)</f>
        <v>Westland - Michigan</v>
      </c>
      <c r="J368" s="10" t="str">
        <f>_xlfn.XLOOKUP(B368,DataSet!$N$2:$N$600,DataSet!$M$2:$M$600,0)</f>
        <v>Central</v>
      </c>
      <c r="K368" s="10" t="str">
        <f>_xlfn.XLOOKUP(B368,DataSet!$N$2:$N$600,DataSet!$O$2:$O$600,0)</f>
        <v>Office Supplies</v>
      </c>
      <c r="L368" s="10" t="str">
        <f>_xlfn.XLOOKUP(B368,DataSet!$N$2:$N$600,DataSet!$Y$2:$Y$600,0)</f>
        <v>Storage</v>
      </c>
      <c r="M368" s="10" t="str">
        <f>_xlfn.XLOOKUP(B368,DataSet!$N$2:$N$600,DataSet!$Q$2:$Q$600,0)</f>
        <v>Gould Plastics 9-Pocket Panel Bin, 18-3/8w x 5-1/4d x 20-1/2h, Black</v>
      </c>
      <c r="N368" s="16">
        <f>_xlfn.XLOOKUP(B368,DataSet!$N$2:$N$600,DataSet!$AA$2:$AA$600,0)</f>
        <v>211.96</v>
      </c>
      <c r="O368" s="10">
        <f>_xlfn.XLOOKUP(B368,DataSet!$N$2:$N$600,DataSet!$S$2:$S$600,0)</f>
        <v>4</v>
      </c>
      <c r="P368" s="15">
        <f>_xlfn.XLOOKUP(B368,DataSet!$N$2:$N$600,DataSet!$T$2:$T$600,0)</f>
        <v>0</v>
      </c>
      <c r="Q368" s="14">
        <f>_xlfn.XLOOKUP(B368,DataSet!$N$2:$N$600,DataSet!$U$2:$U$600,0)</f>
        <v>8.4784000000000006</v>
      </c>
      <c r="R368" s="16">
        <f>_xlfn.XLOOKUP(B368,DataSet!$N$2:$N$600,DataSet!$AB$2:$AB$600,0)</f>
        <v>847.84</v>
      </c>
      <c r="S368" s="9">
        <f>_xlfn.XLOOKUP(B368,DataSet!$N$2:$N$600,DataSet!$AC$2:$AC$600,0)</f>
        <v>847.84</v>
      </c>
    </row>
    <row r="369" spans="1:19" s="12" customFormat="1" x14ac:dyDescent="0.3">
      <c r="A369" s="27">
        <v>367</v>
      </c>
      <c r="B369" s="10" t="s">
        <v>1295</v>
      </c>
      <c r="C369" s="10" t="str">
        <f>_xlfn.XLOOKUP(B369,DataSet!$N$2:$N$600,DataSet!$AF$2:$AF$600,0)</f>
        <v>155516</v>
      </c>
      <c r="D369" s="10" t="str">
        <f>_xlfn.XLOOKUP(B369,DataSet!$N$2:$N$600,DataSet!$G$2:$G$600,0)</f>
        <v>Michael Kennedy</v>
      </c>
      <c r="E369" s="10" t="str">
        <f>_xlfn.XLOOKUP(B369,DataSet!$N$2:$N$600,DataSet!$F$2:$F$600,0)</f>
        <v>MK-17905</v>
      </c>
      <c r="F369" s="10" t="str">
        <f>_xlfn.XLOOKUP(B369,DataSet!$N$2:$N$600,DataSet!$W$2:$W$600,0)</f>
        <v>Corporate</v>
      </c>
      <c r="G369" s="13">
        <f>_xlfn.XLOOKUP(B369,DataSet!$N$2:$N$600,DataSet!$C$2:$C$600,0)</f>
        <v>42664</v>
      </c>
      <c r="H369" s="10" t="str">
        <f>_xlfn.XLOOKUP(B369,DataSet!$N$2:$N$600,DataSet!$I$2:$I$600,0)</f>
        <v>United States</v>
      </c>
      <c r="I369" s="10" t="str">
        <f>_xlfn.XLOOKUP(B369,DataSet!$N$2:$N$600,DataSet!$X$2:$X$600,0)</f>
        <v>Manchester - Connecticut</v>
      </c>
      <c r="J369" s="10" t="str">
        <f>_xlfn.XLOOKUP(B369,DataSet!$N$2:$N$600,DataSet!$M$2:$M$600,0)</f>
        <v>East</v>
      </c>
      <c r="K369" s="10" t="str">
        <f>_xlfn.XLOOKUP(B369,DataSet!$N$2:$N$600,DataSet!$O$2:$O$600,0)</f>
        <v>Office Supplies</v>
      </c>
      <c r="L369" s="10" t="str">
        <f>_xlfn.XLOOKUP(B369,DataSet!$N$2:$N$600,DataSet!$Y$2:$Y$600,0)</f>
        <v>Binders</v>
      </c>
      <c r="M369" s="10" t="str">
        <f>_xlfn.XLOOKUP(B369,DataSet!$N$2:$N$600,DataSet!$Q$2:$Q$600,0)</f>
        <v>Wilson Jones “Snap” Scratch Pad Binder Tool for Ring Binders</v>
      </c>
      <c r="N369" s="16">
        <f>_xlfn.XLOOKUP(B369,DataSet!$N$2:$N$600,DataSet!$AA$2:$AA$600,0)</f>
        <v>23.2</v>
      </c>
      <c r="O369" s="10">
        <f>_xlfn.XLOOKUP(B369,DataSet!$N$2:$N$600,DataSet!$S$2:$S$600,0)</f>
        <v>4</v>
      </c>
      <c r="P369" s="15">
        <f>_xlfn.XLOOKUP(B369,DataSet!$N$2:$N$600,DataSet!$T$2:$T$600,0)</f>
        <v>0</v>
      </c>
      <c r="Q369" s="14">
        <f>_xlfn.XLOOKUP(B369,DataSet!$N$2:$N$600,DataSet!$U$2:$U$600,0)</f>
        <v>10.44</v>
      </c>
      <c r="R369" s="16">
        <f>_xlfn.XLOOKUP(B369,DataSet!$N$2:$N$600,DataSet!$AB$2:$AB$600,0)</f>
        <v>92.8</v>
      </c>
      <c r="S369" s="9">
        <f>_xlfn.XLOOKUP(B369,DataSet!$N$2:$N$600,DataSet!$AC$2:$AC$600,0)</f>
        <v>92.8</v>
      </c>
    </row>
    <row r="370" spans="1:19" s="12" customFormat="1" x14ac:dyDescent="0.3">
      <c r="A370" s="27">
        <v>368</v>
      </c>
      <c r="B370" s="10" t="s">
        <v>1297</v>
      </c>
      <c r="C370" s="10" t="str">
        <f>_xlfn.XLOOKUP(B370,DataSet!$N$2:$N$600,DataSet!$AF$2:$AF$600,0)</f>
        <v>155516</v>
      </c>
      <c r="D370" s="10" t="str">
        <f>_xlfn.XLOOKUP(B370,DataSet!$N$2:$N$600,DataSet!$G$2:$G$600,0)</f>
        <v>Michael Kennedy</v>
      </c>
      <c r="E370" s="10" t="str">
        <f>_xlfn.XLOOKUP(B370,DataSet!$N$2:$N$600,DataSet!$F$2:$F$600,0)</f>
        <v>MK-17905</v>
      </c>
      <c r="F370" s="10" t="str">
        <f>_xlfn.XLOOKUP(B370,DataSet!$N$2:$N$600,DataSet!$W$2:$W$600,0)</f>
        <v>Corporate</v>
      </c>
      <c r="G370" s="13">
        <f>_xlfn.XLOOKUP(B370,DataSet!$N$2:$N$600,DataSet!$C$2:$C$600,0)</f>
        <v>42664</v>
      </c>
      <c r="H370" s="10" t="str">
        <f>_xlfn.XLOOKUP(B370,DataSet!$N$2:$N$600,DataSet!$I$2:$I$600,0)</f>
        <v>United States</v>
      </c>
      <c r="I370" s="10" t="str">
        <f>_xlfn.XLOOKUP(B370,DataSet!$N$2:$N$600,DataSet!$X$2:$X$600,0)</f>
        <v>Manchester - Connecticut</v>
      </c>
      <c r="J370" s="10" t="str">
        <f>_xlfn.XLOOKUP(B370,DataSet!$N$2:$N$600,DataSet!$M$2:$M$600,0)</f>
        <v>East</v>
      </c>
      <c r="K370" s="10" t="str">
        <f>_xlfn.XLOOKUP(B370,DataSet!$N$2:$N$600,DataSet!$O$2:$O$600,0)</f>
        <v>Office Supplies</v>
      </c>
      <c r="L370" s="10" t="str">
        <f>_xlfn.XLOOKUP(B370,DataSet!$N$2:$N$600,DataSet!$Y$2:$Y$600,0)</f>
        <v>Supplies</v>
      </c>
      <c r="M370" s="10" t="str">
        <f>_xlfn.XLOOKUP(B370,DataSet!$N$2:$N$600,DataSet!$Q$2:$Q$600,0)</f>
        <v>Staple remover</v>
      </c>
      <c r="N370" s="16">
        <f>_xlfn.XLOOKUP(B370,DataSet!$N$2:$N$600,DataSet!$AA$2:$AA$600,0)</f>
        <v>7.36</v>
      </c>
      <c r="O370" s="10">
        <f>_xlfn.XLOOKUP(B370,DataSet!$N$2:$N$600,DataSet!$S$2:$S$600,0)</f>
        <v>2</v>
      </c>
      <c r="P370" s="15">
        <f>_xlfn.XLOOKUP(B370,DataSet!$N$2:$N$600,DataSet!$T$2:$T$600,0)</f>
        <v>0</v>
      </c>
      <c r="Q370" s="14">
        <f>_xlfn.XLOOKUP(B370,DataSet!$N$2:$N$600,DataSet!$U$2:$U$600,0)</f>
        <v>0.1472</v>
      </c>
      <c r="R370" s="16">
        <f>_xlfn.XLOOKUP(B370,DataSet!$N$2:$N$600,DataSet!$AB$2:$AB$600,0)</f>
        <v>14.72</v>
      </c>
      <c r="S370" s="9">
        <f>_xlfn.XLOOKUP(B370,DataSet!$N$2:$N$600,DataSet!$AC$2:$AC$600,0)</f>
        <v>14.72</v>
      </c>
    </row>
    <row r="371" spans="1:19" s="12" customFormat="1" x14ac:dyDescent="0.3">
      <c r="A371" s="27">
        <v>369</v>
      </c>
      <c r="B371" s="10" t="s">
        <v>1299</v>
      </c>
      <c r="C371" s="10" t="str">
        <f>_xlfn.XLOOKUP(B371,DataSet!$N$2:$N$600,DataSet!$AF$2:$AF$600,0)</f>
        <v>155516</v>
      </c>
      <c r="D371" s="10" t="str">
        <f>_xlfn.XLOOKUP(B371,DataSet!$N$2:$N$600,DataSet!$G$2:$G$600,0)</f>
        <v>Michael Kennedy</v>
      </c>
      <c r="E371" s="10" t="str">
        <f>_xlfn.XLOOKUP(B371,DataSet!$N$2:$N$600,DataSet!$F$2:$F$600,0)</f>
        <v>MK-17905</v>
      </c>
      <c r="F371" s="10" t="str">
        <f>_xlfn.XLOOKUP(B371,DataSet!$N$2:$N$600,DataSet!$W$2:$W$600,0)</f>
        <v>Corporate</v>
      </c>
      <c r="G371" s="13">
        <f>_xlfn.XLOOKUP(B371,DataSet!$N$2:$N$600,DataSet!$C$2:$C$600,0)</f>
        <v>42664</v>
      </c>
      <c r="H371" s="10" t="str">
        <f>_xlfn.XLOOKUP(B371,DataSet!$N$2:$N$600,DataSet!$I$2:$I$600,0)</f>
        <v>United States</v>
      </c>
      <c r="I371" s="10" t="str">
        <f>_xlfn.XLOOKUP(B371,DataSet!$N$2:$N$600,DataSet!$X$2:$X$600,0)</f>
        <v>Manchester - Connecticut</v>
      </c>
      <c r="J371" s="10" t="str">
        <f>_xlfn.XLOOKUP(B371,DataSet!$N$2:$N$600,DataSet!$M$2:$M$600,0)</f>
        <v>East</v>
      </c>
      <c r="K371" s="10" t="str">
        <f>_xlfn.XLOOKUP(B371,DataSet!$N$2:$N$600,DataSet!$O$2:$O$600,0)</f>
        <v>Office Supplies</v>
      </c>
      <c r="L371" s="10" t="str">
        <f>_xlfn.XLOOKUP(B371,DataSet!$N$2:$N$600,DataSet!$Y$2:$Y$600,0)</f>
        <v>Storage</v>
      </c>
      <c r="M371" s="10" t="str">
        <f>_xlfn.XLOOKUP(B371,DataSet!$N$2:$N$600,DataSet!$Q$2:$Q$600,0)</f>
        <v>Pizazz Global Quick File</v>
      </c>
      <c r="N371" s="16">
        <f>_xlfn.XLOOKUP(B371,DataSet!$N$2:$N$600,DataSet!$AA$2:$AA$600,0)</f>
        <v>104.79</v>
      </c>
      <c r="O371" s="10">
        <f>_xlfn.XLOOKUP(B371,DataSet!$N$2:$N$600,DataSet!$S$2:$S$600,0)</f>
        <v>7</v>
      </c>
      <c r="P371" s="15">
        <f>_xlfn.XLOOKUP(B371,DataSet!$N$2:$N$600,DataSet!$T$2:$T$600,0)</f>
        <v>0</v>
      </c>
      <c r="Q371" s="14">
        <f>_xlfn.XLOOKUP(B371,DataSet!$N$2:$N$600,DataSet!$U$2:$U$600,0)</f>
        <v>29.341200000000001</v>
      </c>
      <c r="R371" s="16">
        <f>_xlfn.XLOOKUP(B371,DataSet!$N$2:$N$600,DataSet!$AB$2:$AB$600,0)</f>
        <v>733.53000000000009</v>
      </c>
      <c r="S371" s="9">
        <f>_xlfn.XLOOKUP(B371,DataSet!$N$2:$N$600,DataSet!$AC$2:$AC$600,0)</f>
        <v>733.53000000000009</v>
      </c>
    </row>
    <row r="372" spans="1:19" s="12" customFormat="1" x14ac:dyDescent="0.3">
      <c r="A372" s="27">
        <v>370</v>
      </c>
      <c r="B372" s="10" t="s">
        <v>199</v>
      </c>
      <c r="C372" s="10" t="str">
        <f>_xlfn.XLOOKUP(B372,DataSet!$N$2:$N$600,DataSet!$AF$2:$AF$600,0)</f>
        <v>117415</v>
      </c>
      <c r="D372" s="10" t="str">
        <f>_xlfn.XLOOKUP(B372,DataSet!$N$2:$N$600,DataSet!$G$2:$G$600,0)</f>
        <v>Steve Nguyen</v>
      </c>
      <c r="E372" s="10" t="str">
        <f>_xlfn.XLOOKUP(B372,DataSet!$N$2:$N$600,DataSet!$F$2:$F$600,0)</f>
        <v>SN-20710</v>
      </c>
      <c r="F372" s="10" t="str">
        <f>_xlfn.XLOOKUP(B372,DataSet!$N$2:$N$600,DataSet!$W$2:$W$600,0)</f>
        <v>Home Office</v>
      </c>
      <c r="G372" s="13">
        <f>_xlfn.XLOOKUP(B372,DataSet!$N$2:$N$600,DataSet!$C$2:$C$600,0)</f>
        <v>42365</v>
      </c>
      <c r="H372" s="10" t="str">
        <f>_xlfn.XLOOKUP(B372,DataSet!$N$2:$N$600,DataSet!$I$2:$I$600,0)</f>
        <v>United States</v>
      </c>
      <c r="I372" s="10" t="str">
        <f>_xlfn.XLOOKUP(B372,DataSet!$N$2:$N$600,DataSet!$X$2:$X$600,0)</f>
        <v>Houston - Texas</v>
      </c>
      <c r="J372" s="10" t="str">
        <f>_xlfn.XLOOKUP(B372,DataSet!$N$2:$N$600,DataSet!$M$2:$M$600,0)</f>
        <v>Central</v>
      </c>
      <c r="K372" s="10" t="str">
        <f>_xlfn.XLOOKUP(B372,DataSet!$N$2:$N$600,DataSet!$O$2:$O$600,0)</f>
        <v>Furniture</v>
      </c>
      <c r="L372" s="10" t="str">
        <f>_xlfn.XLOOKUP(B372,DataSet!$N$2:$N$600,DataSet!$Y$2:$Y$600,0)</f>
        <v>Bookcases</v>
      </c>
      <c r="M372" s="10" t="str">
        <f>_xlfn.XLOOKUP(B372,DataSet!$N$2:$N$600,DataSet!$Q$2:$Q$600,0)</f>
        <v>Atlantic Metals Mobile 3-Shelf Bookcases, Custom Colors</v>
      </c>
      <c r="N372" s="16">
        <f>_xlfn.XLOOKUP(B372,DataSet!$N$2:$N$600,DataSet!$AA$2:$AA$600,0)</f>
        <v>532.39919999999995</v>
      </c>
      <c r="O372" s="10">
        <f>_xlfn.XLOOKUP(B372,DataSet!$N$2:$N$600,DataSet!$S$2:$S$600,0)</f>
        <v>3</v>
      </c>
      <c r="P372" s="15">
        <f>_xlfn.XLOOKUP(B372,DataSet!$N$2:$N$600,DataSet!$T$2:$T$600,0)</f>
        <v>0.32</v>
      </c>
      <c r="Q372" s="14">
        <f>_xlfn.XLOOKUP(B372,DataSet!$N$2:$N$600,DataSet!$U$2:$U$600,0)</f>
        <v>-46.976399999999998</v>
      </c>
      <c r="R372" s="16">
        <f>_xlfn.XLOOKUP(B372,DataSet!$N$2:$N$600,DataSet!$AB$2:$AB$600,0)</f>
        <v>1597.1976</v>
      </c>
      <c r="S372" s="9">
        <f>_xlfn.XLOOKUP(B372,DataSet!$N$2:$N$600,DataSet!$AC$2:$AC$600,0)</f>
        <v>1086.0943679999998</v>
      </c>
    </row>
    <row r="373" spans="1:19" s="12" customFormat="1" x14ac:dyDescent="0.3">
      <c r="A373" s="27">
        <v>371</v>
      </c>
      <c r="B373" s="10" t="s">
        <v>1305</v>
      </c>
      <c r="C373" s="10" t="str">
        <f>_xlfn.XLOOKUP(B373,DataSet!$N$2:$N$600,DataSet!$AF$2:$AF$600,0)</f>
        <v>104745</v>
      </c>
      <c r="D373" s="10" t="str">
        <f>_xlfn.XLOOKUP(B373,DataSet!$N$2:$N$600,DataSet!$G$2:$G$600,0)</f>
        <v>Guy Thornton</v>
      </c>
      <c r="E373" s="10" t="str">
        <f>_xlfn.XLOOKUP(B373,DataSet!$N$2:$N$600,DataSet!$F$2:$F$600,0)</f>
        <v>GT-14755</v>
      </c>
      <c r="F373" s="10" t="str">
        <f>_xlfn.XLOOKUP(B373,DataSet!$N$2:$N$600,DataSet!$W$2:$W$600,0)</f>
        <v>Consumer</v>
      </c>
      <c r="G373" s="13">
        <f>_xlfn.XLOOKUP(B373,DataSet!$N$2:$N$600,DataSet!$C$2:$C$600,0)</f>
        <v>42884</v>
      </c>
      <c r="H373" s="10" t="str">
        <f>_xlfn.XLOOKUP(B373,DataSet!$N$2:$N$600,DataSet!$I$2:$I$600,0)</f>
        <v>United States</v>
      </c>
      <c r="I373" s="10" t="str">
        <f>_xlfn.XLOOKUP(B373,DataSet!$N$2:$N$600,DataSet!$X$2:$X$600,0)</f>
        <v>Harlingen - Texas</v>
      </c>
      <c r="J373" s="10" t="str">
        <f>_xlfn.XLOOKUP(B373,DataSet!$N$2:$N$600,DataSet!$M$2:$M$600,0)</f>
        <v>Central</v>
      </c>
      <c r="K373" s="10" t="str">
        <f>_xlfn.XLOOKUP(B373,DataSet!$N$2:$N$600,DataSet!$O$2:$O$600,0)</f>
        <v>Office Supplies</v>
      </c>
      <c r="L373" s="10" t="str">
        <f>_xlfn.XLOOKUP(B373,DataSet!$N$2:$N$600,DataSet!$Y$2:$Y$600,0)</f>
        <v>Paper</v>
      </c>
      <c r="M373" s="10" t="str">
        <f>_xlfn.XLOOKUP(B373,DataSet!$N$2:$N$600,DataSet!$Q$2:$Q$600,0)</f>
        <v>Xerox 1930</v>
      </c>
      <c r="N373" s="16">
        <f>_xlfn.XLOOKUP(B373,DataSet!$N$2:$N$600,DataSet!$AA$2:$AA$600,0)</f>
        <v>25.92</v>
      </c>
      <c r="O373" s="10">
        <f>_xlfn.XLOOKUP(B373,DataSet!$N$2:$N$600,DataSet!$S$2:$S$600,0)</f>
        <v>5</v>
      </c>
      <c r="P373" s="15">
        <f>_xlfn.XLOOKUP(B373,DataSet!$N$2:$N$600,DataSet!$T$2:$T$600,0)</f>
        <v>0.2</v>
      </c>
      <c r="Q373" s="14">
        <f>_xlfn.XLOOKUP(B373,DataSet!$N$2:$N$600,DataSet!$U$2:$U$600,0)</f>
        <v>9.3960000000000008</v>
      </c>
      <c r="R373" s="16">
        <f>_xlfn.XLOOKUP(B373,DataSet!$N$2:$N$600,DataSet!$AB$2:$AB$600,0)</f>
        <v>129.60000000000002</v>
      </c>
      <c r="S373" s="9">
        <f>_xlfn.XLOOKUP(B373,DataSet!$N$2:$N$600,DataSet!$AC$2:$AC$600,0)</f>
        <v>103.68000000000002</v>
      </c>
    </row>
    <row r="374" spans="1:19" s="12" customFormat="1" x14ac:dyDescent="0.3">
      <c r="A374" s="27">
        <v>372</v>
      </c>
      <c r="B374" s="10" t="s">
        <v>1307</v>
      </c>
      <c r="C374" s="10" t="str">
        <f>_xlfn.XLOOKUP(B374,DataSet!$N$2:$N$600,DataSet!$AF$2:$AF$600,0)</f>
        <v>104745</v>
      </c>
      <c r="D374" s="10" t="str">
        <f>_xlfn.XLOOKUP(B374,DataSet!$N$2:$N$600,DataSet!$G$2:$G$600,0)</f>
        <v>Guy Thornton</v>
      </c>
      <c r="E374" s="10" t="str">
        <f>_xlfn.XLOOKUP(B374,DataSet!$N$2:$N$600,DataSet!$F$2:$F$600,0)</f>
        <v>GT-14755</v>
      </c>
      <c r="F374" s="10" t="str">
        <f>_xlfn.XLOOKUP(B374,DataSet!$N$2:$N$600,DataSet!$W$2:$W$600,0)</f>
        <v>Consumer</v>
      </c>
      <c r="G374" s="13">
        <f>_xlfn.XLOOKUP(B374,DataSet!$N$2:$N$600,DataSet!$C$2:$C$600,0)</f>
        <v>42884</v>
      </c>
      <c r="H374" s="10" t="str">
        <f>_xlfn.XLOOKUP(B374,DataSet!$N$2:$N$600,DataSet!$I$2:$I$600,0)</f>
        <v>United States</v>
      </c>
      <c r="I374" s="10" t="str">
        <f>_xlfn.XLOOKUP(B374,DataSet!$N$2:$N$600,DataSet!$X$2:$X$600,0)</f>
        <v>Harlingen - Texas</v>
      </c>
      <c r="J374" s="10" t="str">
        <f>_xlfn.XLOOKUP(B374,DataSet!$N$2:$N$600,DataSet!$M$2:$M$600,0)</f>
        <v>Central</v>
      </c>
      <c r="K374" s="10" t="str">
        <f>_xlfn.XLOOKUP(B374,DataSet!$N$2:$N$600,DataSet!$O$2:$O$600,0)</f>
        <v>Office Supplies</v>
      </c>
      <c r="L374" s="10" t="str">
        <f>_xlfn.XLOOKUP(B374,DataSet!$N$2:$N$600,DataSet!$Y$2:$Y$600,0)</f>
        <v>Storage</v>
      </c>
      <c r="M374" s="10" t="str">
        <f>_xlfn.XLOOKUP(B374,DataSet!$N$2:$N$600,DataSet!$Q$2:$Q$600,0)</f>
        <v>File Shuttle I and Handi-File</v>
      </c>
      <c r="N374" s="16">
        <f>_xlfn.XLOOKUP(B374,DataSet!$N$2:$N$600,DataSet!$AA$2:$AA$600,0)</f>
        <v>53.423999999999999</v>
      </c>
      <c r="O374" s="10">
        <f>_xlfn.XLOOKUP(B374,DataSet!$N$2:$N$600,DataSet!$S$2:$S$600,0)</f>
        <v>3</v>
      </c>
      <c r="P374" s="15">
        <f>_xlfn.XLOOKUP(B374,DataSet!$N$2:$N$600,DataSet!$T$2:$T$600,0)</f>
        <v>0.2</v>
      </c>
      <c r="Q374" s="14">
        <f>_xlfn.XLOOKUP(B374,DataSet!$N$2:$N$600,DataSet!$U$2:$U$600,0)</f>
        <v>4.6745999999999999</v>
      </c>
      <c r="R374" s="16">
        <f>_xlfn.XLOOKUP(B374,DataSet!$N$2:$N$600,DataSet!$AB$2:$AB$600,0)</f>
        <v>160.27199999999999</v>
      </c>
      <c r="S374" s="9">
        <f>_xlfn.XLOOKUP(B374,DataSet!$N$2:$N$600,DataSet!$AC$2:$AC$600,0)</f>
        <v>128.2176</v>
      </c>
    </row>
    <row r="375" spans="1:19" s="12" customFormat="1" x14ac:dyDescent="0.3">
      <c r="A375" s="27">
        <v>373</v>
      </c>
      <c r="B375" s="10" t="s">
        <v>1209</v>
      </c>
      <c r="C375" s="10" t="str">
        <f>_xlfn.XLOOKUP(B375,DataSet!$N$2:$N$600,DataSet!$AF$2:$AF$600,0)</f>
        <v>150147</v>
      </c>
      <c r="D375" s="10" t="str">
        <f>_xlfn.XLOOKUP(B375,DataSet!$N$2:$N$600,DataSet!$G$2:$G$600,0)</f>
        <v>John Lucas</v>
      </c>
      <c r="E375" s="10" t="str">
        <f>_xlfn.XLOOKUP(B375,DataSet!$N$2:$N$600,DataSet!$F$2:$F$600,0)</f>
        <v>JL-15850</v>
      </c>
      <c r="F375" s="10" t="str">
        <f>_xlfn.XLOOKUP(B375,DataSet!$N$2:$N$600,DataSet!$W$2:$W$600,0)</f>
        <v>Consumer</v>
      </c>
      <c r="G375" s="13">
        <f>_xlfn.XLOOKUP(B375,DataSet!$N$2:$N$600,DataSet!$C$2:$C$600,0)</f>
        <v>42485</v>
      </c>
      <c r="H375" s="10" t="str">
        <f>_xlfn.XLOOKUP(B375,DataSet!$N$2:$N$600,DataSet!$I$2:$I$600,0)</f>
        <v>United States</v>
      </c>
      <c r="I375" s="10" t="str">
        <f>_xlfn.XLOOKUP(B375,DataSet!$N$2:$N$600,DataSet!$X$2:$X$600,0)</f>
        <v>Philadelphia - Pennsylvania</v>
      </c>
      <c r="J375" s="10" t="str">
        <f>_xlfn.XLOOKUP(B375,DataSet!$N$2:$N$600,DataSet!$M$2:$M$600,0)</f>
        <v>East</v>
      </c>
      <c r="K375" s="10" t="str">
        <f>_xlfn.XLOOKUP(B375,DataSet!$N$2:$N$600,DataSet!$O$2:$O$600,0)</f>
        <v>Office Supplies</v>
      </c>
      <c r="L375" s="10" t="str">
        <f>_xlfn.XLOOKUP(B375,DataSet!$N$2:$N$600,DataSet!$Y$2:$Y$600,0)</f>
        <v>Binders</v>
      </c>
      <c r="M375" s="10" t="str">
        <f>_xlfn.XLOOKUP(B375,DataSet!$N$2:$N$600,DataSet!$Q$2:$Q$600,0)</f>
        <v>Wilson Jones Custom Binder Spines &amp; Labels</v>
      </c>
      <c r="N375" s="16">
        <f>_xlfn.XLOOKUP(B375,DataSet!$N$2:$N$600,DataSet!$AA$2:$AA$600,0)</f>
        <v>4.8959999999999999</v>
      </c>
      <c r="O375" s="10">
        <f>_xlfn.XLOOKUP(B375,DataSet!$N$2:$N$600,DataSet!$S$2:$S$600,0)</f>
        <v>3</v>
      </c>
      <c r="P375" s="15">
        <f>_xlfn.XLOOKUP(B375,DataSet!$N$2:$N$600,DataSet!$T$2:$T$600,0)</f>
        <v>0.7</v>
      </c>
      <c r="Q375" s="14">
        <f>_xlfn.XLOOKUP(B375,DataSet!$N$2:$N$600,DataSet!$U$2:$U$600,0)</f>
        <v>-3.4272</v>
      </c>
      <c r="R375" s="16">
        <f>_xlfn.XLOOKUP(B375,DataSet!$N$2:$N$600,DataSet!$AB$2:$AB$600,0)</f>
        <v>14.687999999999999</v>
      </c>
      <c r="S375" s="9">
        <f>_xlfn.XLOOKUP(B375,DataSet!$N$2:$N$600,DataSet!$AC$2:$AC$600,0)</f>
        <v>4.4064000000000005</v>
      </c>
    </row>
    <row r="376" spans="1:19" s="12" customFormat="1" x14ac:dyDescent="0.3">
      <c r="A376" s="27">
        <v>374</v>
      </c>
      <c r="B376" s="10" t="s">
        <v>1313</v>
      </c>
      <c r="C376" s="10" t="str">
        <f>_xlfn.XLOOKUP(B376,DataSet!$N$2:$N$600,DataSet!$AF$2:$AF$600,0)</f>
        <v>119137</v>
      </c>
      <c r="D376" s="10" t="str">
        <f>_xlfn.XLOOKUP(B376,DataSet!$N$2:$N$600,DataSet!$G$2:$G$600,0)</f>
        <v>Arthur Gainer</v>
      </c>
      <c r="E376" s="10" t="str">
        <f>_xlfn.XLOOKUP(B376,DataSet!$N$2:$N$600,DataSet!$F$2:$F$600,0)</f>
        <v>AG-10900</v>
      </c>
      <c r="F376" s="10" t="str">
        <f>_xlfn.XLOOKUP(B376,DataSet!$N$2:$N$600,DataSet!$W$2:$W$600,0)</f>
        <v>Consumer</v>
      </c>
      <c r="G376" s="13">
        <f>_xlfn.XLOOKUP(B376,DataSet!$N$2:$N$600,DataSet!$C$2:$C$600,0)</f>
        <v>41843</v>
      </c>
      <c r="H376" s="10" t="str">
        <f>_xlfn.XLOOKUP(B376,DataSet!$N$2:$N$600,DataSet!$I$2:$I$600,0)</f>
        <v>United States</v>
      </c>
      <c r="I376" s="10" t="str">
        <f>_xlfn.XLOOKUP(B376,DataSet!$N$2:$N$600,DataSet!$X$2:$X$600,0)</f>
        <v>Tucson - Arizona</v>
      </c>
      <c r="J376" s="10" t="str">
        <f>_xlfn.XLOOKUP(B376,DataSet!$N$2:$N$600,DataSet!$M$2:$M$600,0)</f>
        <v>West</v>
      </c>
      <c r="K376" s="10" t="str">
        <f>_xlfn.XLOOKUP(B376,DataSet!$N$2:$N$600,DataSet!$O$2:$O$600,0)</f>
        <v>Technology</v>
      </c>
      <c r="L376" s="10" t="str">
        <f>_xlfn.XLOOKUP(B376,DataSet!$N$2:$N$600,DataSet!$Y$2:$Y$600,0)</f>
        <v>Accessories</v>
      </c>
      <c r="M376" s="10" t="str">
        <f>_xlfn.XLOOKUP(B376,DataSet!$N$2:$N$600,DataSet!$Q$2:$Q$600,0)</f>
        <v>NETGEAR AC1750 Dual Band Gigabit Smart WiFi Router</v>
      </c>
      <c r="N376" s="16">
        <f>_xlfn.XLOOKUP(B376,DataSet!$N$2:$N$600,DataSet!$AA$2:$AA$600,0)</f>
        <v>1023.936</v>
      </c>
      <c r="O376" s="10">
        <f>_xlfn.XLOOKUP(B376,DataSet!$N$2:$N$600,DataSet!$S$2:$S$600,0)</f>
        <v>8</v>
      </c>
      <c r="P376" s="15">
        <f>_xlfn.XLOOKUP(B376,DataSet!$N$2:$N$600,DataSet!$T$2:$T$600,0)</f>
        <v>0.2</v>
      </c>
      <c r="Q376" s="14">
        <f>_xlfn.XLOOKUP(B376,DataSet!$N$2:$N$600,DataSet!$U$2:$U$600,0)</f>
        <v>179.18879999999999</v>
      </c>
      <c r="R376" s="16">
        <f>_xlfn.XLOOKUP(B376,DataSet!$N$2:$N$600,DataSet!$AB$2:$AB$600,0)</f>
        <v>8191.4880000000003</v>
      </c>
      <c r="S376" s="9">
        <f>_xlfn.XLOOKUP(B376,DataSet!$N$2:$N$600,DataSet!$AC$2:$AC$600,0)</f>
        <v>6553.1904000000004</v>
      </c>
    </row>
    <row r="377" spans="1:19" s="12" customFormat="1" x14ac:dyDescent="0.3">
      <c r="A377" s="27">
        <v>375</v>
      </c>
      <c r="B377" s="10" t="s">
        <v>1315</v>
      </c>
      <c r="C377" s="10" t="str">
        <f>_xlfn.XLOOKUP(B377,DataSet!$N$2:$N$600,DataSet!$AF$2:$AF$600,0)</f>
        <v>119137</v>
      </c>
      <c r="D377" s="10" t="str">
        <f>_xlfn.XLOOKUP(B377,DataSet!$N$2:$N$600,DataSet!$G$2:$G$600,0)</f>
        <v>Arthur Gainer</v>
      </c>
      <c r="E377" s="10" t="str">
        <f>_xlfn.XLOOKUP(B377,DataSet!$N$2:$N$600,DataSet!$F$2:$F$600,0)</f>
        <v>AG-10900</v>
      </c>
      <c r="F377" s="10" t="str">
        <f>_xlfn.XLOOKUP(B377,DataSet!$N$2:$N$600,DataSet!$W$2:$W$600,0)</f>
        <v>Consumer</v>
      </c>
      <c r="G377" s="13">
        <f>_xlfn.XLOOKUP(B377,DataSet!$N$2:$N$600,DataSet!$C$2:$C$600,0)</f>
        <v>41843</v>
      </c>
      <c r="H377" s="10" t="str">
        <f>_xlfn.XLOOKUP(B377,DataSet!$N$2:$N$600,DataSet!$I$2:$I$600,0)</f>
        <v>United States</v>
      </c>
      <c r="I377" s="10" t="str">
        <f>_xlfn.XLOOKUP(B377,DataSet!$N$2:$N$600,DataSet!$X$2:$X$600,0)</f>
        <v>Tucson - Arizona</v>
      </c>
      <c r="J377" s="10" t="str">
        <f>_xlfn.XLOOKUP(B377,DataSet!$N$2:$N$600,DataSet!$M$2:$M$600,0)</f>
        <v>West</v>
      </c>
      <c r="K377" s="10" t="str">
        <f>_xlfn.XLOOKUP(B377,DataSet!$N$2:$N$600,DataSet!$O$2:$O$600,0)</f>
        <v>Office Supplies</v>
      </c>
      <c r="L377" s="10" t="str">
        <f>_xlfn.XLOOKUP(B377,DataSet!$N$2:$N$600,DataSet!$Y$2:$Y$600,0)</f>
        <v>Art</v>
      </c>
      <c r="M377" s="10" t="str">
        <f>_xlfn.XLOOKUP(B377,DataSet!$N$2:$N$600,DataSet!$Q$2:$Q$600,0)</f>
        <v>Newell 324</v>
      </c>
      <c r="N377" s="16">
        <f>_xlfn.XLOOKUP(B377,DataSet!$N$2:$N$600,DataSet!$AA$2:$AA$600,0)</f>
        <v>9.24</v>
      </c>
      <c r="O377" s="10">
        <f>_xlfn.XLOOKUP(B377,DataSet!$N$2:$N$600,DataSet!$S$2:$S$600,0)</f>
        <v>1</v>
      </c>
      <c r="P377" s="15">
        <f>_xlfn.XLOOKUP(B377,DataSet!$N$2:$N$600,DataSet!$T$2:$T$600,0)</f>
        <v>0.2</v>
      </c>
      <c r="Q377" s="14">
        <f>_xlfn.XLOOKUP(B377,DataSet!$N$2:$N$600,DataSet!$U$2:$U$600,0)</f>
        <v>0.92400000000000004</v>
      </c>
      <c r="R377" s="16">
        <f>_xlfn.XLOOKUP(B377,DataSet!$N$2:$N$600,DataSet!$AB$2:$AB$600,0)</f>
        <v>9.24</v>
      </c>
      <c r="S377" s="9">
        <f>_xlfn.XLOOKUP(B377,DataSet!$N$2:$N$600,DataSet!$AC$2:$AC$600,0)</f>
        <v>7.3920000000000003</v>
      </c>
    </row>
    <row r="378" spans="1:19" s="12" customFormat="1" x14ac:dyDescent="0.3">
      <c r="A378" s="27">
        <v>376</v>
      </c>
      <c r="B378" s="10" t="s">
        <v>1317</v>
      </c>
      <c r="C378" s="10" t="str">
        <f>_xlfn.XLOOKUP(B378,DataSet!$N$2:$N$600,DataSet!$AF$2:$AF$600,0)</f>
        <v>119137</v>
      </c>
      <c r="D378" s="10" t="str">
        <f>_xlfn.XLOOKUP(B378,DataSet!$N$2:$N$600,DataSet!$G$2:$G$600,0)</f>
        <v>Arthur Gainer</v>
      </c>
      <c r="E378" s="10" t="str">
        <f>_xlfn.XLOOKUP(B378,DataSet!$N$2:$N$600,DataSet!$F$2:$F$600,0)</f>
        <v>AG-10900</v>
      </c>
      <c r="F378" s="10" t="str">
        <f>_xlfn.XLOOKUP(B378,DataSet!$N$2:$N$600,DataSet!$W$2:$W$600,0)</f>
        <v>Consumer</v>
      </c>
      <c r="G378" s="13">
        <f>_xlfn.XLOOKUP(B378,DataSet!$N$2:$N$600,DataSet!$C$2:$C$600,0)</f>
        <v>41843</v>
      </c>
      <c r="H378" s="10" t="str">
        <f>_xlfn.XLOOKUP(B378,DataSet!$N$2:$N$600,DataSet!$I$2:$I$600,0)</f>
        <v>United States</v>
      </c>
      <c r="I378" s="10" t="str">
        <f>_xlfn.XLOOKUP(B378,DataSet!$N$2:$N$600,DataSet!$X$2:$X$600,0)</f>
        <v>Tucson - Arizona</v>
      </c>
      <c r="J378" s="10" t="str">
        <f>_xlfn.XLOOKUP(B378,DataSet!$N$2:$N$600,DataSet!$M$2:$M$600,0)</f>
        <v>West</v>
      </c>
      <c r="K378" s="10" t="str">
        <f>_xlfn.XLOOKUP(B378,DataSet!$N$2:$N$600,DataSet!$O$2:$O$600,0)</f>
        <v>Technology</v>
      </c>
      <c r="L378" s="10" t="str">
        <f>_xlfn.XLOOKUP(B378,DataSet!$N$2:$N$600,DataSet!$Y$2:$Y$600,0)</f>
        <v>Accessories</v>
      </c>
      <c r="M378" s="10" t="str">
        <f>_xlfn.XLOOKUP(B378,DataSet!$N$2:$N$600,DataSet!$Q$2:$Q$600,0)</f>
        <v>Microsoft Natural Keyboard Elite</v>
      </c>
      <c r="N378" s="16">
        <f>_xlfn.XLOOKUP(B378,DataSet!$N$2:$N$600,DataSet!$AA$2:$AA$600,0)</f>
        <v>479.04</v>
      </c>
      <c r="O378" s="10">
        <f>_xlfn.XLOOKUP(B378,DataSet!$N$2:$N$600,DataSet!$S$2:$S$600,0)</f>
        <v>10</v>
      </c>
      <c r="P378" s="15">
        <f>_xlfn.XLOOKUP(B378,DataSet!$N$2:$N$600,DataSet!$T$2:$T$600,0)</f>
        <v>0.2</v>
      </c>
      <c r="Q378" s="14">
        <f>_xlfn.XLOOKUP(B378,DataSet!$N$2:$N$600,DataSet!$U$2:$U$600,0)</f>
        <v>-29.94</v>
      </c>
      <c r="R378" s="16">
        <f>_xlfn.XLOOKUP(B378,DataSet!$N$2:$N$600,DataSet!$AB$2:$AB$600,0)</f>
        <v>4790.4000000000005</v>
      </c>
      <c r="S378" s="9">
        <f>_xlfn.XLOOKUP(B378,DataSet!$N$2:$N$600,DataSet!$AC$2:$AC$600,0)</f>
        <v>3832.3200000000006</v>
      </c>
    </row>
    <row r="379" spans="1:19" s="12" customFormat="1" x14ac:dyDescent="0.3">
      <c r="A379" s="27">
        <v>377</v>
      </c>
      <c r="B379" s="10" t="s">
        <v>1323</v>
      </c>
      <c r="C379" s="10" t="str">
        <f>_xlfn.XLOOKUP(B379,DataSet!$N$2:$N$600,DataSet!$AF$2:$AF$600,0)</f>
        <v>134656</v>
      </c>
      <c r="D379" s="10" t="str">
        <f>_xlfn.XLOOKUP(B379,DataSet!$N$2:$N$600,DataSet!$G$2:$G$600,0)</f>
        <v>Muhammed MacIntyre</v>
      </c>
      <c r="E379" s="10" t="str">
        <f>_xlfn.XLOOKUP(B379,DataSet!$N$2:$N$600,DataSet!$F$2:$F$600,0)</f>
        <v>MM-18280</v>
      </c>
      <c r="F379" s="10" t="str">
        <f>_xlfn.XLOOKUP(B379,DataSet!$N$2:$N$600,DataSet!$W$2:$W$600,0)</f>
        <v>Corporate</v>
      </c>
      <c r="G379" s="13">
        <f>_xlfn.XLOOKUP(B379,DataSet!$N$2:$N$600,DataSet!$C$2:$C$600,0)</f>
        <v>42641</v>
      </c>
      <c r="H379" s="10" t="str">
        <f>_xlfn.XLOOKUP(B379,DataSet!$N$2:$N$600,DataSet!$I$2:$I$600,0)</f>
        <v>United States</v>
      </c>
      <c r="I379" s="10" t="str">
        <f>_xlfn.XLOOKUP(B379,DataSet!$N$2:$N$600,DataSet!$X$2:$X$600,0)</f>
        <v>Quincy - Illinois</v>
      </c>
      <c r="J379" s="10" t="str">
        <f>_xlfn.XLOOKUP(B379,DataSet!$N$2:$N$600,DataSet!$M$2:$M$600,0)</f>
        <v>Central</v>
      </c>
      <c r="K379" s="10" t="str">
        <f>_xlfn.XLOOKUP(B379,DataSet!$N$2:$N$600,DataSet!$O$2:$O$600,0)</f>
        <v>Office Supplies</v>
      </c>
      <c r="L379" s="10" t="str">
        <f>_xlfn.XLOOKUP(B379,DataSet!$N$2:$N$600,DataSet!$Y$2:$Y$600,0)</f>
        <v>Paper</v>
      </c>
      <c r="M379" s="10" t="str">
        <f>_xlfn.XLOOKUP(B379,DataSet!$N$2:$N$600,DataSet!$Q$2:$Q$600,0)</f>
        <v>Xerox 1960</v>
      </c>
      <c r="N379" s="16">
        <f>_xlfn.XLOOKUP(B379,DataSet!$N$2:$N$600,DataSet!$AA$2:$AA$600,0)</f>
        <v>99.135999999999996</v>
      </c>
      <c r="O379" s="10">
        <f>_xlfn.XLOOKUP(B379,DataSet!$N$2:$N$600,DataSet!$S$2:$S$600,0)</f>
        <v>4</v>
      </c>
      <c r="P379" s="15">
        <f>_xlfn.XLOOKUP(B379,DataSet!$N$2:$N$600,DataSet!$T$2:$T$600,0)</f>
        <v>0.2</v>
      </c>
      <c r="Q379" s="14">
        <f>_xlfn.XLOOKUP(B379,DataSet!$N$2:$N$600,DataSet!$U$2:$U$600,0)</f>
        <v>30.98</v>
      </c>
      <c r="R379" s="16">
        <f>_xlfn.XLOOKUP(B379,DataSet!$N$2:$N$600,DataSet!$AB$2:$AB$600,0)</f>
        <v>396.54399999999998</v>
      </c>
      <c r="S379" s="9">
        <f>_xlfn.XLOOKUP(B379,DataSet!$N$2:$N$600,DataSet!$AC$2:$AC$600,0)</f>
        <v>317.23520000000002</v>
      </c>
    </row>
    <row r="380" spans="1:19" s="12" customFormat="1" x14ac:dyDescent="0.3">
      <c r="A380" s="27">
        <v>378</v>
      </c>
      <c r="B380" s="10" t="s">
        <v>1328</v>
      </c>
      <c r="C380" s="10" t="str">
        <f>_xlfn.XLOOKUP(B380,DataSet!$N$2:$N$600,DataSet!$AF$2:$AF$600,0)</f>
        <v>134481</v>
      </c>
      <c r="D380" s="10" t="str">
        <f>_xlfn.XLOOKUP(B380,DataSet!$N$2:$N$600,DataSet!$G$2:$G$600,0)</f>
        <v>Allen Rosenblatt</v>
      </c>
      <c r="E380" s="10" t="str">
        <f>_xlfn.XLOOKUP(B380,DataSet!$N$2:$N$600,DataSet!$F$2:$F$600,0)</f>
        <v>AR-10405</v>
      </c>
      <c r="F380" s="10" t="str">
        <f>_xlfn.XLOOKUP(B380,DataSet!$N$2:$N$600,DataSet!$W$2:$W$600,0)</f>
        <v>Corporate</v>
      </c>
      <c r="G380" s="13">
        <f>_xlfn.XLOOKUP(B380,DataSet!$N$2:$N$600,DataSet!$C$2:$C$600,0)</f>
        <v>42974</v>
      </c>
      <c r="H380" s="10" t="str">
        <f>_xlfn.XLOOKUP(B380,DataSet!$N$2:$N$600,DataSet!$I$2:$I$600,0)</f>
        <v>United States</v>
      </c>
      <c r="I380" s="10" t="str">
        <f>_xlfn.XLOOKUP(B380,DataSet!$N$2:$N$600,DataSet!$X$2:$X$600,0)</f>
        <v>Franklin - Massachusetts</v>
      </c>
      <c r="J380" s="10" t="str">
        <f>_xlfn.XLOOKUP(B380,DataSet!$N$2:$N$600,DataSet!$M$2:$M$600,0)</f>
        <v>East</v>
      </c>
      <c r="K380" s="10" t="str">
        <f>_xlfn.XLOOKUP(B380,DataSet!$N$2:$N$600,DataSet!$O$2:$O$600,0)</f>
        <v>Furniture</v>
      </c>
      <c r="L380" s="10" t="str">
        <f>_xlfn.XLOOKUP(B380,DataSet!$N$2:$N$600,DataSet!$Y$2:$Y$600,0)</f>
        <v>Tables</v>
      </c>
      <c r="M380" s="10" t="str">
        <f>_xlfn.XLOOKUP(B380,DataSet!$N$2:$N$600,DataSet!$Q$2:$Q$600,0)</f>
        <v>Office Impressions End Table, 20-1/2"H x 24"W x 20"D</v>
      </c>
      <c r="N380" s="16">
        <f>_xlfn.XLOOKUP(B380,DataSet!$N$2:$N$600,DataSet!$AA$2:$AA$600,0)</f>
        <v>1488.424</v>
      </c>
      <c r="O380" s="10">
        <f>_xlfn.XLOOKUP(B380,DataSet!$N$2:$N$600,DataSet!$S$2:$S$600,0)</f>
        <v>7</v>
      </c>
      <c r="P380" s="15">
        <f>_xlfn.XLOOKUP(B380,DataSet!$N$2:$N$600,DataSet!$T$2:$T$600,0)</f>
        <v>0.3</v>
      </c>
      <c r="Q380" s="14">
        <f>_xlfn.XLOOKUP(B380,DataSet!$N$2:$N$600,DataSet!$U$2:$U$600,0)</f>
        <v>-297.6848</v>
      </c>
      <c r="R380" s="16">
        <f>_xlfn.XLOOKUP(B380,DataSet!$N$2:$N$600,DataSet!$AB$2:$AB$600,0)</f>
        <v>10418.968000000001</v>
      </c>
      <c r="S380" s="9">
        <f>_xlfn.XLOOKUP(B380,DataSet!$N$2:$N$600,DataSet!$AC$2:$AC$600,0)</f>
        <v>7293.2776000000003</v>
      </c>
    </row>
    <row r="381" spans="1:19" s="12" customFormat="1" x14ac:dyDescent="0.3">
      <c r="A381" s="27">
        <v>379</v>
      </c>
      <c r="B381" s="10" t="s">
        <v>1333</v>
      </c>
      <c r="C381" s="10" t="str">
        <f>_xlfn.XLOOKUP(B381,DataSet!$N$2:$N$600,DataSet!$AF$2:$AF$600,0)</f>
        <v>130792</v>
      </c>
      <c r="D381" s="10" t="str">
        <f>_xlfn.XLOOKUP(B381,DataSet!$N$2:$N$600,DataSet!$G$2:$G$600,0)</f>
        <v>Russell Applegate</v>
      </c>
      <c r="E381" s="10" t="str">
        <f>_xlfn.XLOOKUP(B381,DataSet!$N$2:$N$600,DataSet!$F$2:$F$600,0)</f>
        <v>RA-19915</v>
      </c>
      <c r="F381" s="10" t="str">
        <f>_xlfn.XLOOKUP(B381,DataSet!$N$2:$N$600,DataSet!$W$2:$W$600,0)</f>
        <v>Consumer</v>
      </c>
      <c r="G381" s="13">
        <f>_xlfn.XLOOKUP(B381,DataSet!$N$2:$N$600,DataSet!$C$2:$C$600,0)</f>
        <v>42122</v>
      </c>
      <c r="H381" s="10" t="str">
        <f>_xlfn.XLOOKUP(B381,DataSet!$N$2:$N$600,DataSet!$I$2:$I$600,0)</f>
        <v>United States</v>
      </c>
      <c r="I381" s="10" t="str">
        <f>_xlfn.XLOOKUP(B381,DataSet!$N$2:$N$600,DataSet!$X$2:$X$600,0)</f>
        <v>Houston - Texas</v>
      </c>
      <c r="J381" s="10" t="str">
        <f>_xlfn.XLOOKUP(B381,DataSet!$N$2:$N$600,DataSet!$M$2:$M$600,0)</f>
        <v>Central</v>
      </c>
      <c r="K381" s="10" t="str">
        <f>_xlfn.XLOOKUP(B381,DataSet!$N$2:$N$600,DataSet!$O$2:$O$600,0)</f>
        <v>Office Supplies</v>
      </c>
      <c r="L381" s="10" t="str">
        <f>_xlfn.XLOOKUP(B381,DataSet!$N$2:$N$600,DataSet!$Y$2:$Y$600,0)</f>
        <v>Appliances</v>
      </c>
      <c r="M381" s="10" t="str">
        <f>_xlfn.XLOOKUP(B381,DataSet!$N$2:$N$600,DataSet!$Q$2:$Q$600,0)</f>
        <v>Holmes Odor Grabber</v>
      </c>
      <c r="N381" s="16">
        <f>_xlfn.XLOOKUP(B381,DataSet!$N$2:$N$600,DataSet!$AA$2:$AA$600,0)</f>
        <v>8.6519999999999992</v>
      </c>
      <c r="O381" s="10">
        <f>_xlfn.XLOOKUP(B381,DataSet!$N$2:$N$600,DataSet!$S$2:$S$600,0)</f>
        <v>3</v>
      </c>
      <c r="P381" s="15">
        <f>_xlfn.XLOOKUP(B381,DataSet!$N$2:$N$600,DataSet!$T$2:$T$600,0)</f>
        <v>0.8</v>
      </c>
      <c r="Q381" s="14">
        <f>_xlfn.XLOOKUP(B381,DataSet!$N$2:$N$600,DataSet!$U$2:$U$600,0)</f>
        <v>-20.3322</v>
      </c>
      <c r="R381" s="16">
        <f>_xlfn.XLOOKUP(B381,DataSet!$N$2:$N$600,DataSet!$AB$2:$AB$600,0)</f>
        <v>25.955999999999996</v>
      </c>
      <c r="S381" s="9">
        <f>_xlfn.XLOOKUP(B381,DataSet!$N$2:$N$600,DataSet!$AC$2:$AC$600,0)</f>
        <v>5.1911999999999985</v>
      </c>
    </row>
    <row r="382" spans="1:19" s="12" customFormat="1" x14ac:dyDescent="0.3">
      <c r="A382" s="27">
        <v>380</v>
      </c>
      <c r="B382" s="10" t="s">
        <v>1335</v>
      </c>
      <c r="C382" s="10" t="str">
        <f>_xlfn.XLOOKUP(B382,DataSet!$N$2:$N$600,DataSet!$AF$2:$AF$600,0)</f>
        <v>130792</v>
      </c>
      <c r="D382" s="10" t="str">
        <f>_xlfn.XLOOKUP(B382,DataSet!$N$2:$N$600,DataSet!$G$2:$G$600,0)</f>
        <v>Russell Applegate</v>
      </c>
      <c r="E382" s="10" t="str">
        <f>_xlfn.XLOOKUP(B382,DataSet!$N$2:$N$600,DataSet!$F$2:$F$600,0)</f>
        <v>RA-19915</v>
      </c>
      <c r="F382" s="10" t="str">
        <f>_xlfn.XLOOKUP(B382,DataSet!$N$2:$N$600,DataSet!$W$2:$W$600,0)</f>
        <v>Consumer</v>
      </c>
      <c r="G382" s="13">
        <f>_xlfn.XLOOKUP(B382,DataSet!$N$2:$N$600,DataSet!$C$2:$C$600,0)</f>
        <v>42122</v>
      </c>
      <c r="H382" s="10" t="str">
        <f>_xlfn.XLOOKUP(B382,DataSet!$N$2:$N$600,DataSet!$I$2:$I$600,0)</f>
        <v>United States</v>
      </c>
      <c r="I382" s="10" t="str">
        <f>_xlfn.XLOOKUP(B382,DataSet!$N$2:$N$600,DataSet!$X$2:$X$600,0)</f>
        <v>Houston - Texas</v>
      </c>
      <c r="J382" s="10" t="str">
        <f>_xlfn.XLOOKUP(B382,DataSet!$N$2:$N$600,DataSet!$M$2:$M$600,0)</f>
        <v>Central</v>
      </c>
      <c r="K382" s="10" t="str">
        <f>_xlfn.XLOOKUP(B382,DataSet!$N$2:$N$600,DataSet!$O$2:$O$600,0)</f>
        <v>Office Supplies</v>
      </c>
      <c r="L382" s="10" t="str">
        <f>_xlfn.XLOOKUP(B382,DataSet!$N$2:$N$600,DataSet!$Y$2:$Y$600,0)</f>
        <v>Storage</v>
      </c>
      <c r="M382" s="10" t="str">
        <f>_xlfn.XLOOKUP(B382,DataSet!$N$2:$N$600,DataSet!$Q$2:$Q$600,0)</f>
        <v>Akro-Mils 12-Gallon Tote</v>
      </c>
      <c r="N382" s="16">
        <f>_xlfn.XLOOKUP(B382,DataSet!$N$2:$N$600,DataSet!$AA$2:$AA$600,0)</f>
        <v>23.832000000000001</v>
      </c>
      <c r="O382" s="10">
        <f>_xlfn.XLOOKUP(B382,DataSet!$N$2:$N$600,DataSet!$S$2:$S$600,0)</f>
        <v>3</v>
      </c>
      <c r="P382" s="15">
        <f>_xlfn.XLOOKUP(B382,DataSet!$N$2:$N$600,DataSet!$T$2:$T$600,0)</f>
        <v>0.2</v>
      </c>
      <c r="Q382" s="14">
        <f>_xlfn.XLOOKUP(B382,DataSet!$N$2:$N$600,DataSet!$U$2:$U$600,0)</f>
        <v>2.6810999999999998</v>
      </c>
      <c r="R382" s="16">
        <f>_xlfn.XLOOKUP(B382,DataSet!$N$2:$N$600,DataSet!$AB$2:$AB$600,0)</f>
        <v>71.496000000000009</v>
      </c>
      <c r="S382" s="9">
        <f>_xlfn.XLOOKUP(B382,DataSet!$N$2:$N$600,DataSet!$AC$2:$AC$600,0)</f>
        <v>57.19680000000001</v>
      </c>
    </row>
    <row r="383" spans="1:19" s="12" customFormat="1" x14ac:dyDescent="0.3">
      <c r="A383" s="27">
        <v>381</v>
      </c>
      <c r="B383" s="10" t="s">
        <v>1337</v>
      </c>
      <c r="C383" s="10" t="str">
        <f>_xlfn.XLOOKUP(B383,DataSet!$N$2:$N$600,DataSet!$AF$2:$AF$600,0)</f>
        <v>130792</v>
      </c>
      <c r="D383" s="10" t="str">
        <f>_xlfn.XLOOKUP(B383,DataSet!$N$2:$N$600,DataSet!$G$2:$G$600,0)</f>
        <v>Russell Applegate</v>
      </c>
      <c r="E383" s="10" t="str">
        <f>_xlfn.XLOOKUP(B383,DataSet!$N$2:$N$600,DataSet!$F$2:$F$600,0)</f>
        <v>RA-19915</v>
      </c>
      <c r="F383" s="10" t="str">
        <f>_xlfn.XLOOKUP(B383,DataSet!$N$2:$N$600,DataSet!$W$2:$W$600,0)</f>
        <v>Consumer</v>
      </c>
      <c r="G383" s="13">
        <f>_xlfn.XLOOKUP(B383,DataSet!$N$2:$N$600,DataSet!$C$2:$C$600,0)</f>
        <v>42122</v>
      </c>
      <c r="H383" s="10" t="str">
        <f>_xlfn.XLOOKUP(B383,DataSet!$N$2:$N$600,DataSet!$I$2:$I$600,0)</f>
        <v>United States</v>
      </c>
      <c r="I383" s="10" t="str">
        <f>_xlfn.XLOOKUP(B383,DataSet!$N$2:$N$600,DataSet!$X$2:$X$600,0)</f>
        <v>Houston - Texas</v>
      </c>
      <c r="J383" s="10" t="str">
        <f>_xlfn.XLOOKUP(B383,DataSet!$N$2:$N$600,DataSet!$M$2:$M$600,0)</f>
        <v>Central</v>
      </c>
      <c r="K383" s="10" t="str">
        <f>_xlfn.XLOOKUP(B383,DataSet!$N$2:$N$600,DataSet!$O$2:$O$600,0)</f>
        <v>Office Supplies</v>
      </c>
      <c r="L383" s="10" t="str">
        <f>_xlfn.XLOOKUP(B383,DataSet!$N$2:$N$600,DataSet!$Y$2:$Y$600,0)</f>
        <v>Binders</v>
      </c>
      <c r="M383" s="10" t="str">
        <f>_xlfn.XLOOKUP(B383,DataSet!$N$2:$N$600,DataSet!$Q$2:$Q$600,0)</f>
        <v>GBC Twin Loop Wire Binding Elements, 9/16" Spine, Black</v>
      </c>
      <c r="N383" s="16">
        <f>_xlfn.XLOOKUP(B383,DataSet!$N$2:$N$600,DataSet!$AA$2:$AA$600,0)</f>
        <v>12.176</v>
      </c>
      <c r="O383" s="10">
        <f>_xlfn.XLOOKUP(B383,DataSet!$N$2:$N$600,DataSet!$S$2:$S$600,0)</f>
        <v>4</v>
      </c>
      <c r="P383" s="15">
        <f>_xlfn.XLOOKUP(B383,DataSet!$N$2:$N$600,DataSet!$T$2:$T$600,0)</f>
        <v>0.8</v>
      </c>
      <c r="Q383" s="14">
        <f>_xlfn.XLOOKUP(B383,DataSet!$N$2:$N$600,DataSet!$U$2:$U$600,0)</f>
        <v>-18.872800000000002</v>
      </c>
      <c r="R383" s="16">
        <f>_xlfn.XLOOKUP(B383,DataSet!$N$2:$N$600,DataSet!$AB$2:$AB$600,0)</f>
        <v>48.704000000000001</v>
      </c>
      <c r="S383" s="9">
        <f>_xlfn.XLOOKUP(B383,DataSet!$N$2:$N$600,DataSet!$AC$2:$AC$600,0)</f>
        <v>9.7407999999999983</v>
      </c>
    </row>
    <row r="384" spans="1:19" s="12" customFormat="1" x14ac:dyDescent="0.3">
      <c r="A384" s="27">
        <v>382</v>
      </c>
      <c r="B384" s="10" t="s">
        <v>1342</v>
      </c>
      <c r="C384" s="10" t="str">
        <f>_xlfn.XLOOKUP(B384,DataSet!$N$2:$N$600,DataSet!$AF$2:$AF$600,0)</f>
        <v>134775</v>
      </c>
      <c r="D384" s="10" t="str">
        <f>_xlfn.XLOOKUP(B384,DataSet!$N$2:$N$600,DataSet!$G$2:$G$600,0)</f>
        <v>Alejandro Savely</v>
      </c>
      <c r="E384" s="10" t="str">
        <f>_xlfn.XLOOKUP(B384,DataSet!$N$2:$N$600,DataSet!$F$2:$F$600,0)</f>
        <v>AS-10285</v>
      </c>
      <c r="F384" s="10" t="str">
        <f>_xlfn.XLOOKUP(B384,DataSet!$N$2:$N$600,DataSet!$W$2:$W$600,0)</f>
        <v>Corporate</v>
      </c>
      <c r="G384" s="13">
        <f>_xlfn.XLOOKUP(B384,DataSet!$N$2:$N$600,DataSet!$C$2:$C$600,0)</f>
        <v>42671</v>
      </c>
      <c r="H384" s="10" t="str">
        <f>_xlfn.XLOOKUP(B384,DataSet!$N$2:$N$600,DataSet!$I$2:$I$600,0)</f>
        <v>United States</v>
      </c>
      <c r="I384" s="10" t="str">
        <f>_xlfn.XLOOKUP(B384,DataSet!$N$2:$N$600,DataSet!$X$2:$X$600,0)</f>
        <v>San Francisco - California</v>
      </c>
      <c r="J384" s="10" t="str">
        <f>_xlfn.XLOOKUP(B384,DataSet!$N$2:$N$600,DataSet!$M$2:$M$600,0)</f>
        <v>West</v>
      </c>
      <c r="K384" s="10" t="str">
        <f>_xlfn.XLOOKUP(B384,DataSet!$N$2:$N$600,DataSet!$O$2:$O$600,0)</f>
        <v>Office Supplies</v>
      </c>
      <c r="L384" s="10" t="str">
        <f>_xlfn.XLOOKUP(B384,DataSet!$N$2:$N$600,DataSet!$Y$2:$Y$600,0)</f>
        <v>Paper</v>
      </c>
      <c r="M384" s="10" t="str">
        <f>_xlfn.XLOOKUP(B384,DataSet!$N$2:$N$600,DataSet!$Q$2:$Q$600,0)</f>
        <v>Southworth Structures Collection</v>
      </c>
      <c r="N384" s="16">
        <f>_xlfn.XLOOKUP(B384,DataSet!$N$2:$N$600,DataSet!$AA$2:$AA$600,0)</f>
        <v>50.96</v>
      </c>
      <c r="O384" s="10">
        <f>_xlfn.XLOOKUP(B384,DataSet!$N$2:$N$600,DataSet!$S$2:$S$600,0)</f>
        <v>7</v>
      </c>
      <c r="P384" s="15">
        <f>_xlfn.XLOOKUP(B384,DataSet!$N$2:$N$600,DataSet!$T$2:$T$600,0)</f>
        <v>0</v>
      </c>
      <c r="Q384" s="14">
        <f>_xlfn.XLOOKUP(B384,DataSet!$N$2:$N$600,DataSet!$U$2:$U$600,0)</f>
        <v>25.48</v>
      </c>
      <c r="R384" s="16">
        <f>_xlfn.XLOOKUP(B384,DataSet!$N$2:$N$600,DataSet!$AB$2:$AB$600,0)</f>
        <v>356.72</v>
      </c>
      <c r="S384" s="9">
        <f>_xlfn.XLOOKUP(B384,DataSet!$N$2:$N$600,DataSet!$AC$2:$AC$600,0)</f>
        <v>356.72</v>
      </c>
    </row>
    <row r="385" spans="1:19" s="12" customFormat="1" x14ac:dyDescent="0.3">
      <c r="A385" s="27">
        <v>383</v>
      </c>
      <c r="B385" s="10" t="s">
        <v>1344</v>
      </c>
      <c r="C385" s="10" t="str">
        <f>_xlfn.XLOOKUP(B385,DataSet!$N$2:$N$600,DataSet!$AF$2:$AF$600,0)</f>
        <v>134775</v>
      </c>
      <c r="D385" s="10" t="str">
        <f>_xlfn.XLOOKUP(B385,DataSet!$N$2:$N$600,DataSet!$G$2:$G$600,0)</f>
        <v>Alejandro Savely</v>
      </c>
      <c r="E385" s="10" t="str">
        <f>_xlfn.XLOOKUP(B385,DataSet!$N$2:$N$600,DataSet!$F$2:$F$600,0)</f>
        <v>AS-10285</v>
      </c>
      <c r="F385" s="10" t="str">
        <f>_xlfn.XLOOKUP(B385,DataSet!$N$2:$N$600,DataSet!$W$2:$W$600,0)</f>
        <v>Corporate</v>
      </c>
      <c r="G385" s="13">
        <f>_xlfn.XLOOKUP(B385,DataSet!$N$2:$N$600,DataSet!$C$2:$C$600,0)</f>
        <v>42671</v>
      </c>
      <c r="H385" s="10" t="str">
        <f>_xlfn.XLOOKUP(B385,DataSet!$N$2:$N$600,DataSet!$I$2:$I$600,0)</f>
        <v>United States</v>
      </c>
      <c r="I385" s="10" t="str">
        <f>_xlfn.XLOOKUP(B385,DataSet!$N$2:$N$600,DataSet!$X$2:$X$600,0)</f>
        <v>San Francisco - California</v>
      </c>
      <c r="J385" s="10" t="str">
        <f>_xlfn.XLOOKUP(B385,DataSet!$N$2:$N$600,DataSet!$M$2:$M$600,0)</f>
        <v>West</v>
      </c>
      <c r="K385" s="10" t="str">
        <f>_xlfn.XLOOKUP(B385,DataSet!$N$2:$N$600,DataSet!$O$2:$O$600,0)</f>
        <v>Office Supplies</v>
      </c>
      <c r="L385" s="10" t="str">
        <f>_xlfn.XLOOKUP(B385,DataSet!$N$2:$N$600,DataSet!$Y$2:$Y$600,0)</f>
        <v>Binders</v>
      </c>
      <c r="M385" s="10" t="str">
        <f>_xlfn.XLOOKUP(B385,DataSet!$N$2:$N$600,DataSet!$Q$2:$Q$600,0)</f>
        <v>Square Ring Data Binders, Rigid 75 Pt. Covers, 11" x 14-7/8"</v>
      </c>
      <c r="N385" s="16">
        <f>_xlfn.XLOOKUP(B385,DataSet!$N$2:$N$600,DataSet!$AA$2:$AA$600,0)</f>
        <v>49.536000000000001</v>
      </c>
      <c r="O385" s="10">
        <f>_xlfn.XLOOKUP(B385,DataSet!$N$2:$N$600,DataSet!$S$2:$S$600,0)</f>
        <v>3</v>
      </c>
      <c r="P385" s="15">
        <f>_xlfn.XLOOKUP(B385,DataSet!$N$2:$N$600,DataSet!$T$2:$T$600,0)</f>
        <v>0.2</v>
      </c>
      <c r="Q385" s="14">
        <f>_xlfn.XLOOKUP(B385,DataSet!$N$2:$N$600,DataSet!$U$2:$U$600,0)</f>
        <v>17.337599999999998</v>
      </c>
      <c r="R385" s="16">
        <f>_xlfn.XLOOKUP(B385,DataSet!$N$2:$N$600,DataSet!$AB$2:$AB$600,0)</f>
        <v>148.608</v>
      </c>
      <c r="S385" s="9">
        <f>_xlfn.XLOOKUP(B385,DataSet!$N$2:$N$600,DataSet!$AC$2:$AC$600,0)</f>
        <v>118.88640000000001</v>
      </c>
    </row>
    <row r="386" spans="1:19" s="12" customFormat="1" x14ac:dyDescent="0.3">
      <c r="A386" s="27">
        <v>384</v>
      </c>
      <c r="B386" s="10" t="s">
        <v>1349</v>
      </c>
      <c r="C386" s="10" t="str">
        <f>_xlfn.XLOOKUP(B386,DataSet!$N$2:$N$600,DataSet!$AF$2:$AF$600,0)</f>
        <v>125395</v>
      </c>
      <c r="D386" s="10" t="str">
        <f>_xlfn.XLOOKUP(B386,DataSet!$N$2:$N$600,DataSet!$G$2:$G$600,0)</f>
        <v>Laura Armstrong</v>
      </c>
      <c r="E386" s="10" t="str">
        <f>_xlfn.XLOOKUP(B386,DataSet!$N$2:$N$600,DataSet!$F$2:$F$600,0)</f>
        <v>LA-16780</v>
      </c>
      <c r="F386" s="10" t="str">
        <f>_xlfn.XLOOKUP(B386,DataSet!$N$2:$N$600,DataSet!$W$2:$W$600,0)</f>
        <v>Corporate</v>
      </c>
      <c r="G386" s="13">
        <f>_xlfn.XLOOKUP(B386,DataSet!$N$2:$N$600,DataSet!$C$2:$C$600,0)</f>
        <v>42181</v>
      </c>
      <c r="H386" s="10" t="str">
        <f>_xlfn.XLOOKUP(B386,DataSet!$N$2:$N$600,DataSet!$I$2:$I$600,0)</f>
        <v>United States</v>
      </c>
      <c r="I386" s="10" t="str">
        <f>_xlfn.XLOOKUP(B386,DataSet!$N$2:$N$600,DataSet!$X$2:$X$600,0)</f>
        <v>Taylor - Michigan</v>
      </c>
      <c r="J386" s="10" t="str">
        <f>_xlfn.XLOOKUP(B386,DataSet!$N$2:$N$600,DataSet!$M$2:$M$600,0)</f>
        <v>Central</v>
      </c>
      <c r="K386" s="10" t="str">
        <f>_xlfn.XLOOKUP(B386,DataSet!$N$2:$N$600,DataSet!$O$2:$O$600,0)</f>
        <v>Technology</v>
      </c>
      <c r="L386" s="10" t="str">
        <f>_xlfn.XLOOKUP(B386,DataSet!$N$2:$N$600,DataSet!$Y$2:$Y$600,0)</f>
        <v>Accessories</v>
      </c>
      <c r="M386" s="10" t="str">
        <f>_xlfn.XLOOKUP(B386,DataSet!$N$2:$N$600,DataSet!$Q$2:$Q$600,0)</f>
        <v>Sony 32GB Class 10 Micro SDHC R40 Memory Card</v>
      </c>
      <c r="N386" s="16">
        <f>_xlfn.XLOOKUP(B386,DataSet!$N$2:$N$600,DataSet!$AA$2:$AA$600,0)</f>
        <v>41.9</v>
      </c>
      <c r="O386" s="10">
        <f>_xlfn.XLOOKUP(B386,DataSet!$N$2:$N$600,DataSet!$S$2:$S$600,0)</f>
        <v>2</v>
      </c>
      <c r="P386" s="15">
        <f>_xlfn.XLOOKUP(B386,DataSet!$N$2:$N$600,DataSet!$T$2:$T$600,0)</f>
        <v>0</v>
      </c>
      <c r="Q386" s="14">
        <f>_xlfn.XLOOKUP(B386,DataSet!$N$2:$N$600,DataSet!$U$2:$U$600,0)</f>
        <v>8.7989999999999995</v>
      </c>
      <c r="R386" s="16">
        <f>_xlfn.XLOOKUP(B386,DataSet!$N$2:$N$600,DataSet!$AB$2:$AB$600,0)</f>
        <v>83.8</v>
      </c>
      <c r="S386" s="9">
        <f>_xlfn.XLOOKUP(B386,DataSet!$N$2:$N$600,DataSet!$AC$2:$AC$600,0)</f>
        <v>83.8</v>
      </c>
    </row>
    <row r="387" spans="1:19" s="12" customFormat="1" x14ac:dyDescent="0.3">
      <c r="A387" s="27">
        <v>385</v>
      </c>
      <c r="B387" s="10" t="s">
        <v>1355</v>
      </c>
      <c r="C387" s="10" t="str">
        <f>_xlfn.XLOOKUP(B387,DataSet!$N$2:$N$600,DataSet!$AF$2:$AF$600,0)</f>
        <v>168935</v>
      </c>
      <c r="D387" s="10" t="str">
        <f>_xlfn.XLOOKUP(B387,DataSet!$N$2:$N$600,DataSet!$G$2:$G$600,0)</f>
        <v>Denny Ordway</v>
      </c>
      <c r="E387" s="10" t="str">
        <f>_xlfn.XLOOKUP(B387,DataSet!$N$2:$N$600,DataSet!$F$2:$F$600,0)</f>
        <v>DO-13435</v>
      </c>
      <c r="F387" s="10" t="str">
        <f>_xlfn.XLOOKUP(B387,DataSet!$N$2:$N$600,DataSet!$W$2:$W$600,0)</f>
        <v>Consumer</v>
      </c>
      <c r="G387" s="13">
        <f>_xlfn.XLOOKUP(B387,DataSet!$N$2:$N$600,DataSet!$C$2:$C$600,0)</f>
        <v>42335</v>
      </c>
      <c r="H387" s="10" t="str">
        <f>_xlfn.XLOOKUP(B387,DataSet!$N$2:$N$600,DataSet!$I$2:$I$600,0)</f>
        <v>United States</v>
      </c>
      <c r="I387" s="10" t="str">
        <f>_xlfn.XLOOKUP(B387,DataSet!$N$2:$N$600,DataSet!$X$2:$X$600,0)</f>
        <v>Pembroke Pines - Florida</v>
      </c>
      <c r="J387" s="10" t="str">
        <f>_xlfn.XLOOKUP(B387,DataSet!$N$2:$N$600,DataSet!$M$2:$M$600,0)</f>
        <v>South</v>
      </c>
      <c r="K387" s="10" t="str">
        <f>_xlfn.XLOOKUP(B387,DataSet!$N$2:$N$600,DataSet!$O$2:$O$600,0)</f>
        <v>Furniture</v>
      </c>
      <c r="L387" s="10" t="str">
        <f>_xlfn.XLOOKUP(B387,DataSet!$N$2:$N$600,DataSet!$Y$2:$Y$600,0)</f>
        <v>Tables</v>
      </c>
      <c r="M387" s="10" t="str">
        <f>_xlfn.XLOOKUP(B387,DataSet!$N$2:$N$600,DataSet!$Q$2:$Q$600,0)</f>
        <v>Hon Practical Foundations 30 x 60 Training Table, Light Gray/Charcoal</v>
      </c>
      <c r="N387" s="16">
        <f>_xlfn.XLOOKUP(B387,DataSet!$N$2:$N$600,DataSet!$AA$2:$AA$600,0)</f>
        <v>375.45749999999998</v>
      </c>
      <c r="O387" s="10">
        <f>_xlfn.XLOOKUP(B387,DataSet!$N$2:$N$600,DataSet!$S$2:$S$600,0)</f>
        <v>3</v>
      </c>
      <c r="P387" s="15">
        <f>_xlfn.XLOOKUP(B387,DataSet!$N$2:$N$600,DataSet!$T$2:$T$600,0)</f>
        <v>0.45</v>
      </c>
      <c r="Q387" s="14">
        <f>_xlfn.XLOOKUP(B387,DataSet!$N$2:$N$600,DataSet!$U$2:$U$600,0)</f>
        <v>-157.0095</v>
      </c>
      <c r="R387" s="16">
        <f>_xlfn.XLOOKUP(B387,DataSet!$N$2:$N$600,DataSet!$AB$2:$AB$600,0)</f>
        <v>1126.3724999999999</v>
      </c>
      <c r="S387" s="9">
        <f>_xlfn.XLOOKUP(B387,DataSet!$N$2:$N$600,DataSet!$AC$2:$AC$600,0)</f>
        <v>619.50487499999997</v>
      </c>
    </row>
    <row r="388" spans="1:19" s="12" customFormat="1" x14ac:dyDescent="0.3">
      <c r="A388" s="27">
        <v>386</v>
      </c>
      <c r="B388" s="10" t="s">
        <v>1357</v>
      </c>
      <c r="C388" s="10" t="str">
        <f>_xlfn.XLOOKUP(B388,DataSet!$N$2:$N$600,DataSet!$AF$2:$AF$600,0)</f>
        <v>168935</v>
      </c>
      <c r="D388" s="10" t="str">
        <f>_xlfn.XLOOKUP(B388,DataSet!$N$2:$N$600,DataSet!$G$2:$G$600,0)</f>
        <v>Denny Ordway</v>
      </c>
      <c r="E388" s="10" t="str">
        <f>_xlfn.XLOOKUP(B388,DataSet!$N$2:$N$600,DataSet!$F$2:$F$600,0)</f>
        <v>DO-13435</v>
      </c>
      <c r="F388" s="10" t="str">
        <f>_xlfn.XLOOKUP(B388,DataSet!$N$2:$N$600,DataSet!$W$2:$W$600,0)</f>
        <v>Consumer</v>
      </c>
      <c r="G388" s="13">
        <f>_xlfn.XLOOKUP(B388,DataSet!$N$2:$N$600,DataSet!$C$2:$C$600,0)</f>
        <v>42335</v>
      </c>
      <c r="H388" s="10" t="str">
        <f>_xlfn.XLOOKUP(B388,DataSet!$N$2:$N$600,DataSet!$I$2:$I$600,0)</f>
        <v>United States</v>
      </c>
      <c r="I388" s="10" t="str">
        <f>_xlfn.XLOOKUP(B388,DataSet!$N$2:$N$600,DataSet!$X$2:$X$600,0)</f>
        <v>Pembroke Pines - Florida</v>
      </c>
      <c r="J388" s="10" t="str">
        <f>_xlfn.XLOOKUP(B388,DataSet!$N$2:$N$600,DataSet!$M$2:$M$600,0)</f>
        <v>South</v>
      </c>
      <c r="K388" s="10" t="str">
        <f>_xlfn.XLOOKUP(B388,DataSet!$N$2:$N$600,DataSet!$O$2:$O$600,0)</f>
        <v>Technology</v>
      </c>
      <c r="L388" s="10" t="str">
        <f>_xlfn.XLOOKUP(B388,DataSet!$N$2:$N$600,DataSet!$Y$2:$Y$600,0)</f>
        <v>Accessories</v>
      </c>
      <c r="M388" s="10" t="str">
        <f>_xlfn.XLOOKUP(B388,DataSet!$N$2:$N$600,DataSet!$Q$2:$Q$600,0)</f>
        <v>Logitech Media Keyboard K200</v>
      </c>
      <c r="N388" s="16">
        <f>_xlfn.XLOOKUP(B388,DataSet!$N$2:$N$600,DataSet!$AA$2:$AA$600,0)</f>
        <v>83.975999999999999</v>
      </c>
      <c r="O388" s="10">
        <f>_xlfn.XLOOKUP(B388,DataSet!$N$2:$N$600,DataSet!$S$2:$S$600,0)</f>
        <v>3</v>
      </c>
      <c r="P388" s="15">
        <f>_xlfn.XLOOKUP(B388,DataSet!$N$2:$N$600,DataSet!$T$2:$T$600,0)</f>
        <v>0.2</v>
      </c>
      <c r="Q388" s="14">
        <f>_xlfn.XLOOKUP(B388,DataSet!$N$2:$N$600,DataSet!$U$2:$U$600,0)</f>
        <v>-1.0497000000000001</v>
      </c>
      <c r="R388" s="16">
        <f>_xlfn.XLOOKUP(B388,DataSet!$N$2:$N$600,DataSet!$AB$2:$AB$600,0)</f>
        <v>251.928</v>
      </c>
      <c r="S388" s="9">
        <f>_xlfn.XLOOKUP(B388,DataSet!$N$2:$N$600,DataSet!$AC$2:$AC$600,0)</f>
        <v>201.54240000000001</v>
      </c>
    </row>
    <row r="389" spans="1:19" s="12" customFormat="1" x14ac:dyDescent="0.3">
      <c r="A389" s="27">
        <v>387</v>
      </c>
      <c r="B389" s="10" t="s">
        <v>1362</v>
      </c>
      <c r="C389" s="10" t="str">
        <f>_xlfn.XLOOKUP(B389,DataSet!$N$2:$N$600,DataSet!$AF$2:$AF$600,0)</f>
        <v>122756</v>
      </c>
      <c r="D389" s="10" t="str">
        <f>_xlfn.XLOOKUP(B389,DataSet!$N$2:$N$600,DataSet!$G$2:$G$600,0)</f>
        <v>Dean Katz</v>
      </c>
      <c r="E389" s="10" t="str">
        <f>_xlfn.XLOOKUP(B389,DataSet!$N$2:$N$600,DataSet!$F$2:$F$600,0)</f>
        <v>DK-13225</v>
      </c>
      <c r="F389" s="10" t="str">
        <f>_xlfn.XLOOKUP(B389,DataSet!$N$2:$N$600,DataSet!$W$2:$W$600,0)</f>
        <v>Corporate</v>
      </c>
      <c r="G389" s="13">
        <f>_xlfn.XLOOKUP(B389,DataSet!$N$2:$N$600,DataSet!$C$2:$C$600,0)</f>
        <v>42341</v>
      </c>
      <c r="H389" s="10" t="str">
        <f>_xlfn.XLOOKUP(B389,DataSet!$N$2:$N$600,DataSet!$I$2:$I$600,0)</f>
        <v>United States</v>
      </c>
      <c r="I389" s="10" t="str">
        <f>_xlfn.XLOOKUP(B389,DataSet!$N$2:$N$600,DataSet!$X$2:$X$600,0)</f>
        <v>Philadelphia - Pennsylvania</v>
      </c>
      <c r="J389" s="10" t="str">
        <f>_xlfn.XLOOKUP(B389,DataSet!$N$2:$N$600,DataSet!$M$2:$M$600,0)</f>
        <v>East</v>
      </c>
      <c r="K389" s="10" t="str">
        <f>_xlfn.XLOOKUP(B389,DataSet!$N$2:$N$600,DataSet!$O$2:$O$600,0)</f>
        <v>Technology</v>
      </c>
      <c r="L389" s="10" t="str">
        <f>_xlfn.XLOOKUP(B389,DataSet!$N$2:$N$600,DataSet!$Y$2:$Y$600,0)</f>
        <v>Machines</v>
      </c>
      <c r="M389" s="10" t="str">
        <f>_xlfn.XLOOKUP(B389,DataSet!$N$2:$N$600,DataSet!$Q$2:$Q$600,0)</f>
        <v>Lexmark MarkNet N8150 Wireless Print Server</v>
      </c>
      <c r="N389" s="16">
        <f>_xlfn.XLOOKUP(B389,DataSet!$N$2:$N$600,DataSet!$AA$2:$AA$600,0)</f>
        <v>482.34</v>
      </c>
      <c r="O389" s="10">
        <f>_xlfn.XLOOKUP(B389,DataSet!$N$2:$N$600,DataSet!$S$2:$S$600,0)</f>
        <v>4</v>
      </c>
      <c r="P389" s="15">
        <f>_xlfn.XLOOKUP(B389,DataSet!$N$2:$N$600,DataSet!$T$2:$T$600,0)</f>
        <v>0.7</v>
      </c>
      <c r="Q389" s="14">
        <f>_xlfn.XLOOKUP(B389,DataSet!$N$2:$N$600,DataSet!$U$2:$U$600,0)</f>
        <v>-337.63799999999998</v>
      </c>
      <c r="R389" s="16">
        <f>_xlfn.XLOOKUP(B389,DataSet!$N$2:$N$600,DataSet!$AB$2:$AB$600,0)</f>
        <v>1929.36</v>
      </c>
      <c r="S389" s="9">
        <f>_xlfn.XLOOKUP(B389,DataSet!$N$2:$N$600,DataSet!$AC$2:$AC$600,0)</f>
        <v>578.80800000000011</v>
      </c>
    </row>
    <row r="390" spans="1:19" s="12" customFormat="1" x14ac:dyDescent="0.3">
      <c r="A390" s="27">
        <v>388</v>
      </c>
      <c r="B390" s="10" t="s">
        <v>1364</v>
      </c>
      <c r="C390" s="10" t="str">
        <f>_xlfn.XLOOKUP(B390,DataSet!$N$2:$N$600,DataSet!$AF$2:$AF$600,0)</f>
        <v>122756</v>
      </c>
      <c r="D390" s="10" t="str">
        <f>_xlfn.XLOOKUP(B390,DataSet!$N$2:$N$600,DataSet!$G$2:$G$600,0)</f>
        <v>Dean Katz</v>
      </c>
      <c r="E390" s="10" t="str">
        <f>_xlfn.XLOOKUP(B390,DataSet!$N$2:$N$600,DataSet!$F$2:$F$600,0)</f>
        <v>DK-13225</v>
      </c>
      <c r="F390" s="10" t="str">
        <f>_xlfn.XLOOKUP(B390,DataSet!$N$2:$N$600,DataSet!$W$2:$W$600,0)</f>
        <v>Corporate</v>
      </c>
      <c r="G390" s="13">
        <f>_xlfn.XLOOKUP(B390,DataSet!$N$2:$N$600,DataSet!$C$2:$C$600,0)</f>
        <v>42341</v>
      </c>
      <c r="H390" s="10" t="str">
        <f>_xlfn.XLOOKUP(B390,DataSet!$N$2:$N$600,DataSet!$I$2:$I$600,0)</f>
        <v>United States</v>
      </c>
      <c r="I390" s="10" t="str">
        <f>_xlfn.XLOOKUP(B390,DataSet!$N$2:$N$600,DataSet!$X$2:$X$600,0)</f>
        <v>Philadelphia - Pennsylvania</v>
      </c>
      <c r="J390" s="10" t="str">
        <f>_xlfn.XLOOKUP(B390,DataSet!$N$2:$N$600,DataSet!$M$2:$M$600,0)</f>
        <v>East</v>
      </c>
      <c r="K390" s="10" t="str">
        <f>_xlfn.XLOOKUP(B390,DataSet!$N$2:$N$600,DataSet!$O$2:$O$600,0)</f>
        <v>Furniture</v>
      </c>
      <c r="L390" s="10" t="str">
        <f>_xlfn.XLOOKUP(B390,DataSet!$N$2:$N$600,DataSet!$Y$2:$Y$600,0)</f>
        <v>Furnishings</v>
      </c>
      <c r="M390" s="10" t="str">
        <f>_xlfn.XLOOKUP(B390,DataSet!$N$2:$N$600,DataSet!$Q$2:$Q$600,0)</f>
        <v>3M Hangers With Command Adhesive</v>
      </c>
      <c r="N390" s="16">
        <f>_xlfn.XLOOKUP(B390,DataSet!$N$2:$N$600,DataSet!$AA$2:$AA$600,0)</f>
        <v>2.96</v>
      </c>
      <c r="O390" s="10">
        <f>_xlfn.XLOOKUP(B390,DataSet!$N$2:$N$600,DataSet!$S$2:$S$600,0)</f>
        <v>1</v>
      </c>
      <c r="P390" s="15">
        <f>_xlfn.XLOOKUP(B390,DataSet!$N$2:$N$600,DataSet!$T$2:$T$600,0)</f>
        <v>0.2</v>
      </c>
      <c r="Q390" s="14">
        <f>_xlfn.XLOOKUP(B390,DataSet!$N$2:$N$600,DataSet!$U$2:$U$600,0)</f>
        <v>0.77700000000000002</v>
      </c>
      <c r="R390" s="16">
        <f>_xlfn.XLOOKUP(B390,DataSet!$N$2:$N$600,DataSet!$AB$2:$AB$600,0)</f>
        <v>2.96</v>
      </c>
      <c r="S390" s="9">
        <f>_xlfn.XLOOKUP(B390,DataSet!$N$2:$N$600,DataSet!$AC$2:$AC$600,0)</f>
        <v>2.3679999999999999</v>
      </c>
    </row>
    <row r="391" spans="1:19" s="12" customFormat="1" x14ac:dyDescent="0.3">
      <c r="A391" s="27">
        <v>389</v>
      </c>
      <c r="B391" s="10" t="s">
        <v>1369</v>
      </c>
      <c r="C391" s="10" t="str">
        <f>_xlfn.XLOOKUP(B391,DataSet!$N$2:$N$600,DataSet!$AF$2:$AF$600,0)</f>
        <v>115973</v>
      </c>
      <c r="D391" s="10" t="str">
        <f>_xlfn.XLOOKUP(B391,DataSet!$N$2:$N$600,DataSet!$G$2:$G$600,0)</f>
        <v>Nathan Gelder</v>
      </c>
      <c r="E391" s="10" t="str">
        <f>_xlfn.XLOOKUP(B391,DataSet!$N$2:$N$600,DataSet!$F$2:$F$600,0)</f>
        <v>NG-18430</v>
      </c>
      <c r="F391" s="10" t="str">
        <f>_xlfn.XLOOKUP(B391,DataSet!$N$2:$N$600,DataSet!$W$2:$W$600,0)</f>
        <v>Consumer</v>
      </c>
      <c r="G391" s="13">
        <f>_xlfn.XLOOKUP(B391,DataSet!$N$2:$N$600,DataSet!$C$2:$C$600,0)</f>
        <v>41967</v>
      </c>
      <c r="H391" s="10" t="str">
        <f>_xlfn.XLOOKUP(B391,DataSet!$N$2:$N$600,DataSet!$I$2:$I$600,0)</f>
        <v>United States</v>
      </c>
      <c r="I391" s="10" t="str">
        <f>_xlfn.XLOOKUP(B391,DataSet!$N$2:$N$600,DataSet!$X$2:$X$600,0)</f>
        <v>Cincinnati - Ohio</v>
      </c>
      <c r="J391" s="10" t="str">
        <f>_xlfn.XLOOKUP(B391,DataSet!$N$2:$N$600,DataSet!$M$2:$M$600,0)</f>
        <v>East</v>
      </c>
      <c r="K391" s="10" t="str">
        <f>_xlfn.XLOOKUP(B391,DataSet!$N$2:$N$600,DataSet!$O$2:$O$600,0)</f>
        <v>Office Supplies</v>
      </c>
      <c r="L391" s="10" t="str">
        <f>_xlfn.XLOOKUP(B391,DataSet!$N$2:$N$600,DataSet!$Y$2:$Y$600,0)</f>
        <v>Art</v>
      </c>
      <c r="M391" s="10" t="str">
        <f>_xlfn.XLOOKUP(B391,DataSet!$N$2:$N$600,DataSet!$Q$2:$Q$600,0)</f>
        <v>Crayola Colored Pencils</v>
      </c>
      <c r="N391" s="16">
        <f>_xlfn.XLOOKUP(B391,DataSet!$N$2:$N$600,DataSet!$AA$2:$AA$600,0)</f>
        <v>2.6240000000000001</v>
      </c>
      <c r="O391" s="10">
        <f>_xlfn.XLOOKUP(B391,DataSet!$N$2:$N$600,DataSet!$S$2:$S$600,0)</f>
        <v>1</v>
      </c>
      <c r="P391" s="15">
        <f>_xlfn.XLOOKUP(B391,DataSet!$N$2:$N$600,DataSet!$T$2:$T$600,0)</f>
        <v>0.2</v>
      </c>
      <c r="Q391" s="14">
        <f>_xlfn.XLOOKUP(B391,DataSet!$N$2:$N$600,DataSet!$U$2:$U$600,0)</f>
        <v>0.4264</v>
      </c>
      <c r="R391" s="16">
        <f>_xlfn.XLOOKUP(B391,DataSet!$N$2:$N$600,DataSet!$AB$2:$AB$600,0)</f>
        <v>2.6240000000000001</v>
      </c>
      <c r="S391" s="9">
        <f>_xlfn.XLOOKUP(B391,DataSet!$N$2:$N$600,DataSet!$AC$2:$AC$600,0)</f>
        <v>2.0992000000000002</v>
      </c>
    </row>
    <row r="392" spans="1:19" s="12" customFormat="1" x14ac:dyDescent="0.3">
      <c r="A392" s="27">
        <v>390</v>
      </c>
      <c r="B392" s="10" t="s">
        <v>1374</v>
      </c>
      <c r="C392" s="10" t="str">
        <f>_xlfn.XLOOKUP(B392,DataSet!$N$2:$N$600,DataSet!$AF$2:$AF$600,0)</f>
        <v>101798</v>
      </c>
      <c r="D392" s="10" t="str">
        <f>_xlfn.XLOOKUP(B392,DataSet!$N$2:$N$600,DataSet!$G$2:$G$600,0)</f>
        <v>Mike Vittorini</v>
      </c>
      <c r="E392" s="10" t="str">
        <f>_xlfn.XLOOKUP(B392,DataSet!$N$2:$N$600,DataSet!$F$2:$F$600,0)</f>
        <v>MV-18190</v>
      </c>
      <c r="F392" s="10" t="str">
        <f>_xlfn.XLOOKUP(B392,DataSet!$N$2:$N$600,DataSet!$W$2:$W$600,0)</f>
        <v>Consumer</v>
      </c>
      <c r="G392" s="13">
        <f>_xlfn.XLOOKUP(B392,DataSet!$N$2:$N$600,DataSet!$C$2:$C$600,0)</f>
        <v>43080</v>
      </c>
      <c r="H392" s="10" t="str">
        <f>_xlfn.XLOOKUP(B392,DataSet!$N$2:$N$600,DataSet!$I$2:$I$600,0)</f>
        <v>United States</v>
      </c>
      <c r="I392" s="10" t="str">
        <f>_xlfn.XLOOKUP(B392,DataSet!$N$2:$N$600,DataSet!$X$2:$X$600,0)</f>
        <v>New York City - New York</v>
      </c>
      <c r="J392" s="10" t="str">
        <f>_xlfn.XLOOKUP(B392,DataSet!$N$2:$N$600,DataSet!$M$2:$M$600,0)</f>
        <v>East</v>
      </c>
      <c r="K392" s="10" t="str">
        <f>_xlfn.XLOOKUP(B392,DataSet!$N$2:$N$600,DataSet!$O$2:$O$600,0)</f>
        <v>Office Supplies</v>
      </c>
      <c r="L392" s="10" t="str">
        <f>_xlfn.XLOOKUP(B392,DataSet!$N$2:$N$600,DataSet!$Y$2:$Y$600,0)</f>
        <v>Binders</v>
      </c>
      <c r="M392" s="10" t="str">
        <f>_xlfn.XLOOKUP(B392,DataSet!$N$2:$N$600,DataSet!$Q$2:$Q$600,0)</f>
        <v>Angle-D Binders with Locking Rings, Label Holders</v>
      </c>
      <c r="N392" s="16">
        <f>_xlfn.XLOOKUP(B392,DataSet!$N$2:$N$600,DataSet!$AA$2:$AA$600,0)</f>
        <v>23.36</v>
      </c>
      <c r="O392" s="10">
        <f>_xlfn.XLOOKUP(B392,DataSet!$N$2:$N$600,DataSet!$S$2:$S$600,0)</f>
        <v>4</v>
      </c>
      <c r="P392" s="15">
        <f>_xlfn.XLOOKUP(B392,DataSet!$N$2:$N$600,DataSet!$T$2:$T$600,0)</f>
        <v>0.2</v>
      </c>
      <c r="Q392" s="14">
        <f>_xlfn.XLOOKUP(B392,DataSet!$N$2:$N$600,DataSet!$U$2:$U$600,0)</f>
        <v>7.8840000000000003</v>
      </c>
      <c r="R392" s="16">
        <f>_xlfn.XLOOKUP(B392,DataSet!$N$2:$N$600,DataSet!$AB$2:$AB$600,0)</f>
        <v>93.44</v>
      </c>
      <c r="S392" s="9">
        <f>_xlfn.XLOOKUP(B392,DataSet!$N$2:$N$600,DataSet!$AC$2:$AC$600,0)</f>
        <v>74.751999999999995</v>
      </c>
    </row>
    <row r="393" spans="1:19" s="12" customFormat="1" x14ac:dyDescent="0.3">
      <c r="A393" s="27">
        <v>391</v>
      </c>
      <c r="B393" s="10" t="s">
        <v>388</v>
      </c>
      <c r="C393" s="10" t="str">
        <f>_xlfn.XLOOKUP(B393,DataSet!$N$2:$N$600,DataSet!$AF$2:$AF$600,0)</f>
        <v>155558</v>
      </c>
      <c r="D393" s="10" t="str">
        <f>_xlfn.XLOOKUP(B393,DataSet!$N$2:$N$600,DataSet!$G$2:$G$600,0)</f>
        <v>Paul Gonzalez</v>
      </c>
      <c r="E393" s="10" t="str">
        <f>_xlfn.XLOOKUP(B393,DataSet!$N$2:$N$600,DataSet!$F$2:$F$600,0)</f>
        <v>PG-18895</v>
      </c>
      <c r="F393" s="10" t="str">
        <f>_xlfn.XLOOKUP(B393,DataSet!$N$2:$N$600,DataSet!$W$2:$W$600,0)</f>
        <v>Consumer</v>
      </c>
      <c r="G393" s="13">
        <f>_xlfn.XLOOKUP(B393,DataSet!$N$2:$N$600,DataSet!$C$2:$C$600,0)</f>
        <v>43034</v>
      </c>
      <c r="H393" s="10" t="str">
        <f>_xlfn.XLOOKUP(B393,DataSet!$N$2:$N$600,DataSet!$I$2:$I$600,0)</f>
        <v>United States</v>
      </c>
      <c r="I393" s="10" t="str">
        <f>_xlfn.XLOOKUP(B393,DataSet!$N$2:$N$600,DataSet!$X$2:$X$600,0)</f>
        <v>Rochester - Minnesota</v>
      </c>
      <c r="J393" s="10" t="str">
        <f>_xlfn.XLOOKUP(B393,DataSet!$N$2:$N$600,DataSet!$M$2:$M$600,0)</f>
        <v>Central</v>
      </c>
      <c r="K393" s="10" t="str">
        <f>_xlfn.XLOOKUP(B393,DataSet!$N$2:$N$600,DataSet!$O$2:$O$600,0)</f>
        <v>Technology</v>
      </c>
      <c r="L393" s="10" t="str">
        <f>_xlfn.XLOOKUP(B393,DataSet!$N$2:$N$600,DataSet!$Y$2:$Y$600,0)</f>
        <v>Accessories</v>
      </c>
      <c r="M393" s="10" t="str">
        <f>_xlfn.XLOOKUP(B393,DataSet!$N$2:$N$600,DataSet!$Q$2:$Q$600,0)</f>
        <v>Logitech LS21 Speaker System - PC Multimedia - 2.1-CH - Wired</v>
      </c>
      <c r="N393" s="16">
        <f>_xlfn.XLOOKUP(B393,DataSet!$N$2:$N$600,DataSet!$AA$2:$AA$600,0)</f>
        <v>19.989999999999998</v>
      </c>
      <c r="O393" s="10">
        <f>_xlfn.XLOOKUP(B393,DataSet!$N$2:$N$600,DataSet!$S$2:$S$600,0)</f>
        <v>1</v>
      </c>
      <c r="P393" s="15">
        <f>_xlfn.XLOOKUP(B393,DataSet!$N$2:$N$600,DataSet!$T$2:$T$600,0)</f>
        <v>0</v>
      </c>
      <c r="Q393" s="14">
        <f>_xlfn.XLOOKUP(B393,DataSet!$N$2:$N$600,DataSet!$U$2:$U$600,0)</f>
        <v>6.7965999999999998</v>
      </c>
      <c r="R393" s="16">
        <f>_xlfn.XLOOKUP(B393,DataSet!$N$2:$N$600,DataSet!$AB$2:$AB$600,0)</f>
        <v>19.989999999999998</v>
      </c>
      <c r="S393" s="9">
        <f>_xlfn.XLOOKUP(B393,DataSet!$N$2:$N$600,DataSet!$AC$2:$AC$600,0)</f>
        <v>19.989999999999998</v>
      </c>
    </row>
    <row r="394" spans="1:19" s="12" customFormat="1" x14ac:dyDescent="0.3">
      <c r="A394" s="27">
        <v>392</v>
      </c>
      <c r="B394" s="10" t="s">
        <v>1380</v>
      </c>
      <c r="C394" s="10" t="str">
        <f>_xlfn.XLOOKUP(B394,DataSet!$N$2:$N$600,DataSet!$AF$2:$AF$600,0)</f>
        <v>135972</v>
      </c>
      <c r="D394" s="10" t="str">
        <f>_xlfn.XLOOKUP(B394,DataSet!$N$2:$N$600,DataSet!$G$2:$G$600,0)</f>
        <v>Jack Garza</v>
      </c>
      <c r="E394" s="10" t="str">
        <f>_xlfn.XLOOKUP(B394,DataSet!$N$2:$N$600,DataSet!$F$2:$F$600,0)</f>
        <v>JG-15115</v>
      </c>
      <c r="F394" s="10" t="str">
        <f>_xlfn.XLOOKUP(B394,DataSet!$N$2:$N$600,DataSet!$W$2:$W$600,0)</f>
        <v>Consumer</v>
      </c>
      <c r="G394" s="13">
        <f>_xlfn.XLOOKUP(B394,DataSet!$N$2:$N$600,DataSet!$C$2:$C$600,0)</f>
        <v>41903</v>
      </c>
      <c r="H394" s="10" t="str">
        <f>_xlfn.XLOOKUP(B394,DataSet!$N$2:$N$600,DataSet!$I$2:$I$600,0)</f>
        <v>United States</v>
      </c>
      <c r="I394" s="10" t="str">
        <f>_xlfn.XLOOKUP(B394,DataSet!$N$2:$N$600,DataSet!$X$2:$X$600,0)</f>
        <v>Des Moines - Washington</v>
      </c>
      <c r="J394" s="10" t="str">
        <f>_xlfn.XLOOKUP(B394,DataSet!$N$2:$N$600,DataSet!$M$2:$M$600,0)</f>
        <v>West</v>
      </c>
      <c r="K394" s="10" t="str">
        <f>_xlfn.XLOOKUP(B394,DataSet!$N$2:$N$600,DataSet!$O$2:$O$600,0)</f>
        <v>Technology</v>
      </c>
      <c r="L394" s="10" t="str">
        <f>_xlfn.XLOOKUP(B394,DataSet!$N$2:$N$600,DataSet!$Y$2:$Y$600,0)</f>
        <v>Phones</v>
      </c>
      <c r="M394" s="10" t="str">
        <f>_xlfn.XLOOKUP(B394,DataSet!$N$2:$N$600,DataSet!$Q$2:$Q$600,0)</f>
        <v>Nortel Meridian M3904 Professional Digital phone</v>
      </c>
      <c r="N394" s="16">
        <f>_xlfn.XLOOKUP(B394,DataSet!$N$2:$N$600,DataSet!$AA$2:$AA$600,0)</f>
        <v>246.38399999999999</v>
      </c>
      <c r="O394" s="10">
        <f>_xlfn.XLOOKUP(B394,DataSet!$N$2:$N$600,DataSet!$S$2:$S$600,0)</f>
        <v>2</v>
      </c>
      <c r="P394" s="15">
        <f>_xlfn.XLOOKUP(B394,DataSet!$N$2:$N$600,DataSet!$T$2:$T$600,0)</f>
        <v>0.2</v>
      </c>
      <c r="Q394" s="14">
        <f>_xlfn.XLOOKUP(B394,DataSet!$N$2:$N$600,DataSet!$U$2:$U$600,0)</f>
        <v>27.7182</v>
      </c>
      <c r="R394" s="16">
        <f>_xlfn.XLOOKUP(B394,DataSet!$N$2:$N$600,DataSet!$AB$2:$AB$600,0)</f>
        <v>492.76799999999997</v>
      </c>
      <c r="S394" s="9">
        <f>_xlfn.XLOOKUP(B394,DataSet!$N$2:$N$600,DataSet!$AC$2:$AC$600,0)</f>
        <v>394.21440000000001</v>
      </c>
    </row>
    <row r="395" spans="1:19" s="12" customFormat="1" x14ac:dyDescent="0.3">
      <c r="A395" s="27">
        <v>393</v>
      </c>
      <c r="B395" s="10" t="s">
        <v>1382</v>
      </c>
      <c r="C395" s="10" t="str">
        <f>_xlfn.XLOOKUP(B395,DataSet!$N$2:$N$600,DataSet!$AF$2:$AF$600,0)</f>
        <v>135972</v>
      </c>
      <c r="D395" s="10" t="str">
        <f>_xlfn.XLOOKUP(B395,DataSet!$N$2:$N$600,DataSet!$G$2:$G$600,0)</f>
        <v>Jack Garza</v>
      </c>
      <c r="E395" s="10" t="str">
        <f>_xlfn.XLOOKUP(B395,DataSet!$N$2:$N$600,DataSet!$F$2:$F$600,0)</f>
        <v>JG-15115</v>
      </c>
      <c r="F395" s="10" t="str">
        <f>_xlfn.XLOOKUP(B395,DataSet!$N$2:$N$600,DataSet!$W$2:$W$600,0)</f>
        <v>Consumer</v>
      </c>
      <c r="G395" s="13">
        <f>_xlfn.XLOOKUP(B395,DataSet!$N$2:$N$600,DataSet!$C$2:$C$600,0)</f>
        <v>41903</v>
      </c>
      <c r="H395" s="10" t="str">
        <f>_xlfn.XLOOKUP(B395,DataSet!$N$2:$N$600,DataSet!$I$2:$I$600,0)</f>
        <v>United States</v>
      </c>
      <c r="I395" s="10" t="str">
        <f>_xlfn.XLOOKUP(B395,DataSet!$N$2:$N$600,DataSet!$X$2:$X$600,0)</f>
        <v>Des Moines - Washington</v>
      </c>
      <c r="J395" s="10" t="str">
        <f>_xlfn.XLOOKUP(B395,DataSet!$N$2:$N$600,DataSet!$M$2:$M$600,0)</f>
        <v>West</v>
      </c>
      <c r="K395" s="10" t="str">
        <f>_xlfn.XLOOKUP(B395,DataSet!$N$2:$N$600,DataSet!$O$2:$O$600,0)</f>
        <v>Technology</v>
      </c>
      <c r="L395" s="10" t="str">
        <f>_xlfn.XLOOKUP(B395,DataSet!$N$2:$N$600,DataSet!$Y$2:$Y$600,0)</f>
        <v>Copiers</v>
      </c>
      <c r="M395" s="10" t="str">
        <f>_xlfn.XLOOKUP(B395,DataSet!$N$2:$N$600,DataSet!$Q$2:$Q$600,0)</f>
        <v>Canon PC1080F Personal Copier</v>
      </c>
      <c r="N395" s="16">
        <f>_xlfn.XLOOKUP(B395,DataSet!$N$2:$N$600,DataSet!$AA$2:$AA$600,0)</f>
        <v>1799.97</v>
      </c>
      <c r="O395" s="10">
        <f>_xlfn.XLOOKUP(B395,DataSet!$N$2:$N$600,DataSet!$S$2:$S$600,0)</f>
        <v>3</v>
      </c>
      <c r="P395" s="15">
        <f>_xlfn.XLOOKUP(B395,DataSet!$N$2:$N$600,DataSet!$T$2:$T$600,0)</f>
        <v>0</v>
      </c>
      <c r="Q395" s="14">
        <f>_xlfn.XLOOKUP(B395,DataSet!$N$2:$N$600,DataSet!$U$2:$U$600,0)</f>
        <v>701.98829999999998</v>
      </c>
      <c r="R395" s="16">
        <f>_xlfn.XLOOKUP(B395,DataSet!$N$2:$N$600,DataSet!$AB$2:$AB$600,0)</f>
        <v>5399.91</v>
      </c>
      <c r="S395" s="9">
        <f>_xlfn.XLOOKUP(B395,DataSet!$N$2:$N$600,DataSet!$AC$2:$AC$600,0)</f>
        <v>5399.91</v>
      </c>
    </row>
    <row r="396" spans="1:19" s="12" customFormat="1" x14ac:dyDescent="0.3">
      <c r="A396" s="27">
        <v>394</v>
      </c>
      <c r="B396" s="10" t="s">
        <v>1388</v>
      </c>
      <c r="C396" s="10" t="str">
        <f>_xlfn.XLOOKUP(B396,DataSet!$N$2:$N$600,DataSet!$AF$2:$AF$600,0)</f>
        <v>134971</v>
      </c>
      <c r="D396" s="10" t="str">
        <f>_xlfn.XLOOKUP(B396,DataSet!$N$2:$N$600,DataSet!$G$2:$G$600,0)</f>
        <v>Bart Pistole</v>
      </c>
      <c r="E396" s="10" t="str">
        <f>_xlfn.XLOOKUP(B396,DataSet!$N$2:$N$600,DataSet!$F$2:$F$600,0)</f>
        <v>BP-11095</v>
      </c>
      <c r="F396" s="10" t="str">
        <f>_xlfn.XLOOKUP(B396,DataSet!$N$2:$N$600,DataSet!$W$2:$W$600,0)</f>
        <v>Corporate</v>
      </c>
      <c r="G396" s="13">
        <f>_xlfn.XLOOKUP(B396,DataSet!$N$2:$N$600,DataSet!$C$2:$C$600,0)</f>
        <v>41797</v>
      </c>
      <c r="H396" s="10" t="str">
        <f>_xlfn.XLOOKUP(B396,DataSet!$N$2:$N$600,DataSet!$I$2:$I$600,0)</f>
        <v>United States</v>
      </c>
      <c r="I396" s="10" t="str">
        <f>_xlfn.XLOOKUP(B396,DataSet!$N$2:$N$600,DataSet!$X$2:$X$600,0)</f>
        <v>Peoria - Illinois</v>
      </c>
      <c r="J396" s="10" t="str">
        <f>_xlfn.XLOOKUP(B396,DataSet!$N$2:$N$600,DataSet!$M$2:$M$600,0)</f>
        <v>Central</v>
      </c>
      <c r="K396" s="10" t="str">
        <f>_xlfn.XLOOKUP(B396,DataSet!$N$2:$N$600,DataSet!$O$2:$O$600,0)</f>
        <v>Office Supplies</v>
      </c>
      <c r="L396" s="10" t="str">
        <f>_xlfn.XLOOKUP(B396,DataSet!$N$2:$N$600,DataSet!$Y$2:$Y$600,0)</f>
        <v>Binders</v>
      </c>
      <c r="M396" s="10" t="str">
        <f>_xlfn.XLOOKUP(B396,DataSet!$N$2:$N$600,DataSet!$Q$2:$Q$600,0)</f>
        <v>Wilson Jones Century Plastic Molded Ring Binders</v>
      </c>
      <c r="N396" s="16">
        <f>_xlfn.XLOOKUP(B396,DataSet!$N$2:$N$600,DataSet!$AA$2:$AA$600,0)</f>
        <v>12.462</v>
      </c>
      <c r="O396" s="10">
        <f>_xlfn.XLOOKUP(B396,DataSet!$N$2:$N$600,DataSet!$S$2:$S$600,0)</f>
        <v>3</v>
      </c>
      <c r="P396" s="15">
        <f>_xlfn.XLOOKUP(B396,DataSet!$N$2:$N$600,DataSet!$T$2:$T$600,0)</f>
        <v>0.8</v>
      </c>
      <c r="Q396" s="14">
        <f>_xlfn.XLOOKUP(B396,DataSet!$N$2:$N$600,DataSet!$U$2:$U$600,0)</f>
        <v>-20.5623</v>
      </c>
      <c r="R396" s="16">
        <f>_xlfn.XLOOKUP(B396,DataSet!$N$2:$N$600,DataSet!$AB$2:$AB$600,0)</f>
        <v>37.385999999999996</v>
      </c>
      <c r="S396" s="9">
        <f>_xlfn.XLOOKUP(B396,DataSet!$N$2:$N$600,DataSet!$AC$2:$AC$600,0)</f>
        <v>7.4771999999999972</v>
      </c>
    </row>
    <row r="397" spans="1:19" s="12" customFormat="1" x14ac:dyDescent="0.3">
      <c r="A397" s="27">
        <v>395</v>
      </c>
      <c r="B397" s="10" t="s">
        <v>1395</v>
      </c>
      <c r="C397" s="10" t="str">
        <f>_xlfn.XLOOKUP(B397,DataSet!$N$2:$N$600,DataSet!$AF$2:$AF$600,0)</f>
        <v>102946</v>
      </c>
      <c r="D397" s="10" t="str">
        <f>_xlfn.XLOOKUP(B397,DataSet!$N$2:$N$600,DataSet!$G$2:$G$600,0)</f>
        <v>Victor Preis</v>
      </c>
      <c r="E397" s="10" t="str">
        <f>_xlfn.XLOOKUP(B397,DataSet!$N$2:$N$600,DataSet!$F$2:$F$600,0)</f>
        <v>VP-21730</v>
      </c>
      <c r="F397" s="10" t="str">
        <f>_xlfn.XLOOKUP(B397,DataSet!$N$2:$N$600,DataSet!$W$2:$W$600,0)</f>
        <v>Home Office</v>
      </c>
      <c r="G397" s="13">
        <f>_xlfn.XLOOKUP(B397,DataSet!$N$2:$N$600,DataSet!$C$2:$C$600,0)</f>
        <v>42916</v>
      </c>
      <c r="H397" s="10" t="str">
        <f>_xlfn.XLOOKUP(B397,DataSet!$N$2:$N$600,DataSet!$I$2:$I$600,0)</f>
        <v>United States</v>
      </c>
      <c r="I397" s="10" t="str">
        <f>_xlfn.XLOOKUP(B397,DataSet!$N$2:$N$600,DataSet!$X$2:$X$600,0)</f>
        <v>Las Vegas - Nevada</v>
      </c>
      <c r="J397" s="10" t="str">
        <f>_xlfn.XLOOKUP(B397,DataSet!$N$2:$N$600,DataSet!$M$2:$M$600,0)</f>
        <v>West</v>
      </c>
      <c r="K397" s="10" t="str">
        <f>_xlfn.XLOOKUP(B397,DataSet!$N$2:$N$600,DataSet!$O$2:$O$600,0)</f>
        <v>Office Supplies</v>
      </c>
      <c r="L397" s="10" t="str">
        <f>_xlfn.XLOOKUP(B397,DataSet!$N$2:$N$600,DataSet!$Y$2:$Y$600,0)</f>
        <v>Binders</v>
      </c>
      <c r="M397" s="10" t="str">
        <f>_xlfn.XLOOKUP(B397,DataSet!$N$2:$N$600,DataSet!$Q$2:$Q$600,0)</f>
        <v>Tuf-Vin Binders</v>
      </c>
      <c r="N397" s="16">
        <f>_xlfn.XLOOKUP(B397,DataSet!$N$2:$N$600,DataSet!$AA$2:$AA$600,0)</f>
        <v>75.792000000000002</v>
      </c>
      <c r="O397" s="10">
        <f>_xlfn.XLOOKUP(B397,DataSet!$N$2:$N$600,DataSet!$S$2:$S$600,0)</f>
        <v>3</v>
      </c>
      <c r="P397" s="15">
        <f>_xlfn.XLOOKUP(B397,DataSet!$N$2:$N$600,DataSet!$T$2:$T$600,0)</f>
        <v>0.2</v>
      </c>
      <c r="Q397" s="14">
        <f>_xlfn.XLOOKUP(B397,DataSet!$N$2:$N$600,DataSet!$U$2:$U$600,0)</f>
        <v>25.579799999999999</v>
      </c>
      <c r="R397" s="16">
        <f>_xlfn.XLOOKUP(B397,DataSet!$N$2:$N$600,DataSet!$AB$2:$AB$600,0)</f>
        <v>227.376</v>
      </c>
      <c r="S397" s="9">
        <f>_xlfn.XLOOKUP(B397,DataSet!$N$2:$N$600,DataSet!$AC$2:$AC$600,0)</f>
        <v>181.9008</v>
      </c>
    </row>
    <row r="398" spans="1:19" s="12" customFormat="1" x14ac:dyDescent="0.3">
      <c r="A398" s="27">
        <v>396</v>
      </c>
      <c r="B398" s="10" t="s">
        <v>1402</v>
      </c>
      <c r="C398" s="10" t="str">
        <f>_xlfn.XLOOKUP(B398,DataSet!$N$2:$N$600,DataSet!$AF$2:$AF$600,0)</f>
        <v>165603</v>
      </c>
      <c r="D398" s="10" t="str">
        <f>_xlfn.XLOOKUP(B398,DataSet!$N$2:$N$600,DataSet!$G$2:$G$600,0)</f>
        <v>Saphhira Shifley</v>
      </c>
      <c r="E398" s="10" t="str">
        <f>_xlfn.XLOOKUP(B398,DataSet!$N$2:$N$600,DataSet!$F$2:$F$600,0)</f>
        <v>SS-20140</v>
      </c>
      <c r="F398" s="10" t="str">
        <f>_xlfn.XLOOKUP(B398,DataSet!$N$2:$N$600,DataSet!$W$2:$W$600,0)</f>
        <v>Corporate</v>
      </c>
      <c r="G398" s="13">
        <f>_xlfn.XLOOKUP(B398,DataSet!$N$2:$N$600,DataSet!$C$2:$C$600,0)</f>
        <v>43025</v>
      </c>
      <c r="H398" s="10" t="str">
        <f>_xlfn.XLOOKUP(B398,DataSet!$N$2:$N$600,DataSet!$I$2:$I$600,0)</f>
        <v>United States</v>
      </c>
      <c r="I398" s="10" t="str">
        <f>_xlfn.XLOOKUP(B398,DataSet!$N$2:$N$600,DataSet!$X$2:$X$600,0)</f>
        <v>Warwick - Rhode Island</v>
      </c>
      <c r="J398" s="10" t="str">
        <f>_xlfn.XLOOKUP(B398,DataSet!$N$2:$N$600,DataSet!$M$2:$M$600,0)</f>
        <v>East</v>
      </c>
      <c r="K398" s="10" t="str">
        <f>_xlfn.XLOOKUP(B398,DataSet!$N$2:$N$600,DataSet!$O$2:$O$600,0)</f>
        <v>Office Supplies</v>
      </c>
      <c r="L398" s="10" t="str">
        <f>_xlfn.XLOOKUP(B398,DataSet!$N$2:$N$600,DataSet!$Y$2:$Y$600,0)</f>
        <v>Storage</v>
      </c>
      <c r="M398" s="10" t="str">
        <f>_xlfn.XLOOKUP(B398,DataSet!$N$2:$N$600,DataSet!$Q$2:$Q$600,0)</f>
        <v>2300 Heavy-Duty Transfer File Systems by Perma</v>
      </c>
      <c r="N398" s="16">
        <f>_xlfn.XLOOKUP(B398,DataSet!$N$2:$N$600,DataSet!$AA$2:$AA$600,0)</f>
        <v>49.96</v>
      </c>
      <c r="O398" s="10">
        <f>_xlfn.XLOOKUP(B398,DataSet!$N$2:$N$600,DataSet!$S$2:$S$600,0)</f>
        <v>2</v>
      </c>
      <c r="P398" s="15">
        <f>_xlfn.XLOOKUP(B398,DataSet!$N$2:$N$600,DataSet!$T$2:$T$600,0)</f>
        <v>0</v>
      </c>
      <c r="Q398" s="14">
        <f>_xlfn.XLOOKUP(B398,DataSet!$N$2:$N$600,DataSet!$U$2:$U$600,0)</f>
        <v>9.4923999999999999</v>
      </c>
      <c r="R398" s="16">
        <f>_xlfn.XLOOKUP(B398,DataSet!$N$2:$N$600,DataSet!$AB$2:$AB$600,0)</f>
        <v>99.92</v>
      </c>
      <c r="S398" s="9">
        <f>_xlfn.XLOOKUP(B398,DataSet!$N$2:$N$600,DataSet!$AC$2:$AC$600,0)</f>
        <v>99.92</v>
      </c>
    </row>
    <row r="399" spans="1:19" s="12" customFormat="1" x14ac:dyDescent="0.3">
      <c r="A399" s="27">
        <v>397</v>
      </c>
      <c r="B399" s="10" t="s">
        <v>1404</v>
      </c>
      <c r="C399" s="10" t="str">
        <f>_xlfn.XLOOKUP(B399,DataSet!$N$2:$N$600,DataSet!$AF$2:$AF$600,0)</f>
        <v>165603</v>
      </c>
      <c r="D399" s="10" t="str">
        <f>_xlfn.XLOOKUP(B399,DataSet!$N$2:$N$600,DataSet!$G$2:$G$600,0)</f>
        <v>Saphhira Shifley</v>
      </c>
      <c r="E399" s="10" t="str">
        <f>_xlfn.XLOOKUP(B399,DataSet!$N$2:$N$600,DataSet!$F$2:$F$600,0)</f>
        <v>SS-20140</v>
      </c>
      <c r="F399" s="10" t="str">
        <f>_xlfn.XLOOKUP(B399,DataSet!$N$2:$N$600,DataSet!$W$2:$W$600,0)</f>
        <v>Corporate</v>
      </c>
      <c r="G399" s="13">
        <f>_xlfn.XLOOKUP(B399,DataSet!$N$2:$N$600,DataSet!$C$2:$C$600,0)</f>
        <v>43025</v>
      </c>
      <c r="H399" s="10" t="str">
        <f>_xlfn.XLOOKUP(B399,DataSet!$N$2:$N$600,DataSet!$I$2:$I$600,0)</f>
        <v>United States</v>
      </c>
      <c r="I399" s="10" t="str">
        <f>_xlfn.XLOOKUP(B399,DataSet!$N$2:$N$600,DataSet!$X$2:$X$600,0)</f>
        <v>Warwick - Rhode Island</v>
      </c>
      <c r="J399" s="10" t="str">
        <f>_xlfn.XLOOKUP(B399,DataSet!$N$2:$N$600,DataSet!$M$2:$M$600,0)</f>
        <v>East</v>
      </c>
      <c r="K399" s="10" t="str">
        <f>_xlfn.XLOOKUP(B399,DataSet!$N$2:$N$600,DataSet!$O$2:$O$600,0)</f>
        <v>Office Supplies</v>
      </c>
      <c r="L399" s="10" t="str">
        <f>_xlfn.XLOOKUP(B399,DataSet!$N$2:$N$600,DataSet!$Y$2:$Y$600,0)</f>
        <v>Paper</v>
      </c>
      <c r="M399" s="10" t="str">
        <f>_xlfn.XLOOKUP(B399,DataSet!$N$2:$N$600,DataSet!$Q$2:$Q$600,0)</f>
        <v>Xerox 1958</v>
      </c>
      <c r="N399" s="16">
        <f>_xlfn.XLOOKUP(B399,DataSet!$N$2:$N$600,DataSet!$AA$2:$AA$600,0)</f>
        <v>12.96</v>
      </c>
      <c r="O399" s="10">
        <f>_xlfn.XLOOKUP(B399,DataSet!$N$2:$N$600,DataSet!$S$2:$S$600,0)</f>
        <v>2</v>
      </c>
      <c r="P399" s="15">
        <f>_xlfn.XLOOKUP(B399,DataSet!$N$2:$N$600,DataSet!$T$2:$T$600,0)</f>
        <v>0</v>
      </c>
      <c r="Q399" s="14">
        <f>_xlfn.XLOOKUP(B399,DataSet!$N$2:$N$600,DataSet!$U$2:$U$600,0)</f>
        <v>6.2207999999999997</v>
      </c>
      <c r="R399" s="16">
        <f>_xlfn.XLOOKUP(B399,DataSet!$N$2:$N$600,DataSet!$AB$2:$AB$600,0)</f>
        <v>25.92</v>
      </c>
      <c r="S399" s="9">
        <f>_xlfn.XLOOKUP(B399,DataSet!$N$2:$N$600,DataSet!$AC$2:$AC$600,0)</f>
        <v>25.92</v>
      </c>
    </row>
    <row r="400" spans="1:19" s="12" customFormat="1" x14ac:dyDescent="0.3">
      <c r="A400" s="27">
        <v>398</v>
      </c>
      <c r="B400" s="10" t="s">
        <v>1407</v>
      </c>
      <c r="C400" s="10" t="str">
        <f>_xlfn.XLOOKUP(B400,DataSet!$N$2:$N$600,DataSet!$AF$2:$AF$600,0)</f>
        <v>122259</v>
      </c>
      <c r="D400" s="10" t="str">
        <f>_xlfn.XLOOKUP(B400,DataSet!$N$2:$N$600,DataSet!$G$2:$G$600,0)</f>
        <v>Harold Pawlan</v>
      </c>
      <c r="E400" s="10" t="str">
        <f>_xlfn.XLOOKUP(B400,DataSet!$N$2:$N$600,DataSet!$F$2:$F$600,0)</f>
        <v>HP-14815</v>
      </c>
      <c r="F400" s="10" t="str">
        <f>_xlfn.XLOOKUP(B400,DataSet!$N$2:$N$600,DataSet!$W$2:$W$600,0)</f>
        <v>Home Office</v>
      </c>
      <c r="G400" s="13">
        <f>_xlfn.XLOOKUP(B400,DataSet!$N$2:$N$600,DataSet!$C$2:$C$600,0)</f>
        <v>42308</v>
      </c>
      <c r="H400" s="10" t="str">
        <f>_xlfn.XLOOKUP(B400,DataSet!$N$2:$N$600,DataSet!$I$2:$I$600,0)</f>
        <v>United States</v>
      </c>
      <c r="I400" s="10" t="str">
        <f>_xlfn.XLOOKUP(B400,DataSet!$N$2:$N$600,DataSet!$X$2:$X$600,0)</f>
        <v>Jackson - Michigan</v>
      </c>
      <c r="J400" s="10" t="str">
        <f>_xlfn.XLOOKUP(B400,DataSet!$N$2:$N$600,DataSet!$M$2:$M$600,0)</f>
        <v>Central</v>
      </c>
      <c r="K400" s="10" t="str">
        <f>_xlfn.XLOOKUP(B400,DataSet!$N$2:$N$600,DataSet!$O$2:$O$600,0)</f>
        <v>Office Supplies</v>
      </c>
      <c r="L400" s="10" t="str">
        <f>_xlfn.XLOOKUP(B400,DataSet!$N$2:$N$600,DataSet!$Y$2:$Y$600,0)</f>
        <v>Supplies</v>
      </c>
      <c r="M400" s="10" t="str">
        <f>_xlfn.XLOOKUP(B400,DataSet!$N$2:$N$600,DataSet!$Q$2:$Q$600,0)</f>
        <v>Acme 10" Easy Grip Assistive Scissors</v>
      </c>
      <c r="N400" s="16">
        <f>_xlfn.XLOOKUP(B400,DataSet!$N$2:$N$600,DataSet!$AA$2:$AA$600,0)</f>
        <v>70.12</v>
      </c>
      <c r="O400" s="10">
        <f>_xlfn.XLOOKUP(B400,DataSet!$N$2:$N$600,DataSet!$S$2:$S$600,0)</f>
        <v>4</v>
      </c>
      <c r="P400" s="15">
        <f>_xlfn.XLOOKUP(B400,DataSet!$N$2:$N$600,DataSet!$T$2:$T$600,0)</f>
        <v>0</v>
      </c>
      <c r="Q400" s="14">
        <f>_xlfn.XLOOKUP(B400,DataSet!$N$2:$N$600,DataSet!$U$2:$U$600,0)</f>
        <v>21.036000000000001</v>
      </c>
      <c r="R400" s="16">
        <f>_xlfn.XLOOKUP(B400,DataSet!$N$2:$N$600,DataSet!$AB$2:$AB$600,0)</f>
        <v>280.48</v>
      </c>
      <c r="S400" s="9">
        <f>_xlfn.XLOOKUP(B400,DataSet!$N$2:$N$600,DataSet!$AC$2:$AC$600,0)</f>
        <v>280.48</v>
      </c>
    </row>
    <row r="401" spans="1:19" s="12" customFormat="1" x14ac:dyDescent="0.3">
      <c r="A401" s="27">
        <v>399</v>
      </c>
      <c r="B401" s="10" t="s">
        <v>1412</v>
      </c>
      <c r="C401" s="10" t="str">
        <f>_xlfn.XLOOKUP(B401,DataSet!$N$2:$N$600,DataSet!$AF$2:$AF$600,0)</f>
        <v>108987</v>
      </c>
      <c r="D401" s="10" t="str">
        <f>_xlfn.XLOOKUP(B401,DataSet!$N$2:$N$600,DataSet!$G$2:$G$600,0)</f>
        <v>Anna Gayman</v>
      </c>
      <c r="E401" s="10" t="str">
        <f>_xlfn.XLOOKUP(B401,DataSet!$N$2:$N$600,DataSet!$F$2:$F$600,0)</f>
        <v>AG-10675</v>
      </c>
      <c r="F401" s="10" t="str">
        <f>_xlfn.XLOOKUP(B401,DataSet!$N$2:$N$600,DataSet!$W$2:$W$600,0)</f>
        <v>Consumer</v>
      </c>
      <c r="G401" s="13">
        <f>_xlfn.XLOOKUP(B401,DataSet!$N$2:$N$600,DataSet!$C$2:$C$600,0)</f>
        <v>42621</v>
      </c>
      <c r="H401" s="10" t="str">
        <f>_xlfn.XLOOKUP(B401,DataSet!$N$2:$N$600,DataSet!$I$2:$I$600,0)</f>
        <v>United States</v>
      </c>
      <c r="I401" s="10" t="str">
        <f>_xlfn.XLOOKUP(B401,DataSet!$N$2:$N$600,DataSet!$X$2:$X$600,0)</f>
        <v>Houston - Texas</v>
      </c>
      <c r="J401" s="10" t="str">
        <f>_xlfn.XLOOKUP(B401,DataSet!$N$2:$N$600,DataSet!$M$2:$M$600,0)</f>
        <v>Central</v>
      </c>
      <c r="K401" s="10" t="str">
        <f>_xlfn.XLOOKUP(B401,DataSet!$N$2:$N$600,DataSet!$O$2:$O$600,0)</f>
        <v>Office Supplies</v>
      </c>
      <c r="L401" s="10" t="str">
        <f>_xlfn.XLOOKUP(B401,DataSet!$N$2:$N$600,DataSet!$Y$2:$Y$600,0)</f>
        <v>Storage</v>
      </c>
      <c r="M401" s="10" t="str">
        <f>_xlfn.XLOOKUP(B401,DataSet!$N$2:$N$600,DataSet!$Q$2:$Q$600,0)</f>
        <v>Super Decoflex Portable Personal File</v>
      </c>
      <c r="N401" s="16">
        <f>_xlfn.XLOOKUP(B401,DataSet!$N$2:$N$600,DataSet!$AA$2:$AA$600,0)</f>
        <v>35.951999999999998</v>
      </c>
      <c r="O401" s="10">
        <f>_xlfn.XLOOKUP(B401,DataSet!$N$2:$N$600,DataSet!$S$2:$S$600,0)</f>
        <v>3</v>
      </c>
      <c r="P401" s="15">
        <f>_xlfn.XLOOKUP(B401,DataSet!$N$2:$N$600,DataSet!$T$2:$T$600,0)</f>
        <v>0.2</v>
      </c>
      <c r="Q401" s="14">
        <f>_xlfn.XLOOKUP(B401,DataSet!$N$2:$N$600,DataSet!$U$2:$U$600,0)</f>
        <v>3.5952000000000002</v>
      </c>
      <c r="R401" s="16">
        <f>_xlfn.XLOOKUP(B401,DataSet!$N$2:$N$600,DataSet!$AB$2:$AB$600,0)</f>
        <v>107.85599999999999</v>
      </c>
      <c r="S401" s="9">
        <f>_xlfn.XLOOKUP(B401,DataSet!$N$2:$N$600,DataSet!$AC$2:$AC$600,0)</f>
        <v>86.284800000000004</v>
      </c>
    </row>
    <row r="402" spans="1:19" s="12" customFormat="1" x14ac:dyDescent="0.3">
      <c r="A402" s="27">
        <v>400</v>
      </c>
      <c r="B402" s="10" t="s">
        <v>164</v>
      </c>
      <c r="C402" s="10" t="str">
        <f>_xlfn.XLOOKUP(B402,DataSet!$N$2:$N$600,DataSet!$AF$2:$AF$600,0)</f>
        <v>150630</v>
      </c>
      <c r="D402" s="10" t="str">
        <f>_xlfn.XLOOKUP(B402,DataSet!$N$2:$N$600,DataSet!$G$2:$G$600,0)</f>
        <v>Tracy Blumstein</v>
      </c>
      <c r="E402" s="10" t="str">
        <f>_xlfn.XLOOKUP(B402,DataSet!$N$2:$N$600,DataSet!$F$2:$F$600,0)</f>
        <v>TB-21520</v>
      </c>
      <c r="F402" s="10" t="str">
        <f>_xlfn.XLOOKUP(B402,DataSet!$N$2:$N$600,DataSet!$W$2:$W$600,0)</f>
        <v>Consumer</v>
      </c>
      <c r="G402" s="13">
        <f>_xlfn.XLOOKUP(B402,DataSet!$N$2:$N$600,DataSet!$C$2:$C$600,0)</f>
        <v>42264</v>
      </c>
      <c r="H402" s="10" t="str">
        <f>_xlfn.XLOOKUP(B402,DataSet!$N$2:$N$600,DataSet!$I$2:$I$600,0)</f>
        <v>United States</v>
      </c>
      <c r="I402" s="10" t="str">
        <f>_xlfn.XLOOKUP(B402,DataSet!$N$2:$N$600,DataSet!$X$2:$X$600,0)</f>
        <v>Philadelphia - Pennsylvania</v>
      </c>
      <c r="J402" s="10" t="str">
        <f>_xlfn.XLOOKUP(B402,DataSet!$N$2:$N$600,DataSet!$M$2:$M$600,0)</f>
        <v>East</v>
      </c>
      <c r="K402" s="10" t="str">
        <f>_xlfn.XLOOKUP(B402,DataSet!$N$2:$N$600,DataSet!$O$2:$O$600,0)</f>
        <v>Furniture</v>
      </c>
      <c r="L402" s="10" t="str">
        <f>_xlfn.XLOOKUP(B402,DataSet!$N$2:$N$600,DataSet!$Y$2:$Y$600,0)</f>
        <v>Bookcases</v>
      </c>
      <c r="M402" s="10" t="str">
        <f>_xlfn.XLOOKUP(B402,DataSet!$N$2:$N$600,DataSet!$Q$2:$Q$600,0)</f>
        <v>Riverside Palais Royal Lawyers Bookcase, Royale Cherry Finish</v>
      </c>
      <c r="N402" s="16">
        <f>_xlfn.XLOOKUP(B402,DataSet!$N$2:$N$600,DataSet!$AA$2:$AA$600,0)</f>
        <v>3083.43</v>
      </c>
      <c r="O402" s="10">
        <f>_xlfn.XLOOKUP(B402,DataSet!$N$2:$N$600,DataSet!$S$2:$S$600,0)</f>
        <v>7</v>
      </c>
      <c r="P402" s="15">
        <f>_xlfn.XLOOKUP(B402,DataSet!$N$2:$N$600,DataSet!$T$2:$T$600,0)</f>
        <v>0.5</v>
      </c>
      <c r="Q402" s="14">
        <f>_xlfn.XLOOKUP(B402,DataSet!$N$2:$N$600,DataSet!$U$2:$U$600,0)</f>
        <v>-1665.0522000000001</v>
      </c>
      <c r="R402" s="16">
        <f>_xlfn.XLOOKUP(B402,DataSet!$N$2:$N$600,DataSet!$AB$2:$AB$600,0)</f>
        <v>21584.01</v>
      </c>
      <c r="S402" s="9">
        <f>_xlfn.XLOOKUP(B402,DataSet!$N$2:$N$600,DataSet!$AC$2:$AC$600,0)</f>
        <v>10792.004999999999</v>
      </c>
    </row>
    <row r="403" spans="1:19" s="12" customFormat="1" x14ac:dyDescent="0.3">
      <c r="A403" s="27">
        <v>401</v>
      </c>
      <c r="B403" s="10" t="s">
        <v>1414</v>
      </c>
      <c r="C403" s="10" t="str">
        <f>_xlfn.XLOOKUP(B403,DataSet!$N$2:$N$600,DataSet!$AF$2:$AF$600,0)</f>
        <v>108987</v>
      </c>
      <c r="D403" s="10" t="str">
        <f>_xlfn.XLOOKUP(B403,DataSet!$N$2:$N$600,DataSet!$G$2:$G$600,0)</f>
        <v>Anna Gayman</v>
      </c>
      <c r="E403" s="10" t="str">
        <f>_xlfn.XLOOKUP(B403,DataSet!$N$2:$N$600,DataSet!$F$2:$F$600,0)</f>
        <v>AG-10675</v>
      </c>
      <c r="F403" s="10" t="str">
        <f>_xlfn.XLOOKUP(B403,DataSet!$N$2:$N$600,DataSet!$W$2:$W$600,0)</f>
        <v>Consumer</v>
      </c>
      <c r="G403" s="13">
        <f>_xlfn.XLOOKUP(B403,DataSet!$N$2:$N$600,DataSet!$C$2:$C$600,0)</f>
        <v>42621</v>
      </c>
      <c r="H403" s="10" t="str">
        <f>_xlfn.XLOOKUP(B403,DataSet!$N$2:$N$600,DataSet!$I$2:$I$600,0)</f>
        <v>United States</v>
      </c>
      <c r="I403" s="10" t="str">
        <f>_xlfn.XLOOKUP(B403,DataSet!$N$2:$N$600,DataSet!$X$2:$X$600,0)</f>
        <v>Houston - Texas</v>
      </c>
      <c r="J403" s="10" t="str">
        <f>_xlfn.XLOOKUP(B403,DataSet!$N$2:$N$600,DataSet!$M$2:$M$600,0)</f>
        <v>Central</v>
      </c>
      <c r="K403" s="10" t="str">
        <f>_xlfn.XLOOKUP(B403,DataSet!$N$2:$N$600,DataSet!$O$2:$O$600,0)</f>
        <v>Office Supplies</v>
      </c>
      <c r="L403" s="10" t="str">
        <f>_xlfn.XLOOKUP(B403,DataSet!$N$2:$N$600,DataSet!$Y$2:$Y$600,0)</f>
        <v>Storage</v>
      </c>
      <c r="M403" s="10" t="str">
        <f>_xlfn.XLOOKUP(B403,DataSet!$N$2:$N$600,DataSet!$Q$2:$Q$600,0)</f>
        <v>Contico 72"H Heavy-Duty Storage System</v>
      </c>
      <c r="N403" s="16">
        <f>_xlfn.XLOOKUP(B403,DataSet!$N$2:$N$600,DataSet!$AA$2:$AA$600,0)</f>
        <v>131.136</v>
      </c>
      <c r="O403" s="10">
        <f>_xlfn.XLOOKUP(B403,DataSet!$N$2:$N$600,DataSet!$S$2:$S$600,0)</f>
        <v>4</v>
      </c>
      <c r="P403" s="15">
        <f>_xlfn.XLOOKUP(B403,DataSet!$N$2:$N$600,DataSet!$T$2:$T$600,0)</f>
        <v>0.2</v>
      </c>
      <c r="Q403" s="14">
        <f>_xlfn.XLOOKUP(B403,DataSet!$N$2:$N$600,DataSet!$U$2:$U$600,0)</f>
        <v>-32.783999999999999</v>
      </c>
      <c r="R403" s="16">
        <f>_xlfn.XLOOKUP(B403,DataSet!$N$2:$N$600,DataSet!$AB$2:$AB$600,0)</f>
        <v>524.54399999999998</v>
      </c>
      <c r="S403" s="9">
        <f>_xlfn.XLOOKUP(B403,DataSet!$N$2:$N$600,DataSet!$AC$2:$AC$600,0)</f>
        <v>419.6352</v>
      </c>
    </row>
    <row r="404" spans="1:19" s="12" customFormat="1" x14ac:dyDescent="0.3">
      <c r="A404" s="27">
        <v>402</v>
      </c>
      <c r="B404" s="10" t="s">
        <v>1416</v>
      </c>
      <c r="C404" s="10" t="str">
        <f>_xlfn.XLOOKUP(B404,DataSet!$N$2:$N$600,DataSet!$AF$2:$AF$600,0)</f>
        <v>108987</v>
      </c>
      <c r="D404" s="10" t="str">
        <f>_xlfn.XLOOKUP(B404,DataSet!$N$2:$N$600,DataSet!$G$2:$G$600,0)</f>
        <v>Anna Gayman</v>
      </c>
      <c r="E404" s="10" t="str">
        <f>_xlfn.XLOOKUP(B404,DataSet!$N$2:$N$600,DataSet!$F$2:$F$600,0)</f>
        <v>AG-10675</v>
      </c>
      <c r="F404" s="10" t="str">
        <f>_xlfn.XLOOKUP(B404,DataSet!$N$2:$N$600,DataSet!$W$2:$W$600,0)</f>
        <v>Consumer</v>
      </c>
      <c r="G404" s="13">
        <f>_xlfn.XLOOKUP(B404,DataSet!$N$2:$N$600,DataSet!$C$2:$C$600,0)</f>
        <v>42621</v>
      </c>
      <c r="H404" s="10" t="str">
        <f>_xlfn.XLOOKUP(B404,DataSet!$N$2:$N$600,DataSet!$I$2:$I$600,0)</f>
        <v>United States</v>
      </c>
      <c r="I404" s="10" t="str">
        <f>_xlfn.XLOOKUP(B404,DataSet!$N$2:$N$600,DataSet!$X$2:$X$600,0)</f>
        <v>Houston - Texas</v>
      </c>
      <c r="J404" s="10" t="str">
        <f>_xlfn.XLOOKUP(B404,DataSet!$N$2:$N$600,DataSet!$M$2:$M$600,0)</f>
        <v>Central</v>
      </c>
      <c r="K404" s="10" t="str">
        <f>_xlfn.XLOOKUP(B404,DataSet!$N$2:$N$600,DataSet!$O$2:$O$600,0)</f>
        <v>Technology</v>
      </c>
      <c r="L404" s="10" t="str">
        <f>_xlfn.XLOOKUP(B404,DataSet!$N$2:$N$600,DataSet!$Y$2:$Y$600,0)</f>
        <v>Accessories</v>
      </c>
      <c r="M404" s="10" t="str">
        <f>_xlfn.XLOOKUP(B404,DataSet!$N$2:$N$600,DataSet!$Q$2:$Q$600,0)</f>
        <v>Sony 64GB Class 10 Micro SDHC R40 Memory Card</v>
      </c>
      <c r="N404" s="16">
        <f>_xlfn.XLOOKUP(B404,DataSet!$N$2:$N$600,DataSet!$AA$2:$AA$600,0)</f>
        <v>57.584000000000003</v>
      </c>
      <c r="O404" s="10">
        <f>_xlfn.XLOOKUP(B404,DataSet!$N$2:$N$600,DataSet!$S$2:$S$600,0)</f>
        <v>2</v>
      </c>
      <c r="P404" s="15">
        <f>_xlfn.XLOOKUP(B404,DataSet!$N$2:$N$600,DataSet!$T$2:$T$600,0)</f>
        <v>0.2</v>
      </c>
      <c r="Q404" s="14">
        <f>_xlfn.XLOOKUP(B404,DataSet!$N$2:$N$600,DataSet!$U$2:$U$600,0)</f>
        <v>0.7198</v>
      </c>
      <c r="R404" s="16">
        <f>_xlfn.XLOOKUP(B404,DataSet!$N$2:$N$600,DataSet!$AB$2:$AB$600,0)</f>
        <v>115.16800000000001</v>
      </c>
      <c r="S404" s="9">
        <f>_xlfn.XLOOKUP(B404,DataSet!$N$2:$N$600,DataSet!$AC$2:$AC$600,0)</f>
        <v>92.134400000000014</v>
      </c>
    </row>
    <row r="405" spans="1:19" s="12" customFormat="1" x14ac:dyDescent="0.3">
      <c r="A405" s="27">
        <v>403</v>
      </c>
      <c r="B405" s="10" t="s">
        <v>1422</v>
      </c>
      <c r="C405" s="10" t="str">
        <f>_xlfn.XLOOKUP(B405,DataSet!$N$2:$N$600,DataSet!$AF$2:$AF$600,0)</f>
        <v>113166</v>
      </c>
      <c r="D405" s="10" t="str">
        <f>_xlfn.XLOOKUP(B405,DataSet!$N$2:$N$600,DataSet!$G$2:$G$600,0)</f>
        <v>Luke Foster</v>
      </c>
      <c r="E405" s="10" t="str">
        <f>_xlfn.XLOOKUP(B405,DataSet!$N$2:$N$600,DataSet!$F$2:$F$600,0)</f>
        <v>LF-17185</v>
      </c>
      <c r="F405" s="10" t="str">
        <f>_xlfn.XLOOKUP(B405,DataSet!$N$2:$N$600,DataSet!$W$2:$W$600,0)</f>
        <v>Consumer</v>
      </c>
      <c r="G405" s="13">
        <f>_xlfn.XLOOKUP(B405,DataSet!$N$2:$N$600,DataSet!$C$2:$C$600,0)</f>
        <v>41997</v>
      </c>
      <c r="H405" s="10" t="str">
        <f>_xlfn.XLOOKUP(B405,DataSet!$N$2:$N$600,DataSet!$I$2:$I$600,0)</f>
        <v>United States</v>
      </c>
      <c r="I405" s="10" t="str">
        <f>_xlfn.XLOOKUP(B405,DataSet!$N$2:$N$600,DataSet!$X$2:$X$600,0)</f>
        <v>Miami - Florida</v>
      </c>
      <c r="J405" s="10" t="str">
        <f>_xlfn.XLOOKUP(B405,DataSet!$N$2:$N$600,DataSet!$M$2:$M$600,0)</f>
        <v>South</v>
      </c>
      <c r="K405" s="10" t="str">
        <f>_xlfn.XLOOKUP(B405,DataSet!$N$2:$N$600,DataSet!$O$2:$O$600,0)</f>
        <v>Office Supplies</v>
      </c>
      <c r="L405" s="10" t="str">
        <f>_xlfn.XLOOKUP(B405,DataSet!$N$2:$N$600,DataSet!$Y$2:$Y$600,0)</f>
        <v>Paper</v>
      </c>
      <c r="M405" s="10" t="str">
        <f>_xlfn.XLOOKUP(B405,DataSet!$N$2:$N$600,DataSet!$Q$2:$Q$600,0)</f>
        <v>Xerox 1974</v>
      </c>
      <c r="N405" s="16">
        <f>_xlfn.XLOOKUP(B405,DataSet!$N$2:$N$600,DataSet!$AA$2:$AA$600,0)</f>
        <v>9.5679999999999996</v>
      </c>
      <c r="O405" s="10">
        <f>_xlfn.XLOOKUP(B405,DataSet!$N$2:$N$600,DataSet!$S$2:$S$600,0)</f>
        <v>2</v>
      </c>
      <c r="P405" s="15">
        <f>_xlfn.XLOOKUP(B405,DataSet!$N$2:$N$600,DataSet!$T$2:$T$600,0)</f>
        <v>0.2</v>
      </c>
      <c r="Q405" s="14">
        <f>_xlfn.XLOOKUP(B405,DataSet!$N$2:$N$600,DataSet!$U$2:$U$600,0)</f>
        <v>3.4683999999999999</v>
      </c>
      <c r="R405" s="16">
        <f>_xlfn.XLOOKUP(B405,DataSet!$N$2:$N$600,DataSet!$AB$2:$AB$600,0)</f>
        <v>19.135999999999999</v>
      </c>
      <c r="S405" s="9">
        <f>_xlfn.XLOOKUP(B405,DataSet!$N$2:$N$600,DataSet!$AC$2:$AC$600,0)</f>
        <v>15.3088</v>
      </c>
    </row>
    <row r="406" spans="1:19" s="12" customFormat="1" x14ac:dyDescent="0.3">
      <c r="A406" s="27">
        <v>404</v>
      </c>
      <c r="B406" s="10" t="s">
        <v>1425</v>
      </c>
      <c r="C406" s="10" t="str">
        <f>_xlfn.XLOOKUP(B406,DataSet!$N$2:$N$600,DataSet!$AF$2:$AF$600,0)</f>
        <v>155208</v>
      </c>
      <c r="D406" s="10" t="str">
        <f>_xlfn.XLOOKUP(B406,DataSet!$N$2:$N$600,DataSet!$G$2:$G$600,0)</f>
        <v>Stephanie Phelps</v>
      </c>
      <c r="E406" s="10" t="str">
        <f>_xlfn.XLOOKUP(B406,DataSet!$N$2:$N$600,DataSet!$F$2:$F$600,0)</f>
        <v>SP-20650</v>
      </c>
      <c r="F406" s="10" t="str">
        <f>_xlfn.XLOOKUP(B406,DataSet!$N$2:$N$600,DataSet!$W$2:$W$600,0)</f>
        <v>Corporate</v>
      </c>
      <c r="G406" s="13">
        <f>_xlfn.XLOOKUP(B406,DataSet!$N$2:$N$600,DataSet!$C$2:$C$600,0)</f>
        <v>41745</v>
      </c>
      <c r="H406" s="10" t="str">
        <f>_xlfn.XLOOKUP(B406,DataSet!$N$2:$N$600,DataSet!$I$2:$I$600,0)</f>
        <v>United States</v>
      </c>
      <c r="I406" s="10" t="str">
        <f>_xlfn.XLOOKUP(B406,DataSet!$N$2:$N$600,DataSet!$X$2:$X$600,0)</f>
        <v>Wilmington - North Carolina</v>
      </c>
      <c r="J406" s="10" t="str">
        <f>_xlfn.XLOOKUP(B406,DataSet!$N$2:$N$600,DataSet!$M$2:$M$600,0)</f>
        <v>South</v>
      </c>
      <c r="K406" s="10" t="str">
        <f>_xlfn.XLOOKUP(B406,DataSet!$N$2:$N$600,DataSet!$O$2:$O$600,0)</f>
        <v>Office Supplies</v>
      </c>
      <c r="L406" s="10" t="str">
        <f>_xlfn.XLOOKUP(B406,DataSet!$N$2:$N$600,DataSet!$Y$2:$Y$600,0)</f>
        <v>Art</v>
      </c>
      <c r="M406" s="10" t="str">
        <f>_xlfn.XLOOKUP(B406,DataSet!$N$2:$N$600,DataSet!$Q$2:$Q$600,0)</f>
        <v>Avery Hi-Liter EverBold Pen Style Fluorescent Highlighters, 4/Pack</v>
      </c>
      <c r="N406" s="16">
        <f>_xlfn.XLOOKUP(B406,DataSet!$N$2:$N$600,DataSet!$AA$2:$AA$600,0)</f>
        <v>39.072000000000003</v>
      </c>
      <c r="O406" s="10">
        <f>_xlfn.XLOOKUP(B406,DataSet!$N$2:$N$600,DataSet!$S$2:$S$600,0)</f>
        <v>6</v>
      </c>
      <c r="P406" s="15">
        <f>_xlfn.XLOOKUP(B406,DataSet!$N$2:$N$600,DataSet!$T$2:$T$600,0)</f>
        <v>0.2</v>
      </c>
      <c r="Q406" s="14">
        <f>_xlfn.XLOOKUP(B406,DataSet!$N$2:$N$600,DataSet!$U$2:$U$600,0)</f>
        <v>9.7680000000000007</v>
      </c>
      <c r="R406" s="16">
        <f>_xlfn.XLOOKUP(B406,DataSet!$N$2:$N$600,DataSet!$AB$2:$AB$600,0)</f>
        <v>234.43200000000002</v>
      </c>
      <c r="S406" s="9">
        <f>_xlfn.XLOOKUP(B406,DataSet!$N$2:$N$600,DataSet!$AC$2:$AC$600,0)</f>
        <v>187.54560000000004</v>
      </c>
    </row>
    <row r="407" spans="1:19" s="12" customFormat="1" x14ac:dyDescent="0.3">
      <c r="A407" s="27">
        <v>405</v>
      </c>
      <c r="B407" s="10" t="s">
        <v>1430</v>
      </c>
      <c r="C407" s="10" t="str">
        <f>_xlfn.XLOOKUP(B407,DataSet!$N$2:$N$600,DataSet!$AF$2:$AF$600,0)</f>
        <v>117933</v>
      </c>
      <c r="D407" s="10" t="str">
        <f>_xlfn.XLOOKUP(B407,DataSet!$N$2:$N$600,DataSet!$G$2:$G$600,0)</f>
        <v>Roy Französisch</v>
      </c>
      <c r="E407" s="10" t="str">
        <f>_xlfn.XLOOKUP(B407,DataSet!$N$2:$N$600,DataSet!$F$2:$F$600,0)</f>
        <v>RF-19840</v>
      </c>
      <c r="F407" s="10" t="str">
        <f>_xlfn.XLOOKUP(B407,DataSet!$N$2:$N$600,DataSet!$W$2:$W$600,0)</f>
        <v>Consumer</v>
      </c>
      <c r="G407" s="13">
        <f>_xlfn.XLOOKUP(B407,DataSet!$N$2:$N$600,DataSet!$C$2:$C$600,0)</f>
        <v>43093</v>
      </c>
      <c r="H407" s="10" t="str">
        <f>_xlfn.XLOOKUP(B407,DataSet!$N$2:$N$600,DataSet!$I$2:$I$600,0)</f>
        <v>United States</v>
      </c>
      <c r="I407" s="10" t="str">
        <f>_xlfn.XLOOKUP(B407,DataSet!$N$2:$N$600,DataSet!$X$2:$X$600,0)</f>
        <v>New York City - New York</v>
      </c>
      <c r="J407" s="10" t="str">
        <f>_xlfn.XLOOKUP(B407,DataSet!$N$2:$N$600,DataSet!$M$2:$M$600,0)</f>
        <v>East</v>
      </c>
      <c r="K407" s="10" t="str">
        <f>_xlfn.XLOOKUP(B407,DataSet!$N$2:$N$600,DataSet!$O$2:$O$600,0)</f>
        <v>Office Supplies</v>
      </c>
      <c r="L407" s="10" t="str">
        <f>_xlfn.XLOOKUP(B407,DataSet!$N$2:$N$600,DataSet!$Y$2:$Y$600,0)</f>
        <v>Appliances</v>
      </c>
      <c r="M407" s="10" t="str">
        <f>_xlfn.XLOOKUP(B407,DataSet!$N$2:$N$600,DataSet!$Q$2:$Q$600,0)</f>
        <v>Staple holder</v>
      </c>
      <c r="N407" s="16">
        <f>_xlfn.XLOOKUP(B407,DataSet!$N$2:$N$600,DataSet!$AA$2:$AA$600,0)</f>
        <v>35.909999999999997</v>
      </c>
      <c r="O407" s="10">
        <f>_xlfn.XLOOKUP(B407,DataSet!$N$2:$N$600,DataSet!$S$2:$S$600,0)</f>
        <v>3</v>
      </c>
      <c r="P407" s="15">
        <f>_xlfn.XLOOKUP(B407,DataSet!$N$2:$N$600,DataSet!$T$2:$T$600,0)</f>
        <v>0</v>
      </c>
      <c r="Q407" s="14">
        <f>_xlfn.XLOOKUP(B407,DataSet!$N$2:$N$600,DataSet!$U$2:$U$600,0)</f>
        <v>9.6957000000000004</v>
      </c>
      <c r="R407" s="16">
        <f>_xlfn.XLOOKUP(B407,DataSet!$N$2:$N$600,DataSet!$AB$2:$AB$600,0)</f>
        <v>107.72999999999999</v>
      </c>
      <c r="S407" s="9">
        <f>_xlfn.XLOOKUP(B407,DataSet!$N$2:$N$600,DataSet!$AC$2:$AC$600,0)</f>
        <v>107.72999999999999</v>
      </c>
    </row>
    <row r="408" spans="1:19" s="12" customFormat="1" x14ac:dyDescent="0.3">
      <c r="A408" s="27">
        <v>406</v>
      </c>
      <c r="B408" s="10" t="s">
        <v>1416</v>
      </c>
      <c r="C408" s="10" t="str">
        <f>_xlfn.XLOOKUP(B408,DataSet!$N$2:$N$600,DataSet!$AF$2:$AF$600,0)</f>
        <v>108987</v>
      </c>
      <c r="D408" s="10" t="str">
        <f>_xlfn.XLOOKUP(B408,DataSet!$N$2:$N$600,DataSet!$G$2:$G$600,0)</f>
        <v>Anna Gayman</v>
      </c>
      <c r="E408" s="10" t="str">
        <f>_xlfn.XLOOKUP(B408,DataSet!$N$2:$N$600,DataSet!$F$2:$F$600,0)</f>
        <v>AG-10675</v>
      </c>
      <c r="F408" s="10" t="str">
        <f>_xlfn.XLOOKUP(B408,DataSet!$N$2:$N$600,DataSet!$W$2:$W$600,0)</f>
        <v>Consumer</v>
      </c>
      <c r="G408" s="13">
        <f>_xlfn.XLOOKUP(B408,DataSet!$N$2:$N$600,DataSet!$C$2:$C$600,0)</f>
        <v>42621</v>
      </c>
      <c r="H408" s="10" t="str">
        <f>_xlfn.XLOOKUP(B408,DataSet!$N$2:$N$600,DataSet!$I$2:$I$600,0)</f>
        <v>United States</v>
      </c>
      <c r="I408" s="10" t="str">
        <f>_xlfn.XLOOKUP(B408,DataSet!$N$2:$N$600,DataSet!$X$2:$X$600,0)</f>
        <v>Houston - Texas</v>
      </c>
      <c r="J408" s="10" t="str">
        <f>_xlfn.XLOOKUP(B408,DataSet!$N$2:$N$600,DataSet!$M$2:$M$600,0)</f>
        <v>Central</v>
      </c>
      <c r="K408" s="10" t="str">
        <f>_xlfn.XLOOKUP(B408,DataSet!$N$2:$N$600,DataSet!$O$2:$O$600,0)</f>
        <v>Technology</v>
      </c>
      <c r="L408" s="10" t="str">
        <f>_xlfn.XLOOKUP(B408,DataSet!$N$2:$N$600,DataSet!$Y$2:$Y$600,0)</f>
        <v>Accessories</v>
      </c>
      <c r="M408" s="10" t="str">
        <f>_xlfn.XLOOKUP(B408,DataSet!$N$2:$N$600,DataSet!$Q$2:$Q$600,0)</f>
        <v>Sony 64GB Class 10 Micro SDHC R40 Memory Card</v>
      </c>
      <c r="N408" s="16">
        <f>_xlfn.XLOOKUP(B408,DataSet!$N$2:$N$600,DataSet!$AA$2:$AA$600,0)</f>
        <v>57.584000000000003</v>
      </c>
      <c r="O408" s="10">
        <f>_xlfn.XLOOKUP(B408,DataSet!$N$2:$N$600,DataSet!$S$2:$S$600,0)</f>
        <v>2</v>
      </c>
      <c r="P408" s="15">
        <f>_xlfn.XLOOKUP(B408,DataSet!$N$2:$N$600,DataSet!$T$2:$T$600,0)</f>
        <v>0.2</v>
      </c>
      <c r="Q408" s="14">
        <f>_xlfn.XLOOKUP(B408,DataSet!$N$2:$N$600,DataSet!$U$2:$U$600,0)</f>
        <v>0.7198</v>
      </c>
      <c r="R408" s="16">
        <f>_xlfn.XLOOKUP(B408,DataSet!$N$2:$N$600,DataSet!$AB$2:$AB$600,0)</f>
        <v>115.16800000000001</v>
      </c>
      <c r="S408" s="9">
        <f>_xlfn.XLOOKUP(B408,DataSet!$N$2:$N$600,DataSet!$AC$2:$AC$600,0)</f>
        <v>92.134400000000014</v>
      </c>
    </row>
    <row r="409" spans="1:19" s="12" customFormat="1" x14ac:dyDescent="0.3">
      <c r="A409" s="27">
        <v>407</v>
      </c>
      <c r="B409" s="10" t="s">
        <v>1435</v>
      </c>
      <c r="C409" s="10" t="str">
        <f>_xlfn.XLOOKUP(B409,DataSet!$N$2:$N$600,DataSet!$AF$2:$AF$600,0)</f>
        <v>117457</v>
      </c>
      <c r="D409" s="10" t="str">
        <f>_xlfn.XLOOKUP(B409,DataSet!$N$2:$N$600,DataSet!$G$2:$G$600,0)</f>
        <v>Keith Herrera</v>
      </c>
      <c r="E409" s="10" t="str">
        <f>_xlfn.XLOOKUP(B409,DataSet!$N$2:$N$600,DataSet!$F$2:$F$600,0)</f>
        <v>KH-16510</v>
      </c>
      <c r="F409" s="10" t="str">
        <f>_xlfn.XLOOKUP(B409,DataSet!$N$2:$N$600,DataSet!$W$2:$W$600,0)</f>
        <v>Consumer</v>
      </c>
      <c r="G409" s="13">
        <f>_xlfn.XLOOKUP(B409,DataSet!$N$2:$N$600,DataSet!$C$2:$C$600,0)</f>
        <v>43077</v>
      </c>
      <c r="H409" s="10" t="str">
        <f>_xlfn.XLOOKUP(B409,DataSet!$N$2:$N$600,DataSet!$I$2:$I$600,0)</f>
        <v>United States</v>
      </c>
      <c r="I409" s="10" t="str">
        <f>_xlfn.XLOOKUP(B409,DataSet!$N$2:$N$600,DataSet!$X$2:$X$600,0)</f>
        <v>San Francisco - California</v>
      </c>
      <c r="J409" s="10" t="str">
        <f>_xlfn.XLOOKUP(B409,DataSet!$N$2:$N$600,DataSet!$M$2:$M$600,0)</f>
        <v>West</v>
      </c>
      <c r="K409" s="10" t="str">
        <f>_xlfn.XLOOKUP(B409,DataSet!$N$2:$N$600,DataSet!$O$2:$O$600,0)</f>
        <v>Technology</v>
      </c>
      <c r="L409" s="10" t="str">
        <f>_xlfn.XLOOKUP(B409,DataSet!$N$2:$N$600,DataSet!$Y$2:$Y$600,0)</f>
        <v>Copiers</v>
      </c>
      <c r="M409" s="10" t="str">
        <f>_xlfn.XLOOKUP(B409,DataSet!$N$2:$N$600,DataSet!$Q$2:$Q$600,0)</f>
        <v>Sharp AL-1530CS Digital Copier</v>
      </c>
      <c r="N409" s="16">
        <f>_xlfn.XLOOKUP(B409,DataSet!$N$2:$N$600,DataSet!$AA$2:$AA$600,0)</f>
        <v>1199.9760000000001</v>
      </c>
      <c r="O409" s="10">
        <f>_xlfn.XLOOKUP(B409,DataSet!$N$2:$N$600,DataSet!$S$2:$S$600,0)</f>
        <v>3</v>
      </c>
      <c r="P409" s="15">
        <f>_xlfn.XLOOKUP(B409,DataSet!$N$2:$N$600,DataSet!$T$2:$T$600,0)</f>
        <v>0.2</v>
      </c>
      <c r="Q409" s="14">
        <f>_xlfn.XLOOKUP(B409,DataSet!$N$2:$N$600,DataSet!$U$2:$U$600,0)</f>
        <v>434.99130000000002</v>
      </c>
      <c r="R409" s="16">
        <f>_xlfn.XLOOKUP(B409,DataSet!$N$2:$N$600,DataSet!$AB$2:$AB$600,0)</f>
        <v>3599.9280000000003</v>
      </c>
      <c r="S409" s="9">
        <f>_xlfn.XLOOKUP(B409,DataSet!$N$2:$N$600,DataSet!$AC$2:$AC$600,0)</f>
        <v>2879.9424000000004</v>
      </c>
    </row>
    <row r="410" spans="1:19" s="12" customFormat="1" x14ac:dyDescent="0.3">
      <c r="A410" s="27">
        <v>408</v>
      </c>
      <c r="B410" s="10" t="s">
        <v>1437</v>
      </c>
      <c r="C410" s="10" t="str">
        <f>_xlfn.XLOOKUP(B410,DataSet!$N$2:$N$600,DataSet!$AF$2:$AF$600,0)</f>
        <v>117457</v>
      </c>
      <c r="D410" s="10" t="str">
        <f>_xlfn.XLOOKUP(B410,DataSet!$N$2:$N$600,DataSet!$G$2:$G$600,0)</f>
        <v>Keith Herrera</v>
      </c>
      <c r="E410" s="10" t="str">
        <f>_xlfn.XLOOKUP(B410,DataSet!$N$2:$N$600,DataSet!$F$2:$F$600,0)</f>
        <v>KH-16510</v>
      </c>
      <c r="F410" s="10" t="str">
        <f>_xlfn.XLOOKUP(B410,DataSet!$N$2:$N$600,DataSet!$W$2:$W$600,0)</f>
        <v>Consumer</v>
      </c>
      <c r="G410" s="13">
        <f>_xlfn.XLOOKUP(B410,DataSet!$N$2:$N$600,DataSet!$C$2:$C$600,0)</f>
        <v>43077</v>
      </c>
      <c r="H410" s="10" t="str">
        <f>_xlfn.XLOOKUP(B410,DataSet!$N$2:$N$600,DataSet!$I$2:$I$600,0)</f>
        <v>United States</v>
      </c>
      <c r="I410" s="10" t="str">
        <f>_xlfn.XLOOKUP(B410,DataSet!$N$2:$N$600,DataSet!$X$2:$X$600,0)</f>
        <v>San Francisco - California</v>
      </c>
      <c r="J410" s="10" t="str">
        <f>_xlfn.XLOOKUP(B410,DataSet!$N$2:$N$600,DataSet!$M$2:$M$600,0)</f>
        <v>West</v>
      </c>
      <c r="K410" s="10" t="str">
        <f>_xlfn.XLOOKUP(B410,DataSet!$N$2:$N$600,DataSet!$O$2:$O$600,0)</f>
        <v>Office Supplies</v>
      </c>
      <c r="L410" s="10" t="str">
        <f>_xlfn.XLOOKUP(B410,DataSet!$N$2:$N$600,DataSet!$Y$2:$Y$600,0)</f>
        <v>Paper</v>
      </c>
      <c r="M410" s="10" t="str">
        <f>_xlfn.XLOOKUP(B410,DataSet!$N$2:$N$600,DataSet!$Q$2:$Q$600,0)</f>
        <v>Wirebound Message Book, 4 per Page</v>
      </c>
      <c r="N410" s="16">
        <f>_xlfn.XLOOKUP(B410,DataSet!$N$2:$N$600,DataSet!$AA$2:$AA$600,0)</f>
        <v>27.15</v>
      </c>
      <c r="O410" s="10">
        <f>_xlfn.XLOOKUP(B410,DataSet!$N$2:$N$600,DataSet!$S$2:$S$600,0)</f>
        <v>5</v>
      </c>
      <c r="P410" s="15">
        <f>_xlfn.XLOOKUP(B410,DataSet!$N$2:$N$600,DataSet!$T$2:$T$600,0)</f>
        <v>0</v>
      </c>
      <c r="Q410" s="14">
        <f>_xlfn.XLOOKUP(B410,DataSet!$N$2:$N$600,DataSet!$U$2:$U$600,0)</f>
        <v>13.3035</v>
      </c>
      <c r="R410" s="16">
        <f>_xlfn.XLOOKUP(B410,DataSet!$N$2:$N$600,DataSet!$AB$2:$AB$600,0)</f>
        <v>135.75</v>
      </c>
      <c r="S410" s="9">
        <f>_xlfn.XLOOKUP(B410,DataSet!$N$2:$N$600,DataSet!$AC$2:$AC$600,0)</f>
        <v>135.75</v>
      </c>
    </row>
    <row r="411" spans="1:19" s="12" customFormat="1" x14ac:dyDescent="0.3">
      <c r="A411" s="27">
        <v>409</v>
      </c>
      <c r="B411" s="10" t="s">
        <v>1439</v>
      </c>
      <c r="C411" s="10" t="str">
        <f>_xlfn.XLOOKUP(B411,DataSet!$N$2:$N$600,DataSet!$AF$2:$AF$600,0)</f>
        <v>117457</v>
      </c>
      <c r="D411" s="10" t="str">
        <f>_xlfn.XLOOKUP(B411,DataSet!$N$2:$N$600,DataSet!$G$2:$G$600,0)</f>
        <v>Keith Herrera</v>
      </c>
      <c r="E411" s="10" t="str">
        <f>_xlfn.XLOOKUP(B411,DataSet!$N$2:$N$600,DataSet!$F$2:$F$600,0)</f>
        <v>KH-16510</v>
      </c>
      <c r="F411" s="10" t="str">
        <f>_xlfn.XLOOKUP(B411,DataSet!$N$2:$N$600,DataSet!$W$2:$W$600,0)</f>
        <v>Consumer</v>
      </c>
      <c r="G411" s="13">
        <f>_xlfn.XLOOKUP(B411,DataSet!$N$2:$N$600,DataSet!$C$2:$C$600,0)</f>
        <v>43077</v>
      </c>
      <c r="H411" s="10" t="str">
        <f>_xlfn.XLOOKUP(B411,DataSet!$N$2:$N$600,DataSet!$I$2:$I$600,0)</f>
        <v>United States</v>
      </c>
      <c r="I411" s="10" t="str">
        <f>_xlfn.XLOOKUP(B411,DataSet!$N$2:$N$600,DataSet!$X$2:$X$600,0)</f>
        <v>San Francisco - California</v>
      </c>
      <c r="J411" s="10" t="str">
        <f>_xlfn.XLOOKUP(B411,DataSet!$N$2:$N$600,DataSet!$M$2:$M$600,0)</f>
        <v>West</v>
      </c>
      <c r="K411" s="10" t="str">
        <f>_xlfn.XLOOKUP(B411,DataSet!$N$2:$N$600,DataSet!$O$2:$O$600,0)</f>
        <v>Furniture</v>
      </c>
      <c r="L411" s="10" t="str">
        <f>_xlfn.XLOOKUP(B411,DataSet!$N$2:$N$600,DataSet!$Y$2:$Y$600,0)</f>
        <v>Tables</v>
      </c>
      <c r="M411" s="10" t="str">
        <f>_xlfn.XLOOKUP(B411,DataSet!$N$2:$N$600,DataSet!$Q$2:$Q$600,0)</f>
        <v>Bevis Round Conference Table Top, X-Base</v>
      </c>
      <c r="N411" s="16">
        <f>_xlfn.XLOOKUP(B411,DataSet!$N$2:$N$600,DataSet!$AA$2:$AA$600,0)</f>
        <v>1004.024</v>
      </c>
      <c r="O411" s="10">
        <f>_xlfn.XLOOKUP(B411,DataSet!$N$2:$N$600,DataSet!$S$2:$S$600,0)</f>
        <v>7</v>
      </c>
      <c r="P411" s="15">
        <f>_xlfn.XLOOKUP(B411,DataSet!$N$2:$N$600,DataSet!$T$2:$T$600,0)</f>
        <v>0.2</v>
      </c>
      <c r="Q411" s="14">
        <f>_xlfn.XLOOKUP(B411,DataSet!$N$2:$N$600,DataSet!$U$2:$U$600,0)</f>
        <v>-112.95269999999999</v>
      </c>
      <c r="R411" s="16">
        <f>_xlfn.XLOOKUP(B411,DataSet!$N$2:$N$600,DataSet!$AB$2:$AB$600,0)</f>
        <v>7028.1679999999997</v>
      </c>
      <c r="S411" s="9">
        <f>_xlfn.XLOOKUP(B411,DataSet!$N$2:$N$600,DataSet!$AC$2:$AC$600,0)</f>
        <v>5622.5344000000005</v>
      </c>
    </row>
    <row r="412" spans="1:19" s="12" customFormat="1" x14ac:dyDescent="0.3">
      <c r="A412" s="27">
        <v>410</v>
      </c>
      <c r="B412" s="10" t="s">
        <v>1441</v>
      </c>
      <c r="C412" s="10" t="str">
        <f>_xlfn.XLOOKUP(B412,DataSet!$N$2:$N$600,DataSet!$AF$2:$AF$600,0)</f>
        <v>117457</v>
      </c>
      <c r="D412" s="10" t="str">
        <f>_xlfn.XLOOKUP(B412,DataSet!$N$2:$N$600,DataSet!$G$2:$G$600,0)</f>
        <v>Keith Herrera</v>
      </c>
      <c r="E412" s="10" t="str">
        <f>_xlfn.XLOOKUP(B412,DataSet!$N$2:$N$600,DataSet!$F$2:$F$600,0)</f>
        <v>KH-16510</v>
      </c>
      <c r="F412" s="10" t="str">
        <f>_xlfn.XLOOKUP(B412,DataSet!$N$2:$N$600,DataSet!$W$2:$W$600,0)</f>
        <v>Consumer</v>
      </c>
      <c r="G412" s="13">
        <f>_xlfn.XLOOKUP(B412,DataSet!$N$2:$N$600,DataSet!$C$2:$C$600,0)</f>
        <v>43077</v>
      </c>
      <c r="H412" s="10" t="str">
        <f>_xlfn.XLOOKUP(B412,DataSet!$N$2:$N$600,DataSet!$I$2:$I$600,0)</f>
        <v>United States</v>
      </c>
      <c r="I412" s="10" t="str">
        <f>_xlfn.XLOOKUP(B412,DataSet!$N$2:$N$600,DataSet!$X$2:$X$600,0)</f>
        <v>San Francisco - California</v>
      </c>
      <c r="J412" s="10" t="str">
        <f>_xlfn.XLOOKUP(B412,DataSet!$N$2:$N$600,DataSet!$M$2:$M$600,0)</f>
        <v>West</v>
      </c>
      <c r="K412" s="10" t="str">
        <f>_xlfn.XLOOKUP(B412,DataSet!$N$2:$N$600,DataSet!$O$2:$O$600,0)</f>
        <v>Office Supplies</v>
      </c>
      <c r="L412" s="10" t="str">
        <f>_xlfn.XLOOKUP(B412,DataSet!$N$2:$N$600,DataSet!$Y$2:$Y$600,0)</f>
        <v>Paper</v>
      </c>
      <c r="M412" s="10" t="str">
        <f>_xlfn.XLOOKUP(B412,DataSet!$N$2:$N$600,DataSet!$Q$2:$Q$600,0)</f>
        <v>Wirebound Service Call Books, 5 1/2" x 4"</v>
      </c>
      <c r="N412" s="16">
        <f>_xlfn.XLOOKUP(B412,DataSet!$N$2:$N$600,DataSet!$AA$2:$AA$600,0)</f>
        <v>9.68</v>
      </c>
      <c r="O412" s="10">
        <f>_xlfn.XLOOKUP(B412,DataSet!$N$2:$N$600,DataSet!$S$2:$S$600,0)</f>
        <v>1</v>
      </c>
      <c r="P412" s="15">
        <f>_xlfn.XLOOKUP(B412,DataSet!$N$2:$N$600,DataSet!$T$2:$T$600,0)</f>
        <v>0</v>
      </c>
      <c r="Q412" s="14">
        <f>_xlfn.XLOOKUP(B412,DataSet!$N$2:$N$600,DataSet!$U$2:$U$600,0)</f>
        <v>4.6463999999999999</v>
      </c>
      <c r="R412" s="16">
        <f>_xlfn.XLOOKUP(B412,DataSet!$N$2:$N$600,DataSet!$AB$2:$AB$600,0)</f>
        <v>9.68</v>
      </c>
      <c r="S412" s="9">
        <f>_xlfn.XLOOKUP(B412,DataSet!$N$2:$N$600,DataSet!$AC$2:$AC$600,0)</f>
        <v>9.68</v>
      </c>
    </row>
    <row r="413" spans="1:19" s="12" customFormat="1" x14ac:dyDescent="0.3">
      <c r="A413" s="27">
        <v>411</v>
      </c>
      <c r="B413" s="10" t="s">
        <v>1443</v>
      </c>
      <c r="C413" s="10" t="str">
        <f>_xlfn.XLOOKUP(B413,DataSet!$N$2:$N$600,DataSet!$AF$2:$AF$600,0)</f>
        <v>117457</v>
      </c>
      <c r="D413" s="10" t="str">
        <f>_xlfn.XLOOKUP(B413,DataSet!$N$2:$N$600,DataSet!$G$2:$G$600,0)</f>
        <v>Keith Herrera</v>
      </c>
      <c r="E413" s="10" t="str">
        <f>_xlfn.XLOOKUP(B413,DataSet!$N$2:$N$600,DataSet!$F$2:$F$600,0)</f>
        <v>KH-16510</v>
      </c>
      <c r="F413" s="10" t="str">
        <f>_xlfn.XLOOKUP(B413,DataSet!$N$2:$N$600,DataSet!$W$2:$W$600,0)</f>
        <v>Consumer</v>
      </c>
      <c r="G413" s="13">
        <f>_xlfn.XLOOKUP(B413,DataSet!$N$2:$N$600,DataSet!$C$2:$C$600,0)</f>
        <v>43077</v>
      </c>
      <c r="H413" s="10" t="str">
        <f>_xlfn.XLOOKUP(B413,DataSet!$N$2:$N$600,DataSet!$I$2:$I$600,0)</f>
        <v>United States</v>
      </c>
      <c r="I413" s="10" t="str">
        <f>_xlfn.XLOOKUP(B413,DataSet!$N$2:$N$600,DataSet!$X$2:$X$600,0)</f>
        <v>San Francisco - California</v>
      </c>
      <c r="J413" s="10" t="str">
        <f>_xlfn.XLOOKUP(B413,DataSet!$N$2:$N$600,DataSet!$M$2:$M$600,0)</f>
        <v>West</v>
      </c>
      <c r="K413" s="10" t="str">
        <f>_xlfn.XLOOKUP(B413,DataSet!$N$2:$N$600,DataSet!$O$2:$O$600,0)</f>
        <v>Office Supplies</v>
      </c>
      <c r="L413" s="10" t="str">
        <f>_xlfn.XLOOKUP(B413,DataSet!$N$2:$N$600,DataSet!$Y$2:$Y$600,0)</f>
        <v>Labels</v>
      </c>
      <c r="M413" s="10" t="str">
        <f>_xlfn.XLOOKUP(B413,DataSet!$N$2:$N$600,DataSet!$Q$2:$Q$600,0)</f>
        <v>Self-Adhesive Removable Labels</v>
      </c>
      <c r="N413" s="16">
        <f>_xlfn.XLOOKUP(B413,DataSet!$N$2:$N$600,DataSet!$AA$2:$AA$600,0)</f>
        <v>28.35</v>
      </c>
      <c r="O413" s="10">
        <f>_xlfn.XLOOKUP(B413,DataSet!$N$2:$N$600,DataSet!$S$2:$S$600,0)</f>
        <v>9</v>
      </c>
      <c r="P413" s="15">
        <f>_xlfn.XLOOKUP(B413,DataSet!$N$2:$N$600,DataSet!$T$2:$T$600,0)</f>
        <v>0</v>
      </c>
      <c r="Q413" s="14">
        <f>_xlfn.XLOOKUP(B413,DataSet!$N$2:$N$600,DataSet!$U$2:$U$600,0)</f>
        <v>13.608000000000001</v>
      </c>
      <c r="R413" s="16">
        <f>_xlfn.XLOOKUP(B413,DataSet!$N$2:$N$600,DataSet!$AB$2:$AB$600,0)</f>
        <v>255.15</v>
      </c>
      <c r="S413" s="9">
        <f>_xlfn.XLOOKUP(B413,DataSet!$N$2:$N$600,DataSet!$AC$2:$AC$600,0)</f>
        <v>255.15</v>
      </c>
    </row>
    <row r="414" spans="1:19" s="12" customFormat="1" x14ac:dyDescent="0.3">
      <c r="A414" s="27">
        <v>412</v>
      </c>
      <c r="B414" s="10" t="s">
        <v>1252</v>
      </c>
      <c r="C414" s="10" t="str">
        <f>_xlfn.XLOOKUP(B414,DataSet!$N$2:$N$600,DataSet!$AF$2:$AF$600,0)</f>
        <v>129714</v>
      </c>
      <c r="D414" s="10" t="str">
        <f>_xlfn.XLOOKUP(B414,DataSet!$N$2:$N$600,DataSet!$G$2:$G$600,0)</f>
        <v>Adam Bellavance</v>
      </c>
      <c r="E414" s="10" t="str">
        <f>_xlfn.XLOOKUP(B414,DataSet!$N$2:$N$600,DataSet!$F$2:$F$600,0)</f>
        <v>AB-10060</v>
      </c>
      <c r="F414" s="10" t="str">
        <f>_xlfn.XLOOKUP(B414,DataSet!$N$2:$N$600,DataSet!$W$2:$W$600,0)</f>
        <v>Home Office</v>
      </c>
      <c r="G414" s="13">
        <f>_xlfn.XLOOKUP(B414,DataSet!$N$2:$N$600,DataSet!$C$2:$C$600,0)</f>
        <v>42614</v>
      </c>
      <c r="H414" s="10" t="str">
        <f>_xlfn.XLOOKUP(B414,DataSet!$N$2:$N$600,DataSet!$I$2:$I$600,0)</f>
        <v>United States</v>
      </c>
      <c r="I414" s="10" t="str">
        <f>_xlfn.XLOOKUP(B414,DataSet!$N$2:$N$600,DataSet!$X$2:$X$600,0)</f>
        <v>New York City - New York</v>
      </c>
      <c r="J414" s="10" t="str">
        <f>_xlfn.XLOOKUP(B414,DataSet!$N$2:$N$600,DataSet!$M$2:$M$600,0)</f>
        <v>East</v>
      </c>
      <c r="K414" s="10" t="str">
        <f>_xlfn.XLOOKUP(B414,DataSet!$N$2:$N$600,DataSet!$O$2:$O$600,0)</f>
        <v>Office Supplies</v>
      </c>
      <c r="L414" s="10" t="str">
        <f>_xlfn.XLOOKUP(B414,DataSet!$N$2:$N$600,DataSet!$Y$2:$Y$600,0)</f>
        <v>Paper</v>
      </c>
      <c r="M414" s="10" t="str">
        <f>_xlfn.XLOOKUP(B414,DataSet!$N$2:$N$600,DataSet!$Q$2:$Q$600,0)</f>
        <v>Xerox 1881</v>
      </c>
      <c r="N414" s="16">
        <f>_xlfn.XLOOKUP(B414,DataSet!$N$2:$N$600,DataSet!$AA$2:$AA$600,0)</f>
        <v>24.56</v>
      </c>
      <c r="O414" s="10">
        <f>_xlfn.XLOOKUP(B414,DataSet!$N$2:$N$600,DataSet!$S$2:$S$600,0)</f>
        <v>2</v>
      </c>
      <c r="P414" s="15">
        <f>_xlfn.XLOOKUP(B414,DataSet!$N$2:$N$600,DataSet!$T$2:$T$600,0)</f>
        <v>0</v>
      </c>
      <c r="Q414" s="14">
        <f>_xlfn.XLOOKUP(B414,DataSet!$N$2:$N$600,DataSet!$U$2:$U$600,0)</f>
        <v>11.543200000000001</v>
      </c>
      <c r="R414" s="16">
        <f>_xlfn.XLOOKUP(B414,DataSet!$N$2:$N$600,DataSet!$AB$2:$AB$600,0)</f>
        <v>49.12</v>
      </c>
      <c r="S414" s="9">
        <f>_xlfn.XLOOKUP(B414,DataSet!$N$2:$N$600,DataSet!$AC$2:$AC$600,0)</f>
        <v>49.12</v>
      </c>
    </row>
    <row r="415" spans="1:19" s="12" customFormat="1" x14ac:dyDescent="0.3">
      <c r="A415" s="27">
        <v>413</v>
      </c>
      <c r="B415" s="10" t="s">
        <v>1446</v>
      </c>
      <c r="C415" s="10" t="str">
        <f>_xlfn.XLOOKUP(B415,DataSet!$N$2:$N$600,DataSet!$AF$2:$AF$600,0)</f>
        <v>117457</v>
      </c>
      <c r="D415" s="10" t="str">
        <f>_xlfn.XLOOKUP(B415,DataSet!$N$2:$N$600,DataSet!$G$2:$G$600,0)</f>
        <v>Keith Herrera</v>
      </c>
      <c r="E415" s="10" t="str">
        <f>_xlfn.XLOOKUP(B415,DataSet!$N$2:$N$600,DataSet!$F$2:$F$600,0)</f>
        <v>KH-16510</v>
      </c>
      <c r="F415" s="10" t="str">
        <f>_xlfn.XLOOKUP(B415,DataSet!$N$2:$N$600,DataSet!$W$2:$W$600,0)</f>
        <v>Consumer</v>
      </c>
      <c r="G415" s="13">
        <f>_xlfn.XLOOKUP(B415,DataSet!$N$2:$N$600,DataSet!$C$2:$C$600,0)</f>
        <v>43077</v>
      </c>
      <c r="H415" s="10" t="str">
        <f>_xlfn.XLOOKUP(B415,DataSet!$N$2:$N$600,DataSet!$I$2:$I$600,0)</f>
        <v>United States</v>
      </c>
      <c r="I415" s="10" t="str">
        <f>_xlfn.XLOOKUP(B415,DataSet!$N$2:$N$600,DataSet!$X$2:$X$600,0)</f>
        <v>San Francisco - California</v>
      </c>
      <c r="J415" s="10" t="str">
        <f>_xlfn.XLOOKUP(B415,DataSet!$N$2:$N$600,DataSet!$M$2:$M$600,0)</f>
        <v>West</v>
      </c>
      <c r="K415" s="10" t="str">
        <f>_xlfn.XLOOKUP(B415,DataSet!$N$2:$N$600,DataSet!$O$2:$O$600,0)</f>
        <v>Furniture</v>
      </c>
      <c r="L415" s="10" t="str">
        <f>_xlfn.XLOOKUP(B415,DataSet!$N$2:$N$600,DataSet!$Y$2:$Y$600,0)</f>
        <v>Bookcases</v>
      </c>
      <c r="M415" s="10" t="str">
        <f>_xlfn.XLOOKUP(B415,DataSet!$N$2:$N$600,DataSet!$Q$2:$Q$600,0)</f>
        <v>O'Sullivan 4-Shelf Bookcase in Odessa Pine</v>
      </c>
      <c r="N415" s="16">
        <f>_xlfn.XLOOKUP(B415,DataSet!$N$2:$N$600,DataSet!$AA$2:$AA$600,0)</f>
        <v>1336.829</v>
      </c>
      <c r="O415" s="10">
        <f>_xlfn.XLOOKUP(B415,DataSet!$N$2:$N$600,DataSet!$S$2:$S$600,0)</f>
        <v>13</v>
      </c>
      <c r="P415" s="15">
        <f>_xlfn.XLOOKUP(B415,DataSet!$N$2:$N$600,DataSet!$T$2:$T$600,0)</f>
        <v>0.15</v>
      </c>
      <c r="Q415" s="14">
        <f>_xlfn.XLOOKUP(B415,DataSet!$N$2:$N$600,DataSet!$U$2:$U$600,0)</f>
        <v>31.454799999999999</v>
      </c>
      <c r="R415" s="16">
        <f>_xlfn.XLOOKUP(B415,DataSet!$N$2:$N$600,DataSet!$AB$2:$AB$600,0)</f>
        <v>17378.776999999998</v>
      </c>
      <c r="S415" s="9">
        <f>_xlfn.XLOOKUP(B415,DataSet!$N$2:$N$600,DataSet!$AC$2:$AC$600,0)</f>
        <v>14771.960449999999</v>
      </c>
    </row>
    <row r="416" spans="1:19" s="12" customFormat="1" x14ac:dyDescent="0.3">
      <c r="A416" s="27">
        <v>414</v>
      </c>
      <c r="B416" s="10" t="s">
        <v>1448</v>
      </c>
      <c r="C416" s="10" t="str">
        <f>_xlfn.XLOOKUP(B416,DataSet!$N$2:$N$600,DataSet!$AF$2:$AF$600,0)</f>
        <v>117457</v>
      </c>
      <c r="D416" s="10" t="str">
        <f>_xlfn.XLOOKUP(B416,DataSet!$N$2:$N$600,DataSet!$G$2:$G$600,0)</f>
        <v>Keith Herrera</v>
      </c>
      <c r="E416" s="10" t="str">
        <f>_xlfn.XLOOKUP(B416,DataSet!$N$2:$N$600,DataSet!$F$2:$F$600,0)</f>
        <v>KH-16510</v>
      </c>
      <c r="F416" s="10" t="str">
        <f>_xlfn.XLOOKUP(B416,DataSet!$N$2:$N$600,DataSet!$W$2:$W$600,0)</f>
        <v>Consumer</v>
      </c>
      <c r="G416" s="13">
        <f>_xlfn.XLOOKUP(B416,DataSet!$N$2:$N$600,DataSet!$C$2:$C$600,0)</f>
        <v>43077</v>
      </c>
      <c r="H416" s="10" t="str">
        <f>_xlfn.XLOOKUP(B416,DataSet!$N$2:$N$600,DataSet!$I$2:$I$600,0)</f>
        <v>United States</v>
      </c>
      <c r="I416" s="10" t="str">
        <f>_xlfn.XLOOKUP(B416,DataSet!$N$2:$N$600,DataSet!$X$2:$X$600,0)</f>
        <v>San Francisco - California</v>
      </c>
      <c r="J416" s="10" t="str">
        <f>_xlfn.XLOOKUP(B416,DataSet!$N$2:$N$600,DataSet!$M$2:$M$600,0)</f>
        <v>West</v>
      </c>
      <c r="K416" s="10" t="str">
        <f>_xlfn.XLOOKUP(B416,DataSet!$N$2:$N$600,DataSet!$O$2:$O$600,0)</f>
        <v>Furniture</v>
      </c>
      <c r="L416" s="10" t="str">
        <f>_xlfn.XLOOKUP(B416,DataSet!$N$2:$N$600,DataSet!$Y$2:$Y$600,0)</f>
        <v>Chairs</v>
      </c>
      <c r="M416" s="10" t="str">
        <f>_xlfn.XLOOKUP(B416,DataSet!$N$2:$N$600,DataSet!$Q$2:$Q$600,0)</f>
        <v>Novimex High-Tech Fabric Mesh Task Chair</v>
      </c>
      <c r="N416" s="16">
        <f>_xlfn.XLOOKUP(B416,DataSet!$N$2:$N$600,DataSet!$AA$2:$AA$600,0)</f>
        <v>113.568</v>
      </c>
      <c r="O416" s="10">
        <f>_xlfn.XLOOKUP(B416,DataSet!$N$2:$N$600,DataSet!$S$2:$S$600,0)</f>
        <v>2</v>
      </c>
      <c r="P416" s="15">
        <f>_xlfn.XLOOKUP(B416,DataSet!$N$2:$N$600,DataSet!$T$2:$T$600,0)</f>
        <v>0.2</v>
      </c>
      <c r="Q416" s="14">
        <f>_xlfn.XLOOKUP(B416,DataSet!$N$2:$N$600,DataSet!$U$2:$U$600,0)</f>
        <v>-18.454799999999999</v>
      </c>
      <c r="R416" s="16">
        <f>_xlfn.XLOOKUP(B416,DataSet!$N$2:$N$600,DataSet!$AB$2:$AB$600,0)</f>
        <v>227.136</v>
      </c>
      <c r="S416" s="9">
        <f>_xlfn.XLOOKUP(B416,DataSet!$N$2:$N$600,DataSet!$AC$2:$AC$600,0)</f>
        <v>181.7088</v>
      </c>
    </row>
    <row r="417" spans="1:19" s="12" customFormat="1" x14ac:dyDescent="0.3">
      <c r="A417" s="27">
        <v>415</v>
      </c>
      <c r="B417" s="10" t="s">
        <v>1453</v>
      </c>
      <c r="C417" s="10" t="str">
        <f>_xlfn.XLOOKUP(B417,DataSet!$N$2:$N$600,DataSet!$AF$2:$AF$600,0)</f>
        <v>142636</v>
      </c>
      <c r="D417" s="10" t="str">
        <f>_xlfn.XLOOKUP(B417,DataSet!$N$2:$N$600,DataSet!$G$2:$G$600,0)</f>
        <v>Kimberly Carter</v>
      </c>
      <c r="E417" s="10" t="str">
        <f>_xlfn.XLOOKUP(B417,DataSet!$N$2:$N$600,DataSet!$F$2:$F$600,0)</f>
        <v>KC-16675</v>
      </c>
      <c r="F417" s="10" t="str">
        <f>_xlfn.XLOOKUP(B417,DataSet!$N$2:$N$600,DataSet!$W$2:$W$600,0)</f>
        <v>Corporate</v>
      </c>
      <c r="G417" s="13">
        <f>_xlfn.XLOOKUP(B417,DataSet!$N$2:$N$600,DataSet!$C$2:$C$600,0)</f>
        <v>43042</v>
      </c>
      <c r="H417" s="10" t="str">
        <f>_xlfn.XLOOKUP(B417,DataSet!$N$2:$N$600,DataSet!$I$2:$I$600,0)</f>
        <v>United States</v>
      </c>
      <c r="I417" s="10" t="str">
        <f>_xlfn.XLOOKUP(B417,DataSet!$N$2:$N$600,DataSet!$X$2:$X$600,0)</f>
        <v>Seattle - Washington</v>
      </c>
      <c r="J417" s="10" t="str">
        <f>_xlfn.XLOOKUP(B417,DataSet!$N$2:$N$600,DataSet!$M$2:$M$600,0)</f>
        <v>West</v>
      </c>
      <c r="K417" s="10" t="str">
        <f>_xlfn.XLOOKUP(B417,DataSet!$N$2:$N$600,DataSet!$O$2:$O$600,0)</f>
        <v>Office Supplies</v>
      </c>
      <c r="L417" s="10" t="str">
        <f>_xlfn.XLOOKUP(B417,DataSet!$N$2:$N$600,DataSet!$Y$2:$Y$600,0)</f>
        <v>Paper</v>
      </c>
      <c r="M417" s="10" t="str">
        <f>_xlfn.XLOOKUP(B417,DataSet!$N$2:$N$600,DataSet!$Q$2:$Q$600,0)</f>
        <v>Xerox 191</v>
      </c>
      <c r="N417" s="16">
        <f>_xlfn.XLOOKUP(B417,DataSet!$N$2:$N$600,DataSet!$AA$2:$AA$600,0)</f>
        <v>139.86000000000001</v>
      </c>
      <c r="O417" s="10">
        <f>_xlfn.XLOOKUP(B417,DataSet!$N$2:$N$600,DataSet!$S$2:$S$600,0)</f>
        <v>7</v>
      </c>
      <c r="P417" s="15">
        <f>_xlfn.XLOOKUP(B417,DataSet!$N$2:$N$600,DataSet!$T$2:$T$600,0)</f>
        <v>0</v>
      </c>
      <c r="Q417" s="14">
        <f>_xlfn.XLOOKUP(B417,DataSet!$N$2:$N$600,DataSet!$U$2:$U$600,0)</f>
        <v>65.734200000000001</v>
      </c>
      <c r="R417" s="16">
        <f>_xlfn.XLOOKUP(B417,DataSet!$N$2:$N$600,DataSet!$AB$2:$AB$600,0)</f>
        <v>979.0200000000001</v>
      </c>
      <c r="S417" s="9">
        <f>_xlfn.XLOOKUP(B417,DataSet!$N$2:$N$600,DataSet!$AC$2:$AC$600,0)</f>
        <v>979.0200000000001</v>
      </c>
    </row>
    <row r="418" spans="1:19" s="12" customFormat="1" x14ac:dyDescent="0.3">
      <c r="A418" s="27">
        <v>416</v>
      </c>
      <c r="B418" s="10" t="s">
        <v>1085</v>
      </c>
      <c r="C418" s="10" t="str">
        <f>_xlfn.XLOOKUP(B418,DataSet!$N$2:$N$600,DataSet!$AF$2:$AF$600,0)</f>
        <v>111451</v>
      </c>
      <c r="D418" s="10" t="str">
        <f>_xlfn.XLOOKUP(B418,DataSet!$N$2:$N$600,DataSet!$G$2:$G$600,0)</f>
        <v>Kelly Lampkin</v>
      </c>
      <c r="E418" s="10" t="str">
        <f>_xlfn.XLOOKUP(B418,DataSet!$N$2:$N$600,DataSet!$F$2:$F$600,0)</f>
        <v>KL-16555</v>
      </c>
      <c r="F418" s="10" t="str">
        <f>_xlfn.XLOOKUP(B418,DataSet!$N$2:$N$600,DataSet!$W$2:$W$600,0)</f>
        <v>Corporate</v>
      </c>
      <c r="G418" s="13">
        <f>_xlfn.XLOOKUP(B418,DataSet!$N$2:$N$600,DataSet!$C$2:$C$600,0)</f>
        <v>41999</v>
      </c>
      <c r="H418" s="10" t="str">
        <f>_xlfn.XLOOKUP(B418,DataSet!$N$2:$N$600,DataSet!$I$2:$I$600,0)</f>
        <v>United States</v>
      </c>
      <c r="I418" s="10" t="str">
        <f>_xlfn.XLOOKUP(B418,DataSet!$N$2:$N$600,DataSet!$X$2:$X$600,0)</f>
        <v>Colorado Springs - Colorado</v>
      </c>
      <c r="J418" s="10" t="str">
        <f>_xlfn.XLOOKUP(B418,DataSet!$N$2:$N$600,DataSet!$M$2:$M$600,0)</f>
        <v>West</v>
      </c>
      <c r="K418" s="10" t="str">
        <f>_xlfn.XLOOKUP(B418,DataSet!$N$2:$N$600,DataSet!$O$2:$O$600,0)</f>
        <v>Furniture</v>
      </c>
      <c r="L418" s="10" t="str">
        <f>_xlfn.XLOOKUP(B418,DataSet!$N$2:$N$600,DataSet!$Y$2:$Y$600,0)</f>
        <v>Chairs</v>
      </c>
      <c r="M418" s="10" t="str">
        <f>_xlfn.XLOOKUP(B418,DataSet!$N$2:$N$600,DataSet!$Q$2:$Q$600,0)</f>
        <v>Global Deluxe Office Fabric Chairs</v>
      </c>
      <c r="N418" s="16">
        <f>_xlfn.XLOOKUP(B418,DataSet!$N$2:$N$600,DataSet!$AA$2:$AA$600,0)</f>
        <v>230.352</v>
      </c>
      <c r="O418" s="10">
        <f>_xlfn.XLOOKUP(B418,DataSet!$N$2:$N$600,DataSet!$S$2:$S$600,0)</f>
        <v>3</v>
      </c>
      <c r="P418" s="15">
        <f>_xlfn.XLOOKUP(B418,DataSet!$N$2:$N$600,DataSet!$T$2:$T$600,0)</f>
        <v>0.2</v>
      </c>
      <c r="Q418" s="14">
        <f>_xlfn.XLOOKUP(B418,DataSet!$N$2:$N$600,DataSet!$U$2:$U$600,0)</f>
        <v>20.155799999999999</v>
      </c>
      <c r="R418" s="16">
        <f>_xlfn.XLOOKUP(B418,DataSet!$N$2:$N$600,DataSet!$AB$2:$AB$600,0)</f>
        <v>691.05600000000004</v>
      </c>
      <c r="S418" s="9">
        <f>_xlfn.XLOOKUP(B418,DataSet!$N$2:$N$600,DataSet!$AC$2:$AC$600,0)</f>
        <v>552.84480000000008</v>
      </c>
    </row>
    <row r="419" spans="1:19" s="12" customFormat="1" x14ac:dyDescent="0.3">
      <c r="A419" s="27">
        <v>417</v>
      </c>
      <c r="B419" s="10" t="s">
        <v>1459</v>
      </c>
      <c r="C419" s="10" t="str">
        <f>_xlfn.XLOOKUP(B419,DataSet!$N$2:$N$600,DataSet!$AF$2:$AF$600,0)</f>
        <v>122105</v>
      </c>
      <c r="D419" s="10" t="str">
        <f>_xlfn.XLOOKUP(B419,DataSet!$N$2:$N$600,DataSet!$G$2:$G$600,0)</f>
        <v>Caroline Jumper</v>
      </c>
      <c r="E419" s="10" t="str">
        <f>_xlfn.XLOOKUP(B419,DataSet!$N$2:$N$600,DataSet!$F$2:$F$600,0)</f>
        <v>CJ-12010</v>
      </c>
      <c r="F419" s="10" t="str">
        <f>_xlfn.XLOOKUP(B419,DataSet!$N$2:$N$600,DataSet!$W$2:$W$600,0)</f>
        <v>Consumer</v>
      </c>
      <c r="G419" s="13">
        <f>_xlfn.XLOOKUP(B419,DataSet!$N$2:$N$600,DataSet!$C$2:$C$600,0)</f>
        <v>42910</v>
      </c>
      <c r="H419" s="10" t="str">
        <f>_xlfn.XLOOKUP(B419,DataSet!$N$2:$N$600,DataSet!$I$2:$I$600,0)</f>
        <v>United States</v>
      </c>
      <c r="I419" s="10" t="str">
        <f>_xlfn.XLOOKUP(B419,DataSet!$N$2:$N$600,DataSet!$X$2:$X$600,0)</f>
        <v>Huntington Beach - California</v>
      </c>
      <c r="J419" s="10" t="str">
        <f>_xlfn.XLOOKUP(B419,DataSet!$N$2:$N$600,DataSet!$M$2:$M$600,0)</f>
        <v>West</v>
      </c>
      <c r="K419" s="10" t="str">
        <f>_xlfn.XLOOKUP(B419,DataSet!$N$2:$N$600,DataSet!$O$2:$O$600,0)</f>
        <v>Office Supplies</v>
      </c>
      <c r="L419" s="10" t="str">
        <f>_xlfn.XLOOKUP(B419,DataSet!$N$2:$N$600,DataSet!$Y$2:$Y$600,0)</f>
        <v>Art</v>
      </c>
      <c r="M419" s="10" t="str">
        <f>_xlfn.XLOOKUP(B419,DataSet!$N$2:$N$600,DataSet!$Q$2:$Q$600,0)</f>
        <v>Bulldog Vacuum Base Pencil Sharpener</v>
      </c>
      <c r="N419" s="16">
        <f ca="1">_xlfn.XLOOKUP(B419,DataSet!$N$2:$N$600,DataSet!$AA$2:$AA$600,0)</f>
        <v>48</v>
      </c>
      <c r="O419" s="10">
        <f>_xlfn.XLOOKUP(B419,DataSet!$N$2:$N$600,DataSet!$S$2:$S$600,0)</f>
        <v>8</v>
      </c>
      <c r="P419" s="15">
        <f>_xlfn.XLOOKUP(B419,DataSet!$N$2:$N$600,DataSet!$T$2:$T$600,0)</f>
        <v>0</v>
      </c>
      <c r="Q419" s="14">
        <f>_xlfn.XLOOKUP(B419,DataSet!$N$2:$N$600,DataSet!$U$2:$U$600,0)</f>
        <v>25.898399999999999</v>
      </c>
      <c r="R419" s="16">
        <f ca="1">_xlfn.XLOOKUP(B419,DataSet!$N$2:$N$600,DataSet!$AB$2:$AB$600,0)</f>
        <v>384</v>
      </c>
      <c r="S419" s="9">
        <f ca="1">_xlfn.XLOOKUP(B419,DataSet!$N$2:$N$600,DataSet!$AC$2:$AC$600,0)</f>
        <v>384</v>
      </c>
    </row>
    <row r="420" spans="1:19" s="12" customFormat="1" x14ac:dyDescent="0.3">
      <c r="A420" s="27">
        <v>418</v>
      </c>
      <c r="B420" s="10" t="s">
        <v>1464</v>
      </c>
      <c r="C420" s="10" t="str">
        <f>_xlfn.XLOOKUP(B420,DataSet!$N$2:$N$600,DataSet!$AF$2:$AF$600,0)</f>
        <v>148796</v>
      </c>
      <c r="D420" s="10" t="str">
        <f>_xlfn.XLOOKUP(B420,DataSet!$N$2:$N$600,DataSet!$G$2:$G$600,0)</f>
        <v>Philip Brown</v>
      </c>
      <c r="E420" s="10" t="str">
        <f>_xlfn.XLOOKUP(B420,DataSet!$N$2:$N$600,DataSet!$F$2:$F$600,0)</f>
        <v>PB-19150</v>
      </c>
      <c r="F420" s="10" t="str">
        <f>_xlfn.XLOOKUP(B420,DataSet!$N$2:$N$600,DataSet!$W$2:$W$600,0)</f>
        <v>Consumer</v>
      </c>
      <c r="G420" s="13">
        <f>_xlfn.XLOOKUP(B420,DataSet!$N$2:$N$600,DataSet!$C$2:$C$600,0)</f>
        <v>42474</v>
      </c>
      <c r="H420" s="10" t="str">
        <f>_xlfn.XLOOKUP(B420,DataSet!$N$2:$N$600,DataSet!$I$2:$I$600,0)</f>
        <v>United States</v>
      </c>
      <c r="I420" s="10" t="str">
        <f>_xlfn.XLOOKUP(B420,DataSet!$N$2:$N$600,DataSet!$X$2:$X$600,0)</f>
        <v>Los Angeles - California</v>
      </c>
      <c r="J420" s="10" t="str">
        <f>_xlfn.XLOOKUP(B420,DataSet!$N$2:$N$600,DataSet!$M$2:$M$600,0)</f>
        <v>West</v>
      </c>
      <c r="K420" s="10" t="str">
        <f>_xlfn.XLOOKUP(B420,DataSet!$N$2:$N$600,DataSet!$O$2:$O$600,0)</f>
        <v>Furniture</v>
      </c>
      <c r="L420" s="10" t="str">
        <f>_xlfn.XLOOKUP(B420,DataSet!$N$2:$N$600,DataSet!$Y$2:$Y$600,0)</f>
        <v>Chairs</v>
      </c>
      <c r="M420" s="10" t="str">
        <f>_xlfn.XLOOKUP(B420,DataSet!$N$2:$N$600,DataSet!$Q$2:$Q$600,0)</f>
        <v>Bevis Steel Folding Chairs</v>
      </c>
      <c r="N420" s="16">
        <f>_xlfn.XLOOKUP(B420,DataSet!$N$2:$N$600,DataSet!$AA$2:$AA$600,0)</f>
        <v>383.8</v>
      </c>
      <c r="O420" s="10">
        <f>_xlfn.XLOOKUP(B420,DataSet!$N$2:$N$600,DataSet!$S$2:$S$600,0)</f>
        <v>5</v>
      </c>
      <c r="P420" s="15">
        <f>_xlfn.XLOOKUP(B420,DataSet!$N$2:$N$600,DataSet!$T$2:$T$600,0)</f>
        <v>0.2</v>
      </c>
      <c r="Q420" s="14">
        <f>_xlfn.XLOOKUP(B420,DataSet!$N$2:$N$600,DataSet!$U$2:$U$600,0)</f>
        <v>38.380000000000003</v>
      </c>
      <c r="R420" s="16">
        <f>_xlfn.XLOOKUP(B420,DataSet!$N$2:$N$600,DataSet!$AB$2:$AB$600,0)</f>
        <v>1919</v>
      </c>
      <c r="S420" s="9">
        <f>_xlfn.XLOOKUP(B420,DataSet!$N$2:$N$600,DataSet!$AC$2:$AC$600,0)</f>
        <v>1535.2</v>
      </c>
    </row>
    <row r="421" spans="1:19" s="12" customFormat="1" x14ac:dyDescent="0.3">
      <c r="A421" s="27">
        <v>419</v>
      </c>
      <c r="B421" s="10" t="s">
        <v>1468</v>
      </c>
      <c r="C421" s="10" t="str">
        <f>_xlfn.XLOOKUP(B421,DataSet!$N$2:$N$600,DataSet!$AF$2:$AF$600,0)</f>
        <v>154816</v>
      </c>
      <c r="D421" s="10" t="str">
        <f>_xlfn.XLOOKUP(B421,DataSet!$N$2:$N$600,DataSet!$G$2:$G$600,0)</f>
        <v>Victoria Brennan</v>
      </c>
      <c r="E421" s="10" t="str">
        <f>_xlfn.XLOOKUP(B421,DataSet!$N$2:$N$600,DataSet!$F$2:$F$600,0)</f>
        <v>VB-21745</v>
      </c>
      <c r="F421" s="10" t="str">
        <f>_xlfn.XLOOKUP(B421,DataSet!$N$2:$N$600,DataSet!$W$2:$W$600,0)</f>
        <v>Corporate</v>
      </c>
      <c r="G421" s="13">
        <f>_xlfn.XLOOKUP(B421,DataSet!$N$2:$N$600,DataSet!$C$2:$C$600,0)</f>
        <v>43045</v>
      </c>
      <c r="H421" s="10" t="str">
        <f>_xlfn.XLOOKUP(B421,DataSet!$N$2:$N$600,DataSet!$I$2:$I$600,0)</f>
        <v>United States</v>
      </c>
      <c r="I421" s="10" t="str">
        <f>_xlfn.XLOOKUP(B421,DataSet!$N$2:$N$600,DataSet!$X$2:$X$600,0)</f>
        <v>Richmond - Kentucky</v>
      </c>
      <c r="J421" s="10" t="str">
        <f>_xlfn.XLOOKUP(B421,DataSet!$N$2:$N$600,DataSet!$M$2:$M$600,0)</f>
        <v>South</v>
      </c>
      <c r="K421" s="10" t="str">
        <f>_xlfn.XLOOKUP(B421,DataSet!$N$2:$N$600,DataSet!$O$2:$O$600,0)</f>
        <v>Office Supplies</v>
      </c>
      <c r="L421" s="10" t="str">
        <f>_xlfn.XLOOKUP(B421,DataSet!$N$2:$N$600,DataSet!$Y$2:$Y$600,0)</f>
        <v>Paper</v>
      </c>
      <c r="M421" s="10" t="str">
        <f>_xlfn.XLOOKUP(B421,DataSet!$N$2:$N$600,DataSet!$Q$2:$Q$600,0)</f>
        <v>Xerox 1987</v>
      </c>
      <c r="N421" s="16">
        <f>_xlfn.XLOOKUP(B421,DataSet!$N$2:$N$600,DataSet!$AA$2:$AA$600,0)</f>
        <v>5.78</v>
      </c>
      <c r="O421" s="10">
        <f>_xlfn.XLOOKUP(B421,DataSet!$N$2:$N$600,DataSet!$S$2:$S$600,0)</f>
        <v>1</v>
      </c>
      <c r="P421" s="15">
        <f>_xlfn.XLOOKUP(B421,DataSet!$N$2:$N$600,DataSet!$T$2:$T$600,0)</f>
        <v>0</v>
      </c>
      <c r="Q421" s="14">
        <f>_xlfn.XLOOKUP(B421,DataSet!$N$2:$N$600,DataSet!$U$2:$U$600,0)</f>
        <v>2.8321999999999998</v>
      </c>
      <c r="R421" s="16">
        <f>_xlfn.XLOOKUP(B421,DataSet!$N$2:$N$600,DataSet!$AB$2:$AB$600,0)</f>
        <v>5.78</v>
      </c>
      <c r="S421" s="9">
        <f>_xlfn.XLOOKUP(B421,DataSet!$N$2:$N$600,DataSet!$AC$2:$AC$600,0)</f>
        <v>5.78</v>
      </c>
    </row>
    <row r="422" spans="1:19" s="12" customFormat="1" x14ac:dyDescent="0.3">
      <c r="A422" s="27">
        <v>420</v>
      </c>
      <c r="B422" s="10" t="s">
        <v>1471</v>
      </c>
      <c r="C422" s="10" t="str">
        <f>_xlfn.XLOOKUP(B422,DataSet!$N$2:$N$600,DataSet!$AF$2:$AF$600,0)</f>
        <v>110478</v>
      </c>
      <c r="D422" s="10" t="str">
        <f>_xlfn.XLOOKUP(B422,DataSet!$N$2:$N$600,DataSet!$G$2:$G$600,0)</f>
        <v>Sung Pak</v>
      </c>
      <c r="E422" s="10" t="str">
        <f>_xlfn.XLOOKUP(B422,DataSet!$N$2:$N$600,DataSet!$F$2:$F$600,0)</f>
        <v>SP-20860</v>
      </c>
      <c r="F422" s="10" t="str">
        <f>_xlfn.XLOOKUP(B422,DataSet!$N$2:$N$600,DataSet!$W$2:$W$600,0)</f>
        <v>Corporate</v>
      </c>
      <c r="G422" s="13">
        <f>_xlfn.XLOOKUP(B422,DataSet!$N$2:$N$600,DataSet!$C$2:$C$600,0)</f>
        <v>42798</v>
      </c>
      <c r="H422" s="10" t="str">
        <f>_xlfn.XLOOKUP(B422,DataSet!$N$2:$N$600,DataSet!$I$2:$I$600,0)</f>
        <v>United States</v>
      </c>
      <c r="I422" s="10" t="str">
        <f>_xlfn.XLOOKUP(B422,DataSet!$N$2:$N$600,DataSet!$X$2:$X$600,0)</f>
        <v>Los Angeles - California</v>
      </c>
      <c r="J422" s="10" t="str">
        <f>_xlfn.XLOOKUP(B422,DataSet!$N$2:$N$600,DataSet!$M$2:$M$600,0)</f>
        <v>West</v>
      </c>
      <c r="K422" s="10" t="str">
        <f>_xlfn.XLOOKUP(B422,DataSet!$N$2:$N$600,DataSet!$O$2:$O$600,0)</f>
        <v>Office Supplies</v>
      </c>
      <c r="L422" s="10" t="str">
        <f>_xlfn.XLOOKUP(B422,DataSet!$N$2:$N$600,DataSet!$Y$2:$Y$600,0)</f>
        <v>Art</v>
      </c>
      <c r="M422" s="10" t="str">
        <f>_xlfn.XLOOKUP(B422,DataSet!$N$2:$N$600,DataSet!$Q$2:$Q$600,0)</f>
        <v>American Pencil</v>
      </c>
      <c r="N422" s="16">
        <f>_xlfn.XLOOKUP(B422,DataSet!$N$2:$N$600,DataSet!$AA$2:$AA$600,0)</f>
        <v>9.32</v>
      </c>
      <c r="O422" s="10">
        <f>_xlfn.XLOOKUP(B422,DataSet!$N$2:$N$600,DataSet!$S$2:$S$600,0)</f>
        <v>4</v>
      </c>
      <c r="P422" s="15">
        <f>_xlfn.XLOOKUP(B422,DataSet!$N$2:$N$600,DataSet!$T$2:$T$600,0)</f>
        <v>0</v>
      </c>
      <c r="Q422" s="14">
        <f>_xlfn.XLOOKUP(B422,DataSet!$N$2:$N$600,DataSet!$U$2:$U$600,0)</f>
        <v>2.7027999999999999</v>
      </c>
      <c r="R422" s="16">
        <f>_xlfn.XLOOKUP(B422,DataSet!$N$2:$N$600,DataSet!$AB$2:$AB$600,0)</f>
        <v>37.28</v>
      </c>
      <c r="S422" s="9">
        <f>_xlfn.XLOOKUP(B422,DataSet!$N$2:$N$600,DataSet!$AC$2:$AC$600,0)</f>
        <v>37.28</v>
      </c>
    </row>
    <row r="423" spans="1:19" s="12" customFormat="1" x14ac:dyDescent="0.3">
      <c r="A423" s="27">
        <v>421</v>
      </c>
      <c r="B423" s="10" t="s">
        <v>1473</v>
      </c>
      <c r="C423" s="10" t="str">
        <f>_xlfn.XLOOKUP(B423,DataSet!$N$2:$N$600,DataSet!$AF$2:$AF$600,0)</f>
        <v>110478</v>
      </c>
      <c r="D423" s="10" t="str">
        <f>_xlfn.XLOOKUP(B423,DataSet!$N$2:$N$600,DataSet!$G$2:$G$600,0)</f>
        <v>Sung Pak</v>
      </c>
      <c r="E423" s="10" t="str">
        <f>_xlfn.XLOOKUP(B423,DataSet!$N$2:$N$600,DataSet!$F$2:$F$600,0)</f>
        <v>SP-20860</v>
      </c>
      <c r="F423" s="10" t="str">
        <f>_xlfn.XLOOKUP(B423,DataSet!$N$2:$N$600,DataSet!$W$2:$W$600,0)</f>
        <v>Corporate</v>
      </c>
      <c r="G423" s="13">
        <f>_xlfn.XLOOKUP(B423,DataSet!$N$2:$N$600,DataSet!$C$2:$C$600,0)</f>
        <v>42798</v>
      </c>
      <c r="H423" s="10" t="str">
        <f>_xlfn.XLOOKUP(B423,DataSet!$N$2:$N$600,DataSet!$I$2:$I$600,0)</f>
        <v>United States</v>
      </c>
      <c r="I423" s="10" t="str">
        <f>_xlfn.XLOOKUP(B423,DataSet!$N$2:$N$600,DataSet!$X$2:$X$600,0)</f>
        <v>Los Angeles - California</v>
      </c>
      <c r="J423" s="10" t="str">
        <f>_xlfn.XLOOKUP(B423,DataSet!$N$2:$N$600,DataSet!$M$2:$M$600,0)</f>
        <v>West</v>
      </c>
      <c r="K423" s="10" t="str">
        <f>_xlfn.XLOOKUP(B423,DataSet!$N$2:$N$600,DataSet!$O$2:$O$600,0)</f>
        <v>Office Supplies</v>
      </c>
      <c r="L423" s="10" t="str">
        <f>_xlfn.XLOOKUP(B423,DataSet!$N$2:$N$600,DataSet!$Y$2:$Y$600,0)</f>
        <v>Envelopes</v>
      </c>
      <c r="M423" s="10" t="str">
        <f>_xlfn.XLOOKUP(B423,DataSet!$N$2:$N$600,DataSet!$Q$2:$Q$600,0)</f>
        <v>White Envelopes, White Envelopes with Clear Poly Window</v>
      </c>
      <c r="N423" s="16">
        <f>_xlfn.XLOOKUP(B423,DataSet!$N$2:$N$600,DataSet!$AA$2:$AA$600,0)</f>
        <v>15.25</v>
      </c>
      <c r="O423" s="10">
        <f>_xlfn.XLOOKUP(B423,DataSet!$N$2:$N$600,DataSet!$S$2:$S$600,0)</f>
        <v>1</v>
      </c>
      <c r="P423" s="15">
        <f>_xlfn.XLOOKUP(B423,DataSet!$N$2:$N$600,DataSet!$T$2:$T$600,0)</f>
        <v>0</v>
      </c>
      <c r="Q423" s="14">
        <f>_xlfn.XLOOKUP(B423,DataSet!$N$2:$N$600,DataSet!$U$2:$U$600,0)</f>
        <v>7.0149999999999997</v>
      </c>
      <c r="R423" s="16">
        <f>_xlfn.XLOOKUP(B423,DataSet!$N$2:$N$600,DataSet!$AB$2:$AB$600,0)</f>
        <v>15.25</v>
      </c>
      <c r="S423" s="9">
        <f>_xlfn.XLOOKUP(B423,DataSet!$N$2:$N$600,DataSet!$AC$2:$AC$600,0)</f>
        <v>15.25</v>
      </c>
    </row>
    <row r="424" spans="1:19" s="12" customFormat="1" x14ac:dyDescent="0.3">
      <c r="A424" s="27">
        <v>422</v>
      </c>
      <c r="B424" s="10" t="s">
        <v>1477</v>
      </c>
      <c r="C424" s="10" t="str">
        <f>_xlfn.XLOOKUP(B424,DataSet!$N$2:$N$600,DataSet!$AF$2:$AF$600,0)</f>
        <v>142048</v>
      </c>
      <c r="D424" s="10" t="str">
        <f>_xlfn.XLOOKUP(B424,DataSet!$N$2:$N$600,DataSet!$G$2:$G$600,0)</f>
        <v>Joel Eaton</v>
      </c>
      <c r="E424" s="10" t="str">
        <f>_xlfn.XLOOKUP(B424,DataSet!$N$2:$N$600,DataSet!$F$2:$F$600,0)</f>
        <v>JE-15745</v>
      </c>
      <c r="F424" s="10" t="str">
        <f>_xlfn.XLOOKUP(B424,DataSet!$N$2:$N$600,DataSet!$W$2:$W$600,0)</f>
        <v>Consumer</v>
      </c>
      <c r="G424" s="13">
        <f>_xlfn.XLOOKUP(B424,DataSet!$N$2:$N$600,DataSet!$C$2:$C$600,0)</f>
        <v>41812</v>
      </c>
      <c r="H424" s="10" t="str">
        <f>_xlfn.XLOOKUP(B424,DataSet!$N$2:$N$600,DataSet!$I$2:$I$600,0)</f>
        <v>United States</v>
      </c>
      <c r="I424" s="10" t="str">
        <f>_xlfn.XLOOKUP(B424,DataSet!$N$2:$N$600,DataSet!$X$2:$X$600,0)</f>
        <v>Louisville - Colorado</v>
      </c>
      <c r="J424" s="10" t="str">
        <f>_xlfn.XLOOKUP(B424,DataSet!$N$2:$N$600,DataSet!$M$2:$M$600,0)</f>
        <v>West</v>
      </c>
      <c r="K424" s="10" t="str">
        <f>_xlfn.XLOOKUP(B424,DataSet!$N$2:$N$600,DataSet!$O$2:$O$600,0)</f>
        <v>Technology</v>
      </c>
      <c r="L424" s="10" t="str">
        <f>_xlfn.XLOOKUP(B424,DataSet!$N$2:$N$600,DataSet!$Y$2:$Y$600,0)</f>
        <v>Accessories</v>
      </c>
      <c r="M424" s="10" t="str">
        <f>_xlfn.XLOOKUP(B424,DataSet!$N$2:$N$600,DataSet!$Q$2:$Q$600,0)</f>
        <v>KeyTronic 6101 Series - Keyboard - Black</v>
      </c>
      <c r="N424" s="16">
        <f>_xlfn.XLOOKUP(B424,DataSet!$N$2:$N$600,DataSet!$AA$2:$AA$600,0)</f>
        <v>196.75200000000001</v>
      </c>
      <c r="O424" s="10">
        <f>_xlfn.XLOOKUP(B424,DataSet!$N$2:$N$600,DataSet!$S$2:$S$600,0)</f>
        <v>6</v>
      </c>
      <c r="P424" s="15">
        <f>_xlfn.XLOOKUP(B424,DataSet!$N$2:$N$600,DataSet!$T$2:$T$600,0)</f>
        <v>0.2</v>
      </c>
      <c r="Q424" s="14">
        <f>_xlfn.XLOOKUP(B424,DataSet!$N$2:$N$600,DataSet!$U$2:$U$600,0)</f>
        <v>56.566200000000002</v>
      </c>
      <c r="R424" s="16">
        <f>_xlfn.XLOOKUP(B424,DataSet!$N$2:$N$600,DataSet!$AB$2:$AB$600,0)</f>
        <v>1180.5120000000002</v>
      </c>
      <c r="S424" s="9">
        <f>_xlfn.XLOOKUP(B424,DataSet!$N$2:$N$600,DataSet!$AC$2:$AC$600,0)</f>
        <v>944.40960000000018</v>
      </c>
    </row>
    <row r="425" spans="1:19" s="12" customFormat="1" x14ac:dyDescent="0.3">
      <c r="A425" s="27">
        <v>423</v>
      </c>
      <c r="B425" s="10" t="s">
        <v>1483</v>
      </c>
      <c r="C425" s="10" t="str">
        <f>_xlfn.XLOOKUP(B425,DataSet!$N$2:$N$600,DataSet!$AF$2:$AF$600,0)</f>
        <v>125388</v>
      </c>
      <c r="D425" s="10" t="str">
        <f>_xlfn.XLOOKUP(B425,DataSet!$N$2:$N$600,DataSet!$G$2:$G$600,0)</f>
        <v>Michael Paige</v>
      </c>
      <c r="E425" s="10" t="str">
        <f>_xlfn.XLOOKUP(B425,DataSet!$N$2:$N$600,DataSet!$F$2:$F$600,0)</f>
        <v>MP-17965</v>
      </c>
      <c r="F425" s="10" t="str">
        <f>_xlfn.XLOOKUP(B425,DataSet!$N$2:$N$600,DataSet!$W$2:$W$600,0)</f>
        <v>Corporate</v>
      </c>
      <c r="G425" s="13">
        <f>_xlfn.XLOOKUP(B425,DataSet!$N$2:$N$600,DataSet!$C$2:$C$600,0)</f>
        <v>43027</v>
      </c>
      <c r="H425" s="10" t="str">
        <f>_xlfn.XLOOKUP(B425,DataSet!$N$2:$N$600,DataSet!$I$2:$I$600,0)</f>
        <v>United States</v>
      </c>
      <c r="I425" s="10" t="str">
        <f>_xlfn.XLOOKUP(B425,DataSet!$N$2:$N$600,DataSet!$X$2:$X$600,0)</f>
        <v>Lawrence - Massachusetts</v>
      </c>
      <c r="J425" s="10" t="str">
        <f>_xlfn.XLOOKUP(B425,DataSet!$N$2:$N$600,DataSet!$M$2:$M$600,0)</f>
        <v>East</v>
      </c>
      <c r="K425" s="10" t="str">
        <f>_xlfn.XLOOKUP(B425,DataSet!$N$2:$N$600,DataSet!$O$2:$O$600,0)</f>
        <v>Furniture</v>
      </c>
      <c r="L425" s="10" t="str">
        <f>_xlfn.XLOOKUP(B425,DataSet!$N$2:$N$600,DataSet!$Y$2:$Y$600,0)</f>
        <v>Furnishings</v>
      </c>
      <c r="M425" s="10" t="str">
        <f>_xlfn.XLOOKUP(B425,DataSet!$N$2:$N$600,DataSet!$Q$2:$Q$600,0)</f>
        <v>Westinghouse Mesh Shade Clip-On Gooseneck Lamp, Black</v>
      </c>
      <c r="N425" s="16">
        <f>_xlfn.XLOOKUP(B425,DataSet!$N$2:$N$600,DataSet!$AA$2:$AA$600,0)</f>
        <v>56.56</v>
      </c>
      <c r="O425" s="10">
        <f>_xlfn.XLOOKUP(B425,DataSet!$N$2:$N$600,DataSet!$S$2:$S$600,0)</f>
        <v>4</v>
      </c>
      <c r="P425" s="15">
        <f>_xlfn.XLOOKUP(B425,DataSet!$N$2:$N$600,DataSet!$T$2:$T$600,0)</f>
        <v>0</v>
      </c>
      <c r="Q425" s="14">
        <f>_xlfn.XLOOKUP(B425,DataSet!$N$2:$N$600,DataSet!$U$2:$U$600,0)</f>
        <v>14.7056</v>
      </c>
      <c r="R425" s="16">
        <f>_xlfn.XLOOKUP(B425,DataSet!$N$2:$N$600,DataSet!$AB$2:$AB$600,0)</f>
        <v>226.24</v>
      </c>
      <c r="S425" s="9">
        <f>_xlfn.XLOOKUP(B425,DataSet!$N$2:$N$600,DataSet!$AC$2:$AC$600,0)</f>
        <v>226.24</v>
      </c>
    </row>
    <row r="426" spans="1:19" s="12" customFormat="1" x14ac:dyDescent="0.3">
      <c r="A426" s="27">
        <v>424</v>
      </c>
      <c r="B426" s="10" t="s">
        <v>1485</v>
      </c>
      <c r="C426" s="10" t="str">
        <f>_xlfn.XLOOKUP(B426,DataSet!$N$2:$N$600,DataSet!$AF$2:$AF$600,0)</f>
        <v>125388</v>
      </c>
      <c r="D426" s="10" t="str">
        <f>_xlfn.XLOOKUP(B426,DataSet!$N$2:$N$600,DataSet!$G$2:$G$600,0)</f>
        <v>Michael Paige</v>
      </c>
      <c r="E426" s="10" t="str">
        <f>_xlfn.XLOOKUP(B426,DataSet!$N$2:$N$600,DataSet!$F$2:$F$600,0)</f>
        <v>MP-17965</v>
      </c>
      <c r="F426" s="10" t="str">
        <f>_xlfn.XLOOKUP(B426,DataSet!$N$2:$N$600,DataSet!$W$2:$W$600,0)</f>
        <v>Corporate</v>
      </c>
      <c r="G426" s="13">
        <f>_xlfn.XLOOKUP(B426,DataSet!$N$2:$N$600,DataSet!$C$2:$C$600,0)</f>
        <v>43027</v>
      </c>
      <c r="H426" s="10" t="str">
        <f>_xlfn.XLOOKUP(B426,DataSet!$N$2:$N$600,DataSet!$I$2:$I$600,0)</f>
        <v>United States</v>
      </c>
      <c r="I426" s="10" t="str">
        <f>_xlfn.XLOOKUP(B426,DataSet!$N$2:$N$600,DataSet!$X$2:$X$600,0)</f>
        <v>Lawrence - Massachusetts</v>
      </c>
      <c r="J426" s="10" t="str">
        <f>_xlfn.XLOOKUP(B426,DataSet!$N$2:$N$600,DataSet!$M$2:$M$600,0)</f>
        <v>East</v>
      </c>
      <c r="K426" s="10" t="str">
        <f>_xlfn.XLOOKUP(B426,DataSet!$N$2:$N$600,DataSet!$O$2:$O$600,0)</f>
        <v>Office Supplies</v>
      </c>
      <c r="L426" s="10" t="str">
        <f>_xlfn.XLOOKUP(B426,DataSet!$N$2:$N$600,DataSet!$Y$2:$Y$600,0)</f>
        <v>Storage</v>
      </c>
      <c r="M426" s="10" t="str">
        <f>_xlfn.XLOOKUP(B426,DataSet!$N$2:$N$600,DataSet!$Q$2:$Q$600,0)</f>
        <v>Crate-A-Files</v>
      </c>
      <c r="N426" s="16">
        <f>_xlfn.XLOOKUP(B426,DataSet!$N$2:$N$600,DataSet!$AA$2:$AA$600,0)</f>
        <v>32.700000000000003</v>
      </c>
      <c r="O426" s="10">
        <f>_xlfn.XLOOKUP(B426,DataSet!$N$2:$N$600,DataSet!$S$2:$S$600,0)</f>
        <v>3</v>
      </c>
      <c r="P426" s="15">
        <f>_xlfn.XLOOKUP(B426,DataSet!$N$2:$N$600,DataSet!$T$2:$T$600,0)</f>
        <v>0</v>
      </c>
      <c r="Q426" s="14">
        <f>_xlfn.XLOOKUP(B426,DataSet!$N$2:$N$600,DataSet!$U$2:$U$600,0)</f>
        <v>8.5020000000000007</v>
      </c>
      <c r="R426" s="16">
        <f>_xlfn.XLOOKUP(B426,DataSet!$N$2:$N$600,DataSet!$AB$2:$AB$600,0)</f>
        <v>98.100000000000009</v>
      </c>
      <c r="S426" s="9">
        <f>_xlfn.XLOOKUP(B426,DataSet!$N$2:$N$600,DataSet!$AC$2:$AC$600,0)</f>
        <v>98.100000000000009</v>
      </c>
    </row>
    <row r="427" spans="1:19" s="12" customFormat="1" x14ac:dyDescent="0.3">
      <c r="A427" s="27">
        <v>425</v>
      </c>
      <c r="B427" s="10" t="s">
        <v>1491</v>
      </c>
      <c r="C427" s="10" t="str">
        <f>_xlfn.XLOOKUP(B427,DataSet!$N$2:$N$600,DataSet!$AF$2:$AF$600,0)</f>
        <v>155705</v>
      </c>
      <c r="D427" s="10" t="str">
        <f>_xlfn.XLOOKUP(B427,DataSet!$N$2:$N$600,DataSet!$G$2:$G$600,0)</f>
        <v>Natalie Fritzler</v>
      </c>
      <c r="E427" s="10" t="str">
        <f>_xlfn.XLOOKUP(B427,DataSet!$N$2:$N$600,DataSet!$F$2:$F$600,0)</f>
        <v>NF-18385</v>
      </c>
      <c r="F427" s="10" t="str">
        <f>_xlfn.XLOOKUP(B427,DataSet!$N$2:$N$600,DataSet!$W$2:$W$600,0)</f>
        <v>Consumer</v>
      </c>
      <c r="G427" s="13">
        <f>_xlfn.XLOOKUP(B427,DataSet!$N$2:$N$600,DataSet!$C$2:$C$600,0)</f>
        <v>42968</v>
      </c>
      <c r="H427" s="10" t="str">
        <f>_xlfn.XLOOKUP(B427,DataSet!$N$2:$N$600,DataSet!$I$2:$I$600,0)</f>
        <v>United States</v>
      </c>
      <c r="I427" s="10" t="str">
        <f>_xlfn.XLOOKUP(B427,DataSet!$N$2:$N$600,DataSet!$X$2:$X$600,0)</f>
        <v>Jackson - Mississippi</v>
      </c>
      <c r="J427" s="10" t="str">
        <f>_xlfn.XLOOKUP(B427,DataSet!$N$2:$N$600,DataSet!$M$2:$M$600,0)</f>
        <v>South</v>
      </c>
      <c r="K427" s="10" t="str">
        <f>_xlfn.XLOOKUP(B427,DataSet!$N$2:$N$600,DataSet!$O$2:$O$600,0)</f>
        <v>Furniture</v>
      </c>
      <c r="L427" s="10" t="str">
        <f>_xlfn.XLOOKUP(B427,DataSet!$N$2:$N$600,DataSet!$Y$2:$Y$600,0)</f>
        <v>Chairs</v>
      </c>
      <c r="M427" s="10" t="str">
        <f>_xlfn.XLOOKUP(B427,DataSet!$N$2:$N$600,DataSet!$Q$2:$Q$600,0)</f>
        <v>Hon Multipurpose Stacking Arm Chairs</v>
      </c>
      <c r="N427" s="16">
        <f>_xlfn.XLOOKUP(B427,DataSet!$N$2:$N$600,DataSet!$AA$2:$AA$600,0)</f>
        <v>866.4</v>
      </c>
      <c r="O427" s="10">
        <f>_xlfn.XLOOKUP(B427,DataSet!$N$2:$N$600,DataSet!$S$2:$S$600,0)</f>
        <v>4</v>
      </c>
      <c r="P427" s="15">
        <f>_xlfn.XLOOKUP(B427,DataSet!$N$2:$N$600,DataSet!$T$2:$T$600,0)</f>
        <v>0</v>
      </c>
      <c r="Q427" s="14">
        <f>_xlfn.XLOOKUP(B427,DataSet!$N$2:$N$600,DataSet!$U$2:$U$600,0)</f>
        <v>225.26400000000001</v>
      </c>
      <c r="R427" s="16">
        <f>_xlfn.XLOOKUP(B427,DataSet!$N$2:$N$600,DataSet!$AB$2:$AB$600,0)</f>
        <v>3465.6</v>
      </c>
      <c r="S427" s="9">
        <f>_xlfn.XLOOKUP(B427,DataSet!$N$2:$N$600,DataSet!$AC$2:$AC$600,0)</f>
        <v>3465.6</v>
      </c>
    </row>
    <row r="428" spans="1:19" s="12" customFormat="1" x14ac:dyDescent="0.3">
      <c r="A428" s="27">
        <v>426</v>
      </c>
      <c r="B428" s="10" t="s">
        <v>1495</v>
      </c>
      <c r="C428" s="10" t="str">
        <f>_xlfn.XLOOKUP(B428,DataSet!$N$2:$N$600,DataSet!$AF$2:$AF$600,0)</f>
        <v>149160</v>
      </c>
      <c r="D428" s="10" t="str">
        <f>_xlfn.XLOOKUP(B428,DataSet!$N$2:$N$600,DataSet!$G$2:$G$600,0)</f>
        <v>Janet Molinari</v>
      </c>
      <c r="E428" s="10" t="str">
        <f>_xlfn.XLOOKUP(B428,DataSet!$N$2:$N$600,DataSet!$F$2:$F$600,0)</f>
        <v>JM-15265</v>
      </c>
      <c r="F428" s="10" t="str">
        <f>_xlfn.XLOOKUP(B428,DataSet!$N$2:$N$600,DataSet!$W$2:$W$600,0)</f>
        <v>Corporate</v>
      </c>
      <c r="G428" s="13">
        <f>_xlfn.XLOOKUP(B428,DataSet!$N$2:$N$600,DataSet!$C$2:$C$600,0)</f>
        <v>43062</v>
      </c>
      <c r="H428" s="10" t="str">
        <f>_xlfn.XLOOKUP(B428,DataSet!$N$2:$N$600,DataSet!$I$2:$I$600,0)</f>
        <v>United States</v>
      </c>
      <c r="I428" s="10" t="str">
        <f>_xlfn.XLOOKUP(B428,DataSet!$N$2:$N$600,DataSet!$X$2:$X$600,0)</f>
        <v>Canton - Michigan</v>
      </c>
      <c r="J428" s="10" t="str">
        <f>_xlfn.XLOOKUP(B428,DataSet!$N$2:$N$600,DataSet!$M$2:$M$600,0)</f>
        <v>Central</v>
      </c>
      <c r="K428" s="10" t="str">
        <f>_xlfn.XLOOKUP(B428,DataSet!$N$2:$N$600,DataSet!$O$2:$O$600,0)</f>
        <v>Furniture</v>
      </c>
      <c r="L428" s="10" t="str">
        <f>_xlfn.XLOOKUP(B428,DataSet!$N$2:$N$600,DataSet!$Y$2:$Y$600,0)</f>
        <v>Furnishings</v>
      </c>
      <c r="M428" s="10" t="str">
        <f>_xlfn.XLOOKUP(B428,DataSet!$N$2:$N$600,DataSet!$Q$2:$Q$600,0)</f>
        <v>Coloredge Poster Frame</v>
      </c>
      <c r="N428" s="16">
        <f>_xlfn.XLOOKUP(B428,DataSet!$N$2:$N$600,DataSet!$AA$2:$AA$600,0)</f>
        <v>28.4</v>
      </c>
      <c r="O428" s="10">
        <f>_xlfn.XLOOKUP(B428,DataSet!$N$2:$N$600,DataSet!$S$2:$S$600,0)</f>
        <v>2</v>
      </c>
      <c r="P428" s="15">
        <f>_xlfn.XLOOKUP(B428,DataSet!$N$2:$N$600,DataSet!$T$2:$T$600,0)</f>
        <v>0</v>
      </c>
      <c r="Q428" s="14">
        <f>_xlfn.XLOOKUP(B428,DataSet!$N$2:$N$600,DataSet!$U$2:$U$600,0)</f>
        <v>11.076000000000001</v>
      </c>
      <c r="R428" s="16">
        <f>_xlfn.XLOOKUP(B428,DataSet!$N$2:$N$600,DataSet!$AB$2:$AB$600,0)</f>
        <v>56.8</v>
      </c>
      <c r="S428" s="9">
        <f>_xlfn.XLOOKUP(B428,DataSet!$N$2:$N$600,DataSet!$AC$2:$AC$600,0)</f>
        <v>56.8</v>
      </c>
    </row>
    <row r="429" spans="1:19" s="12" customFormat="1" x14ac:dyDescent="0.3">
      <c r="A429" s="27">
        <v>427</v>
      </c>
      <c r="B429" s="10" t="s">
        <v>1497</v>
      </c>
      <c r="C429" s="10" t="str">
        <f>_xlfn.XLOOKUP(B429,DataSet!$N$2:$N$600,DataSet!$AF$2:$AF$600,0)</f>
        <v>149160</v>
      </c>
      <c r="D429" s="10" t="str">
        <f>_xlfn.XLOOKUP(B429,DataSet!$N$2:$N$600,DataSet!$G$2:$G$600,0)</f>
        <v>Janet Molinari</v>
      </c>
      <c r="E429" s="10" t="str">
        <f>_xlfn.XLOOKUP(B429,DataSet!$N$2:$N$600,DataSet!$F$2:$F$600,0)</f>
        <v>JM-15265</v>
      </c>
      <c r="F429" s="10" t="str">
        <f>_xlfn.XLOOKUP(B429,DataSet!$N$2:$N$600,DataSet!$W$2:$W$600,0)</f>
        <v>Corporate</v>
      </c>
      <c r="G429" s="13">
        <f>_xlfn.XLOOKUP(B429,DataSet!$N$2:$N$600,DataSet!$C$2:$C$600,0)</f>
        <v>43062</v>
      </c>
      <c r="H429" s="10" t="str">
        <f>_xlfn.XLOOKUP(B429,DataSet!$N$2:$N$600,DataSet!$I$2:$I$600,0)</f>
        <v>United States</v>
      </c>
      <c r="I429" s="10" t="str">
        <f>_xlfn.XLOOKUP(B429,DataSet!$N$2:$N$600,DataSet!$X$2:$X$600,0)</f>
        <v>Canton - Michigan</v>
      </c>
      <c r="J429" s="10" t="str">
        <f>_xlfn.XLOOKUP(B429,DataSet!$N$2:$N$600,DataSet!$M$2:$M$600,0)</f>
        <v>Central</v>
      </c>
      <c r="K429" s="10" t="str">
        <f>_xlfn.XLOOKUP(B429,DataSet!$N$2:$N$600,DataSet!$O$2:$O$600,0)</f>
        <v>Office Supplies</v>
      </c>
      <c r="L429" s="10" t="str">
        <f>_xlfn.XLOOKUP(B429,DataSet!$N$2:$N$600,DataSet!$Y$2:$Y$600,0)</f>
        <v>Binders</v>
      </c>
      <c r="M429" s="10" t="str">
        <f>_xlfn.XLOOKUP(B429,DataSet!$N$2:$N$600,DataSet!$Q$2:$Q$600,0)</f>
        <v>GBC VeloBinder Manual Binding System</v>
      </c>
      <c r="N429" s="16">
        <f>_xlfn.XLOOKUP(B429,DataSet!$N$2:$N$600,DataSet!$AA$2:$AA$600,0)</f>
        <v>287.92</v>
      </c>
      <c r="O429" s="10">
        <f>_xlfn.XLOOKUP(B429,DataSet!$N$2:$N$600,DataSet!$S$2:$S$600,0)</f>
        <v>8</v>
      </c>
      <c r="P429" s="15">
        <f>_xlfn.XLOOKUP(B429,DataSet!$N$2:$N$600,DataSet!$T$2:$T$600,0)</f>
        <v>0</v>
      </c>
      <c r="Q429" s="14">
        <f>_xlfn.XLOOKUP(B429,DataSet!$N$2:$N$600,DataSet!$U$2:$U$600,0)</f>
        <v>138.20160000000001</v>
      </c>
      <c r="R429" s="16">
        <f>_xlfn.XLOOKUP(B429,DataSet!$N$2:$N$600,DataSet!$AB$2:$AB$600,0)</f>
        <v>2303.36</v>
      </c>
      <c r="S429" s="9">
        <f>_xlfn.XLOOKUP(B429,DataSet!$N$2:$N$600,DataSet!$AC$2:$AC$600,0)</f>
        <v>2303.36</v>
      </c>
    </row>
    <row r="430" spans="1:19" s="12" customFormat="1" x14ac:dyDescent="0.3">
      <c r="A430" s="27">
        <v>428</v>
      </c>
      <c r="B430" s="10" t="s">
        <v>1503</v>
      </c>
      <c r="C430" s="10" t="str">
        <f>_xlfn.XLOOKUP(B430,DataSet!$N$2:$N$600,DataSet!$AF$2:$AF$600,0)</f>
        <v>101476</v>
      </c>
      <c r="D430" s="10" t="str">
        <f>_xlfn.XLOOKUP(B430,DataSet!$N$2:$N$600,DataSet!$G$2:$G$600,0)</f>
        <v>Shirley Daniels</v>
      </c>
      <c r="E430" s="10" t="str">
        <f>_xlfn.XLOOKUP(B430,DataSet!$N$2:$N$600,DataSet!$F$2:$F$600,0)</f>
        <v>SD-20485</v>
      </c>
      <c r="F430" s="10" t="str">
        <f>_xlfn.XLOOKUP(B430,DataSet!$N$2:$N$600,DataSet!$W$2:$W$600,0)</f>
        <v>Home Office</v>
      </c>
      <c r="G430" s="13">
        <f>_xlfn.XLOOKUP(B430,DataSet!$N$2:$N$600,DataSet!$C$2:$C$600,0)</f>
        <v>41894</v>
      </c>
      <c r="H430" s="10" t="str">
        <f>_xlfn.XLOOKUP(B430,DataSet!$N$2:$N$600,DataSet!$I$2:$I$600,0)</f>
        <v>United States</v>
      </c>
      <c r="I430" s="10" t="str">
        <f>_xlfn.XLOOKUP(B430,DataSet!$N$2:$N$600,DataSet!$X$2:$X$600,0)</f>
        <v>New Rochelle - New York</v>
      </c>
      <c r="J430" s="10" t="str">
        <f>_xlfn.XLOOKUP(B430,DataSet!$N$2:$N$600,DataSet!$M$2:$M$600,0)</f>
        <v>East</v>
      </c>
      <c r="K430" s="10" t="str">
        <f>_xlfn.XLOOKUP(B430,DataSet!$N$2:$N$600,DataSet!$O$2:$O$600,0)</f>
        <v>Technology</v>
      </c>
      <c r="L430" s="10" t="str">
        <f>_xlfn.XLOOKUP(B430,DataSet!$N$2:$N$600,DataSet!$Y$2:$Y$600,0)</f>
        <v>Machines</v>
      </c>
      <c r="M430" s="10" t="str">
        <f>_xlfn.XLOOKUP(B430,DataSet!$N$2:$N$600,DataSet!$Q$2:$Q$600,0)</f>
        <v>Epson WorkForce WF-2530 All-in-One Printer, Copier Scanner</v>
      </c>
      <c r="N430" s="16">
        <f>_xlfn.XLOOKUP(B430,DataSet!$N$2:$N$600,DataSet!$AA$2:$AA$600,0)</f>
        <v>69.989999999999995</v>
      </c>
      <c r="O430" s="10">
        <f>_xlfn.XLOOKUP(B430,DataSet!$N$2:$N$600,DataSet!$S$2:$S$600,0)</f>
        <v>1</v>
      </c>
      <c r="P430" s="15">
        <f>_xlfn.XLOOKUP(B430,DataSet!$N$2:$N$600,DataSet!$T$2:$T$600,0)</f>
        <v>0</v>
      </c>
      <c r="Q430" s="14">
        <f>_xlfn.XLOOKUP(B430,DataSet!$N$2:$N$600,DataSet!$U$2:$U$600,0)</f>
        <v>30.095700000000001</v>
      </c>
      <c r="R430" s="16">
        <f>_xlfn.XLOOKUP(B430,DataSet!$N$2:$N$600,DataSet!$AB$2:$AB$600,0)</f>
        <v>69.989999999999995</v>
      </c>
      <c r="S430" s="9">
        <f>_xlfn.XLOOKUP(B430,DataSet!$N$2:$N$600,DataSet!$AC$2:$AC$600,0)</f>
        <v>69.989999999999995</v>
      </c>
    </row>
    <row r="431" spans="1:19" s="12" customFormat="1" x14ac:dyDescent="0.3">
      <c r="A431" s="27">
        <v>429</v>
      </c>
      <c r="B431" s="10" t="s">
        <v>1508</v>
      </c>
      <c r="C431" s="10" t="str">
        <f>_xlfn.XLOOKUP(B431,DataSet!$N$2:$N$600,DataSet!$AF$2:$AF$600,0)</f>
        <v>152275</v>
      </c>
      <c r="D431" s="10" t="str">
        <f>_xlfn.XLOOKUP(B431,DataSet!$N$2:$N$600,DataSet!$G$2:$G$600,0)</f>
        <v>Ken Heidel</v>
      </c>
      <c r="E431" s="10" t="str">
        <f>_xlfn.XLOOKUP(B431,DataSet!$N$2:$N$600,DataSet!$F$2:$F$600,0)</f>
        <v>KH-16630</v>
      </c>
      <c r="F431" s="10" t="str">
        <f>_xlfn.XLOOKUP(B431,DataSet!$N$2:$N$600,DataSet!$W$2:$W$600,0)</f>
        <v>Corporate</v>
      </c>
      <c r="G431" s="13">
        <f>_xlfn.XLOOKUP(B431,DataSet!$N$2:$N$600,DataSet!$C$2:$C$600,0)</f>
        <v>43009</v>
      </c>
      <c r="H431" s="10" t="str">
        <f>_xlfn.XLOOKUP(B431,DataSet!$N$2:$N$600,DataSet!$I$2:$I$600,0)</f>
        <v>United States</v>
      </c>
      <c r="I431" s="10" t="str">
        <f>_xlfn.XLOOKUP(B431,DataSet!$N$2:$N$600,DataSet!$X$2:$X$600,0)</f>
        <v>San Antonio - Texas</v>
      </c>
      <c r="J431" s="10" t="str">
        <f>_xlfn.XLOOKUP(B431,DataSet!$N$2:$N$600,DataSet!$M$2:$M$600,0)</f>
        <v>Central</v>
      </c>
      <c r="K431" s="10" t="str">
        <f>_xlfn.XLOOKUP(B431,DataSet!$N$2:$N$600,DataSet!$O$2:$O$600,0)</f>
        <v>Office Supplies</v>
      </c>
      <c r="L431" s="10" t="str">
        <f>_xlfn.XLOOKUP(B431,DataSet!$N$2:$N$600,DataSet!$Y$2:$Y$600,0)</f>
        <v>Art</v>
      </c>
      <c r="M431" s="10" t="str">
        <f>_xlfn.XLOOKUP(B431,DataSet!$N$2:$N$600,DataSet!$Q$2:$Q$600,0)</f>
        <v>Design Ebony Sketching Pencil</v>
      </c>
      <c r="N431" s="16">
        <f>_xlfn.XLOOKUP(B431,DataSet!$N$2:$N$600,DataSet!$AA$2:$AA$600,0)</f>
        <v>6.6719999999999997</v>
      </c>
      <c r="O431" s="10">
        <f>_xlfn.XLOOKUP(B431,DataSet!$N$2:$N$600,DataSet!$S$2:$S$600,0)</f>
        <v>6</v>
      </c>
      <c r="P431" s="15">
        <f>_xlfn.XLOOKUP(B431,DataSet!$N$2:$N$600,DataSet!$T$2:$T$600,0)</f>
        <v>0.2</v>
      </c>
      <c r="Q431" s="14">
        <f>_xlfn.XLOOKUP(B431,DataSet!$N$2:$N$600,DataSet!$U$2:$U$600,0)</f>
        <v>0.50039999999999996</v>
      </c>
      <c r="R431" s="16">
        <f>_xlfn.XLOOKUP(B431,DataSet!$N$2:$N$600,DataSet!$AB$2:$AB$600,0)</f>
        <v>40.031999999999996</v>
      </c>
      <c r="S431" s="9">
        <f>_xlfn.XLOOKUP(B431,DataSet!$N$2:$N$600,DataSet!$AC$2:$AC$600,0)</f>
        <v>32.025599999999997</v>
      </c>
    </row>
    <row r="432" spans="1:19" s="12" customFormat="1" x14ac:dyDescent="0.3">
      <c r="A432" s="27">
        <v>430</v>
      </c>
      <c r="B432" s="10" t="s">
        <v>1514</v>
      </c>
      <c r="C432" s="10" t="str">
        <f>_xlfn.XLOOKUP(B432,DataSet!$N$2:$N$600,DataSet!$AF$2:$AF$600,0)</f>
        <v>123750</v>
      </c>
      <c r="D432" s="10" t="str">
        <f>_xlfn.XLOOKUP(B432,DataSet!$N$2:$N$600,DataSet!$G$2:$G$600,0)</f>
        <v>Ross Baird</v>
      </c>
      <c r="E432" s="10" t="str">
        <f>_xlfn.XLOOKUP(B432,DataSet!$N$2:$N$600,DataSet!$F$2:$F$600,0)</f>
        <v>RB-19795</v>
      </c>
      <c r="F432" s="10" t="str">
        <f>_xlfn.XLOOKUP(B432,DataSet!$N$2:$N$600,DataSet!$W$2:$W$600,0)</f>
        <v>Home Office</v>
      </c>
      <c r="G432" s="13">
        <f>_xlfn.XLOOKUP(B432,DataSet!$N$2:$N$600,DataSet!$C$2:$C$600,0)</f>
        <v>42475</v>
      </c>
      <c r="H432" s="10" t="str">
        <f>_xlfn.XLOOKUP(B432,DataSet!$N$2:$N$600,DataSet!$I$2:$I$600,0)</f>
        <v>United States</v>
      </c>
      <c r="I432" s="10" t="str">
        <f>_xlfn.XLOOKUP(B432,DataSet!$N$2:$N$600,DataSet!$X$2:$X$600,0)</f>
        <v>Gastonia - North Carolina</v>
      </c>
      <c r="J432" s="10" t="str">
        <f>_xlfn.XLOOKUP(B432,DataSet!$N$2:$N$600,DataSet!$M$2:$M$600,0)</f>
        <v>South</v>
      </c>
      <c r="K432" s="10" t="str">
        <f>_xlfn.XLOOKUP(B432,DataSet!$N$2:$N$600,DataSet!$O$2:$O$600,0)</f>
        <v>Office Supplies</v>
      </c>
      <c r="L432" s="10" t="str">
        <f>_xlfn.XLOOKUP(B432,DataSet!$N$2:$N$600,DataSet!$Y$2:$Y$600,0)</f>
        <v>Binders</v>
      </c>
      <c r="M432" s="10" t="str">
        <f>_xlfn.XLOOKUP(B432,DataSet!$N$2:$N$600,DataSet!$Q$2:$Q$600,0)</f>
        <v>GBC ProClick 150 Presentation Binding System</v>
      </c>
      <c r="N432" s="16">
        <f>_xlfn.XLOOKUP(B432,DataSet!$N$2:$N$600,DataSet!$AA$2:$AA$600,0)</f>
        <v>189.58799999999999</v>
      </c>
      <c r="O432" s="10">
        <f>_xlfn.XLOOKUP(B432,DataSet!$N$2:$N$600,DataSet!$S$2:$S$600,0)</f>
        <v>2</v>
      </c>
      <c r="P432" s="15">
        <f>_xlfn.XLOOKUP(B432,DataSet!$N$2:$N$600,DataSet!$T$2:$T$600,0)</f>
        <v>0.7</v>
      </c>
      <c r="Q432" s="14">
        <f>_xlfn.XLOOKUP(B432,DataSet!$N$2:$N$600,DataSet!$U$2:$U$600,0)</f>
        <v>-145.35079999999999</v>
      </c>
      <c r="R432" s="16">
        <f>_xlfn.XLOOKUP(B432,DataSet!$N$2:$N$600,DataSet!$AB$2:$AB$600,0)</f>
        <v>379.17599999999999</v>
      </c>
      <c r="S432" s="9">
        <f>_xlfn.XLOOKUP(B432,DataSet!$N$2:$N$600,DataSet!$AC$2:$AC$600,0)</f>
        <v>113.75280000000001</v>
      </c>
    </row>
    <row r="433" spans="1:19" s="12" customFormat="1" x14ac:dyDescent="0.3">
      <c r="A433" s="27">
        <v>431</v>
      </c>
      <c r="B433" s="10" t="s">
        <v>730</v>
      </c>
      <c r="C433" s="10" t="str">
        <f>_xlfn.XLOOKUP(B433,DataSet!$N$2:$N$600,DataSet!$AF$2:$AF$600,0)</f>
        <v>166191</v>
      </c>
      <c r="D433" s="10" t="str">
        <f>_xlfn.XLOOKUP(B433,DataSet!$N$2:$N$600,DataSet!$G$2:$G$600,0)</f>
        <v>David Kendrick</v>
      </c>
      <c r="E433" s="10" t="str">
        <f>_xlfn.XLOOKUP(B433,DataSet!$N$2:$N$600,DataSet!$F$2:$F$600,0)</f>
        <v>DK-13150</v>
      </c>
      <c r="F433" s="10" t="str">
        <f>_xlfn.XLOOKUP(B433,DataSet!$N$2:$N$600,DataSet!$W$2:$W$600,0)</f>
        <v>Corporate</v>
      </c>
      <c r="G433" s="13">
        <f>_xlfn.XLOOKUP(B433,DataSet!$N$2:$N$600,DataSet!$C$2:$C$600,0)</f>
        <v>41978</v>
      </c>
      <c r="H433" s="10" t="str">
        <f>_xlfn.XLOOKUP(B433,DataSet!$N$2:$N$600,DataSet!$I$2:$I$600,0)</f>
        <v>United States</v>
      </c>
      <c r="I433" s="10" t="str">
        <f>_xlfn.XLOOKUP(B433,DataSet!$N$2:$N$600,DataSet!$X$2:$X$600,0)</f>
        <v>Decatur - Illinois</v>
      </c>
      <c r="J433" s="10" t="str">
        <f>_xlfn.XLOOKUP(B433,DataSet!$N$2:$N$600,DataSet!$M$2:$M$600,0)</f>
        <v>Central</v>
      </c>
      <c r="K433" s="10" t="str">
        <f>_xlfn.XLOOKUP(B433,DataSet!$N$2:$N$600,DataSet!$O$2:$O$600,0)</f>
        <v>Technology</v>
      </c>
      <c r="L433" s="10" t="str">
        <f>_xlfn.XLOOKUP(B433,DataSet!$N$2:$N$600,DataSet!$Y$2:$Y$600,0)</f>
        <v>Accessories</v>
      </c>
      <c r="M433" s="10" t="str">
        <f>_xlfn.XLOOKUP(B433,DataSet!$N$2:$N$600,DataSet!$Q$2:$Q$600,0)</f>
        <v>Imation Secure+ Hardware Encrypted USB 2.0 Flash Drive; 16GB</v>
      </c>
      <c r="N433" s="16">
        <f>_xlfn.XLOOKUP(B433,DataSet!$N$2:$N$600,DataSet!$AA$2:$AA$600,0)</f>
        <v>408.74400000000003</v>
      </c>
      <c r="O433" s="10">
        <f>_xlfn.XLOOKUP(B433,DataSet!$N$2:$N$600,DataSet!$S$2:$S$600,0)</f>
        <v>7</v>
      </c>
      <c r="P433" s="15">
        <f>_xlfn.XLOOKUP(B433,DataSet!$N$2:$N$600,DataSet!$T$2:$T$600,0)</f>
        <v>0.2</v>
      </c>
      <c r="Q433" s="14">
        <f>_xlfn.XLOOKUP(B433,DataSet!$N$2:$N$600,DataSet!$U$2:$U$600,0)</f>
        <v>76.639499999999998</v>
      </c>
      <c r="R433" s="16">
        <f>_xlfn.XLOOKUP(B433,DataSet!$N$2:$N$600,DataSet!$AB$2:$AB$600,0)</f>
        <v>2861.2080000000001</v>
      </c>
      <c r="S433" s="9">
        <f>_xlfn.XLOOKUP(B433,DataSet!$N$2:$N$600,DataSet!$AC$2:$AC$600,0)</f>
        <v>2288.9664000000002</v>
      </c>
    </row>
    <row r="434" spans="1:19" s="12" customFormat="1" x14ac:dyDescent="0.3">
      <c r="A434" s="27">
        <v>432</v>
      </c>
      <c r="B434" s="10" t="s">
        <v>730</v>
      </c>
      <c r="C434" s="10" t="str">
        <f>_xlfn.XLOOKUP(B434,DataSet!$N$2:$N$600,DataSet!$AF$2:$AF$600,0)</f>
        <v>166191</v>
      </c>
      <c r="D434" s="10" t="str">
        <f>_xlfn.XLOOKUP(B434,DataSet!$N$2:$N$600,DataSet!$G$2:$G$600,0)</f>
        <v>David Kendrick</v>
      </c>
      <c r="E434" s="10" t="str">
        <f>_xlfn.XLOOKUP(B434,DataSet!$N$2:$N$600,DataSet!$F$2:$F$600,0)</f>
        <v>DK-13150</v>
      </c>
      <c r="F434" s="10" t="str">
        <f>_xlfn.XLOOKUP(B434,DataSet!$N$2:$N$600,DataSet!$W$2:$W$600,0)</f>
        <v>Corporate</v>
      </c>
      <c r="G434" s="13">
        <f>_xlfn.XLOOKUP(B434,DataSet!$N$2:$N$600,DataSet!$C$2:$C$600,0)</f>
        <v>41978</v>
      </c>
      <c r="H434" s="10" t="str">
        <f>_xlfn.XLOOKUP(B434,DataSet!$N$2:$N$600,DataSet!$I$2:$I$600,0)</f>
        <v>United States</v>
      </c>
      <c r="I434" s="10" t="str">
        <f>_xlfn.XLOOKUP(B434,DataSet!$N$2:$N$600,DataSet!$X$2:$X$600,0)</f>
        <v>Decatur - Illinois</v>
      </c>
      <c r="J434" s="10" t="str">
        <f>_xlfn.XLOOKUP(B434,DataSet!$N$2:$N$600,DataSet!$M$2:$M$600,0)</f>
        <v>Central</v>
      </c>
      <c r="K434" s="10" t="str">
        <f>_xlfn.XLOOKUP(B434,DataSet!$N$2:$N$600,DataSet!$O$2:$O$600,0)</f>
        <v>Technology</v>
      </c>
      <c r="L434" s="10" t="str">
        <f>_xlfn.XLOOKUP(B434,DataSet!$N$2:$N$600,DataSet!$Y$2:$Y$600,0)</f>
        <v>Accessories</v>
      </c>
      <c r="M434" s="10" t="str">
        <f>_xlfn.XLOOKUP(B434,DataSet!$N$2:$N$600,DataSet!$Q$2:$Q$600,0)</f>
        <v>Imation Secure+ Hardware Encrypted USB 2.0 Flash Drive; 16GB</v>
      </c>
      <c r="N434" s="16">
        <f>_xlfn.XLOOKUP(B434,DataSet!$N$2:$N$600,DataSet!$AA$2:$AA$600,0)</f>
        <v>408.74400000000003</v>
      </c>
      <c r="O434" s="10">
        <f>_xlfn.XLOOKUP(B434,DataSet!$N$2:$N$600,DataSet!$S$2:$S$600,0)</f>
        <v>7</v>
      </c>
      <c r="P434" s="15">
        <f>_xlfn.XLOOKUP(B434,DataSet!$N$2:$N$600,DataSet!$T$2:$T$600,0)</f>
        <v>0.2</v>
      </c>
      <c r="Q434" s="14">
        <f>_xlfn.XLOOKUP(B434,DataSet!$N$2:$N$600,DataSet!$U$2:$U$600,0)</f>
        <v>76.639499999999998</v>
      </c>
      <c r="R434" s="16">
        <f>_xlfn.XLOOKUP(B434,DataSet!$N$2:$N$600,DataSet!$AB$2:$AB$600,0)</f>
        <v>2861.2080000000001</v>
      </c>
      <c r="S434" s="9">
        <f>_xlfn.XLOOKUP(B434,DataSet!$N$2:$N$600,DataSet!$AC$2:$AC$600,0)</f>
        <v>2288.9664000000002</v>
      </c>
    </row>
    <row r="435" spans="1:19" s="12" customFormat="1" x14ac:dyDescent="0.3">
      <c r="A435" s="27">
        <v>433</v>
      </c>
      <c r="B435" s="10" t="s">
        <v>1516</v>
      </c>
      <c r="C435" s="10" t="str">
        <f>_xlfn.XLOOKUP(B435,DataSet!$N$2:$N$600,DataSet!$AF$2:$AF$600,0)</f>
        <v>123750</v>
      </c>
      <c r="D435" s="10" t="str">
        <f>_xlfn.XLOOKUP(B435,DataSet!$N$2:$N$600,DataSet!$G$2:$G$600,0)</f>
        <v>Ross Baird</v>
      </c>
      <c r="E435" s="10" t="str">
        <f>_xlfn.XLOOKUP(B435,DataSet!$N$2:$N$600,DataSet!$F$2:$F$600,0)</f>
        <v>RB-19795</v>
      </c>
      <c r="F435" s="10" t="str">
        <f>_xlfn.XLOOKUP(B435,DataSet!$N$2:$N$600,DataSet!$W$2:$W$600,0)</f>
        <v>Home Office</v>
      </c>
      <c r="G435" s="13">
        <f>_xlfn.XLOOKUP(B435,DataSet!$N$2:$N$600,DataSet!$C$2:$C$600,0)</f>
        <v>42475</v>
      </c>
      <c r="H435" s="10" t="str">
        <f>_xlfn.XLOOKUP(B435,DataSet!$N$2:$N$600,DataSet!$I$2:$I$600,0)</f>
        <v>United States</v>
      </c>
      <c r="I435" s="10" t="str">
        <f>_xlfn.XLOOKUP(B435,DataSet!$N$2:$N$600,DataSet!$X$2:$X$600,0)</f>
        <v>Gastonia - North Carolina</v>
      </c>
      <c r="J435" s="10" t="str">
        <f>_xlfn.XLOOKUP(B435,DataSet!$N$2:$N$600,DataSet!$M$2:$M$600,0)</f>
        <v>South</v>
      </c>
      <c r="K435" s="10" t="str">
        <f>_xlfn.XLOOKUP(B435,DataSet!$N$2:$N$600,DataSet!$O$2:$O$600,0)</f>
        <v>Office Supplies</v>
      </c>
      <c r="L435" s="10" t="str">
        <f>_xlfn.XLOOKUP(B435,DataSet!$N$2:$N$600,DataSet!$Y$2:$Y$600,0)</f>
        <v>Storage</v>
      </c>
      <c r="M435" s="10" t="str">
        <f>_xlfn.XLOOKUP(B435,DataSet!$N$2:$N$600,DataSet!$Q$2:$Q$600,0)</f>
        <v>Woodgrain Magazine Files by Perma</v>
      </c>
      <c r="N435" s="16">
        <f>_xlfn.XLOOKUP(B435,DataSet!$N$2:$N$600,DataSet!$AA$2:$AA$600,0)</f>
        <v>4.7679999999999998</v>
      </c>
      <c r="O435" s="10">
        <f>_xlfn.XLOOKUP(B435,DataSet!$N$2:$N$600,DataSet!$S$2:$S$600,0)</f>
        <v>2</v>
      </c>
      <c r="P435" s="15">
        <f>_xlfn.XLOOKUP(B435,DataSet!$N$2:$N$600,DataSet!$T$2:$T$600,0)</f>
        <v>0.2</v>
      </c>
      <c r="Q435" s="14">
        <f>_xlfn.XLOOKUP(B435,DataSet!$N$2:$N$600,DataSet!$U$2:$U$600,0)</f>
        <v>-0.77480000000000004</v>
      </c>
      <c r="R435" s="16">
        <f>_xlfn.XLOOKUP(B435,DataSet!$N$2:$N$600,DataSet!$AB$2:$AB$600,0)</f>
        <v>9.5359999999999996</v>
      </c>
      <c r="S435" s="9">
        <f>_xlfn.XLOOKUP(B435,DataSet!$N$2:$N$600,DataSet!$AC$2:$AC$600,0)</f>
        <v>7.6288</v>
      </c>
    </row>
    <row r="436" spans="1:19" s="12" customFormat="1" x14ac:dyDescent="0.3">
      <c r="A436" s="27">
        <v>434</v>
      </c>
      <c r="B436" s="10" t="s">
        <v>1519</v>
      </c>
      <c r="C436" s="10" t="str">
        <f>_xlfn.XLOOKUP(B436,DataSet!$N$2:$N$600,DataSet!$AF$2:$AF$600,0)</f>
        <v>127369</v>
      </c>
      <c r="D436" s="10" t="str">
        <f>_xlfn.XLOOKUP(B436,DataSet!$N$2:$N$600,DataSet!$G$2:$G$600,0)</f>
        <v>Dave Brooks</v>
      </c>
      <c r="E436" s="10" t="str">
        <f>_xlfn.XLOOKUP(B436,DataSet!$N$2:$N$600,DataSet!$F$2:$F$600,0)</f>
        <v>DB-13060</v>
      </c>
      <c r="F436" s="10" t="str">
        <f>_xlfn.XLOOKUP(B436,DataSet!$N$2:$N$600,DataSet!$W$2:$W$600,0)</f>
        <v>Consumer</v>
      </c>
      <c r="G436" s="13">
        <f>_xlfn.XLOOKUP(B436,DataSet!$N$2:$N$600,DataSet!$C$2:$C$600,0)</f>
        <v>42527</v>
      </c>
      <c r="H436" s="10" t="str">
        <f>_xlfn.XLOOKUP(B436,DataSet!$N$2:$N$600,DataSet!$I$2:$I$600,0)</f>
        <v>United States</v>
      </c>
      <c r="I436" s="10" t="str">
        <f>_xlfn.XLOOKUP(B436,DataSet!$N$2:$N$600,DataSet!$X$2:$X$600,0)</f>
        <v>Lowell - Massachusetts</v>
      </c>
      <c r="J436" s="10" t="str">
        <f>_xlfn.XLOOKUP(B436,DataSet!$N$2:$N$600,DataSet!$M$2:$M$600,0)</f>
        <v>East</v>
      </c>
      <c r="K436" s="10" t="str">
        <f>_xlfn.XLOOKUP(B436,DataSet!$N$2:$N$600,DataSet!$O$2:$O$600,0)</f>
        <v>Office Supplies</v>
      </c>
      <c r="L436" s="10" t="str">
        <f>_xlfn.XLOOKUP(B436,DataSet!$N$2:$N$600,DataSet!$Y$2:$Y$600,0)</f>
        <v>Storage</v>
      </c>
      <c r="M436" s="10" t="str">
        <f>_xlfn.XLOOKUP(B436,DataSet!$N$2:$N$600,DataSet!$Q$2:$Q$600,0)</f>
        <v>Letter Size Cart</v>
      </c>
      <c r="N436" s="16">
        <f>_xlfn.XLOOKUP(B436,DataSet!$N$2:$N$600,DataSet!$AA$2:$AA$600,0)</f>
        <v>714.3</v>
      </c>
      <c r="O436" s="10">
        <f>_xlfn.XLOOKUP(B436,DataSet!$N$2:$N$600,DataSet!$S$2:$S$600,0)</f>
        <v>5</v>
      </c>
      <c r="P436" s="15">
        <f>_xlfn.XLOOKUP(B436,DataSet!$N$2:$N$600,DataSet!$T$2:$T$600,0)</f>
        <v>0</v>
      </c>
      <c r="Q436" s="14">
        <f>_xlfn.XLOOKUP(B436,DataSet!$N$2:$N$600,DataSet!$U$2:$U$600,0)</f>
        <v>207.14699999999999</v>
      </c>
      <c r="R436" s="16">
        <f>_xlfn.XLOOKUP(B436,DataSet!$N$2:$N$600,DataSet!$AB$2:$AB$600,0)</f>
        <v>3571.5</v>
      </c>
      <c r="S436" s="9">
        <f>_xlfn.XLOOKUP(B436,DataSet!$N$2:$N$600,DataSet!$AC$2:$AC$600,0)</f>
        <v>3571.5</v>
      </c>
    </row>
    <row r="437" spans="1:19" s="12" customFormat="1" x14ac:dyDescent="0.3">
      <c r="A437" s="27">
        <v>435</v>
      </c>
      <c r="B437" s="10" t="s">
        <v>1525</v>
      </c>
      <c r="C437" s="10" t="str">
        <f>_xlfn.XLOOKUP(B437,DataSet!$N$2:$N$600,DataSet!$AF$2:$AF$600,0)</f>
        <v>150574</v>
      </c>
      <c r="D437" s="10" t="str">
        <f>_xlfn.XLOOKUP(B437,DataSet!$N$2:$N$600,DataSet!$G$2:$G$600,0)</f>
        <v>Mike Kennedy</v>
      </c>
      <c r="E437" s="10" t="str">
        <f>_xlfn.XLOOKUP(B437,DataSet!$N$2:$N$600,DataSet!$F$2:$F$600,0)</f>
        <v>MK-18160</v>
      </c>
      <c r="F437" s="10" t="str">
        <f>_xlfn.XLOOKUP(B437,DataSet!$N$2:$N$600,DataSet!$W$2:$W$600,0)</f>
        <v>Consumer</v>
      </c>
      <c r="G437" s="13">
        <f>_xlfn.XLOOKUP(B437,DataSet!$N$2:$N$600,DataSet!$C$2:$C$600,0)</f>
        <v>41992</v>
      </c>
      <c r="H437" s="10" t="str">
        <f>_xlfn.XLOOKUP(B437,DataSet!$N$2:$N$600,DataSet!$I$2:$I$600,0)</f>
        <v>United States</v>
      </c>
      <c r="I437" s="10" t="str">
        <f>_xlfn.XLOOKUP(B437,DataSet!$N$2:$N$600,DataSet!$X$2:$X$600,0)</f>
        <v>Jacksonville - Florida</v>
      </c>
      <c r="J437" s="10" t="str">
        <f>_xlfn.XLOOKUP(B437,DataSet!$N$2:$N$600,DataSet!$M$2:$M$600,0)</f>
        <v>South</v>
      </c>
      <c r="K437" s="10" t="str">
        <f>_xlfn.XLOOKUP(B437,DataSet!$N$2:$N$600,DataSet!$O$2:$O$600,0)</f>
        <v>Office Supplies</v>
      </c>
      <c r="L437" s="10" t="str">
        <f>_xlfn.XLOOKUP(B437,DataSet!$N$2:$N$600,DataSet!$Y$2:$Y$600,0)</f>
        <v>Binders</v>
      </c>
      <c r="M437" s="10" t="str">
        <f>_xlfn.XLOOKUP(B437,DataSet!$N$2:$N$600,DataSet!$Q$2:$Q$600,0)</f>
        <v>Insertable Tab Post Binder Dividers</v>
      </c>
      <c r="N437" s="16">
        <f>_xlfn.XLOOKUP(B437,DataSet!$N$2:$N$600,DataSet!$AA$2:$AA$600,0)</f>
        <v>4.8120000000000003</v>
      </c>
      <c r="O437" s="10">
        <f>_xlfn.XLOOKUP(B437,DataSet!$N$2:$N$600,DataSet!$S$2:$S$600,0)</f>
        <v>2</v>
      </c>
      <c r="P437" s="15">
        <f>_xlfn.XLOOKUP(B437,DataSet!$N$2:$N$600,DataSet!$T$2:$T$600,0)</f>
        <v>0.7</v>
      </c>
      <c r="Q437" s="14">
        <f>_xlfn.XLOOKUP(B437,DataSet!$N$2:$N$600,DataSet!$U$2:$U$600,0)</f>
        <v>-3.6892</v>
      </c>
      <c r="R437" s="16">
        <f>_xlfn.XLOOKUP(B437,DataSet!$N$2:$N$600,DataSet!$AB$2:$AB$600,0)</f>
        <v>9.6240000000000006</v>
      </c>
      <c r="S437" s="9">
        <f>_xlfn.XLOOKUP(B437,DataSet!$N$2:$N$600,DataSet!$AC$2:$AC$600,0)</f>
        <v>2.8872000000000004</v>
      </c>
    </row>
    <row r="438" spans="1:19" s="12" customFormat="1" x14ac:dyDescent="0.3">
      <c r="A438" s="27">
        <v>436</v>
      </c>
      <c r="B438" s="10" t="s">
        <v>1527</v>
      </c>
      <c r="C438" s="10" t="str">
        <f>_xlfn.XLOOKUP(B438,DataSet!$N$2:$N$600,DataSet!$AF$2:$AF$600,0)</f>
        <v>150574</v>
      </c>
      <c r="D438" s="10" t="str">
        <f>_xlfn.XLOOKUP(B438,DataSet!$N$2:$N$600,DataSet!$G$2:$G$600,0)</f>
        <v>Mike Kennedy</v>
      </c>
      <c r="E438" s="10" t="str">
        <f>_xlfn.XLOOKUP(B438,DataSet!$N$2:$N$600,DataSet!$F$2:$F$600,0)</f>
        <v>MK-18160</v>
      </c>
      <c r="F438" s="10" t="str">
        <f>_xlfn.XLOOKUP(B438,DataSet!$N$2:$N$600,DataSet!$W$2:$W$600,0)</f>
        <v>Consumer</v>
      </c>
      <c r="G438" s="13">
        <f>_xlfn.XLOOKUP(B438,DataSet!$N$2:$N$600,DataSet!$C$2:$C$600,0)</f>
        <v>41992</v>
      </c>
      <c r="H438" s="10" t="str">
        <f>_xlfn.XLOOKUP(B438,DataSet!$N$2:$N$600,DataSet!$I$2:$I$600,0)</f>
        <v>United States</v>
      </c>
      <c r="I438" s="10" t="str">
        <f>_xlfn.XLOOKUP(B438,DataSet!$N$2:$N$600,DataSet!$X$2:$X$600,0)</f>
        <v>Jacksonville - Florida</v>
      </c>
      <c r="J438" s="10" t="str">
        <f>_xlfn.XLOOKUP(B438,DataSet!$N$2:$N$600,DataSet!$M$2:$M$600,0)</f>
        <v>South</v>
      </c>
      <c r="K438" s="10" t="str">
        <f>_xlfn.XLOOKUP(B438,DataSet!$N$2:$N$600,DataSet!$O$2:$O$600,0)</f>
        <v>Technology</v>
      </c>
      <c r="L438" s="10" t="str">
        <f>_xlfn.XLOOKUP(B438,DataSet!$N$2:$N$600,DataSet!$Y$2:$Y$600,0)</f>
        <v>Accessories</v>
      </c>
      <c r="M438" s="10" t="str">
        <f>_xlfn.XLOOKUP(B438,DataSet!$N$2:$N$600,DataSet!$Q$2:$Q$600,0)</f>
        <v>Belkin QODE FastFit Bluetooth Keyboard</v>
      </c>
      <c r="N438" s="16">
        <f>_xlfn.XLOOKUP(B438,DataSet!$N$2:$N$600,DataSet!$AA$2:$AA$600,0)</f>
        <v>247.8</v>
      </c>
      <c r="O438" s="10">
        <f>_xlfn.XLOOKUP(B438,DataSet!$N$2:$N$600,DataSet!$S$2:$S$600,0)</f>
        <v>5</v>
      </c>
      <c r="P438" s="15">
        <f>_xlfn.XLOOKUP(B438,DataSet!$N$2:$N$600,DataSet!$T$2:$T$600,0)</f>
        <v>0.2</v>
      </c>
      <c r="Q438" s="14">
        <f>_xlfn.XLOOKUP(B438,DataSet!$N$2:$N$600,DataSet!$U$2:$U$600,0)</f>
        <v>-18.585000000000001</v>
      </c>
      <c r="R438" s="16">
        <f>_xlfn.XLOOKUP(B438,DataSet!$N$2:$N$600,DataSet!$AB$2:$AB$600,0)</f>
        <v>1239</v>
      </c>
      <c r="S438" s="9">
        <f>_xlfn.XLOOKUP(B438,DataSet!$N$2:$N$600,DataSet!$AC$2:$AC$600,0)</f>
        <v>991.2</v>
      </c>
    </row>
    <row r="439" spans="1:19" s="12" customFormat="1" x14ac:dyDescent="0.3">
      <c r="A439" s="27">
        <v>437</v>
      </c>
      <c r="B439" s="10" t="s">
        <v>1532</v>
      </c>
      <c r="C439" s="10" t="str">
        <f>_xlfn.XLOOKUP(B439,DataSet!$N$2:$N$600,DataSet!$AF$2:$AF$600,0)</f>
        <v>147375</v>
      </c>
      <c r="D439" s="10" t="str">
        <f>_xlfn.XLOOKUP(B439,DataSet!$N$2:$N$600,DataSet!$G$2:$G$600,0)</f>
        <v>Philisse Overcash</v>
      </c>
      <c r="E439" s="10" t="str">
        <f>_xlfn.XLOOKUP(B439,DataSet!$N$2:$N$600,DataSet!$F$2:$F$600,0)</f>
        <v>PO-19180</v>
      </c>
      <c r="F439" s="10" t="str">
        <f>_xlfn.XLOOKUP(B439,DataSet!$N$2:$N$600,DataSet!$W$2:$W$600,0)</f>
        <v>Home Office</v>
      </c>
      <c r="G439" s="13">
        <f>_xlfn.XLOOKUP(B439,DataSet!$N$2:$N$600,DataSet!$C$2:$C$600,0)</f>
        <v>42533</v>
      </c>
      <c r="H439" s="10" t="str">
        <f>_xlfn.XLOOKUP(B439,DataSet!$N$2:$N$600,DataSet!$I$2:$I$600,0)</f>
        <v>United States</v>
      </c>
      <c r="I439" s="10" t="str">
        <f>_xlfn.XLOOKUP(B439,DataSet!$N$2:$N$600,DataSet!$X$2:$X$600,0)</f>
        <v>Chicago - Illinois</v>
      </c>
      <c r="J439" s="10" t="str">
        <f>_xlfn.XLOOKUP(B439,DataSet!$N$2:$N$600,DataSet!$M$2:$M$600,0)</f>
        <v>Central</v>
      </c>
      <c r="K439" s="10" t="str">
        <f>_xlfn.XLOOKUP(B439,DataSet!$N$2:$N$600,DataSet!$O$2:$O$600,0)</f>
        <v>Technology</v>
      </c>
      <c r="L439" s="10" t="str">
        <f>_xlfn.XLOOKUP(B439,DataSet!$N$2:$N$600,DataSet!$Y$2:$Y$600,0)</f>
        <v>Machines</v>
      </c>
      <c r="M439" s="10" t="str">
        <f>_xlfn.XLOOKUP(B439,DataSet!$N$2:$N$600,DataSet!$Q$2:$Q$600,0)</f>
        <v>Canon Color ImageCLASS MF8580Cdw Wireless Laser All-In-One Printer, Copier, Scanner</v>
      </c>
      <c r="N439" s="16">
        <f>_xlfn.XLOOKUP(B439,DataSet!$N$2:$N$600,DataSet!$AA$2:$AA$600,0)</f>
        <v>1007.979</v>
      </c>
      <c r="O439" s="10">
        <f>_xlfn.XLOOKUP(B439,DataSet!$N$2:$N$600,DataSet!$S$2:$S$600,0)</f>
        <v>3</v>
      </c>
      <c r="P439" s="15">
        <f>_xlfn.XLOOKUP(B439,DataSet!$N$2:$N$600,DataSet!$T$2:$T$600,0)</f>
        <v>0.3</v>
      </c>
      <c r="Q439" s="14">
        <f>_xlfn.XLOOKUP(B439,DataSet!$N$2:$N$600,DataSet!$U$2:$U$600,0)</f>
        <v>43.199100000000001</v>
      </c>
      <c r="R439" s="16">
        <f>_xlfn.XLOOKUP(B439,DataSet!$N$2:$N$600,DataSet!$AB$2:$AB$600,0)</f>
        <v>3023.9369999999999</v>
      </c>
      <c r="S439" s="9">
        <f>_xlfn.XLOOKUP(B439,DataSet!$N$2:$N$600,DataSet!$AC$2:$AC$600,0)</f>
        <v>2116.7558999999997</v>
      </c>
    </row>
    <row r="440" spans="1:19" s="12" customFormat="1" x14ac:dyDescent="0.3">
      <c r="A440" s="27">
        <v>438</v>
      </c>
      <c r="B440" s="10" t="s">
        <v>1252</v>
      </c>
      <c r="C440" s="10" t="str">
        <f>_xlfn.XLOOKUP(B440,DataSet!$N$2:$N$600,DataSet!$AF$2:$AF$600,0)</f>
        <v>129714</v>
      </c>
      <c r="D440" s="10" t="str">
        <f>_xlfn.XLOOKUP(B440,DataSet!$N$2:$N$600,DataSet!$G$2:$G$600,0)</f>
        <v>Adam Bellavance</v>
      </c>
      <c r="E440" s="10" t="str">
        <f>_xlfn.XLOOKUP(B440,DataSet!$N$2:$N$600,DataSet!$F$2:$F$600,0)</f>
        <v>AB-10060</v>
      </c>
      <c r="F440" s="10" t="str">
        <f>_xlfn.XLOOKUP(B440,DataSet!$N$2:$N$600,DataSet!$W$2:$W$600,0)</f>
        <v>Home Office</v>
      </c>
      <c r="G440" s="13">
        <f>_xlfn.XLOOKUP(B440,DataSet!$N$2:$N$600,DataSet!$C$2:$C$600,0)</f>
        <v>42614</v>
      </c>
      <c r="H440" s="10" t="str">
        <f>_xlfn.XLOOKUP(B440,DataSet!$N$2:$N$600,DataSet!$I$2:$I$600,0)</f>
        <v>United States</v>
      </c>
      <c r="I440" s="10" t="str">
        <f>_xlfn.XLOOKUP(B440,DataSet!$N$2:$N$600,DataSet!$X$2:$X$600,0)</f>
        <v>New York City - New York</v>
      </c>
      <c r="J440" s="10" t="str">
        <f>_xlfn.XLOOKUP(B440,DataSet!$N$2:$N$600,DataSet!$M$2:$M$600,0)</f>
        <v>East</v>
      </c>
      <c r="K440" s="10" t="str">
        <f>_xlfn.XLOOKUP(B440,DataSet!$N$2:$N$600,DataSet!$O$2:$O$600,0)</f>
        <v>Office Supplies</v>
      </c>
      <c r="L440" s="10" t="str">
        <f>_xlfn.XLOOKUP(B440,DataSet!$N$2:$N$600,DataSet!$Y$2:$Y$600,0)</f>
        <v>Paper</v>
      </c>
      <c r="M440" s="10" t="str">
        <f>_xlfn.XLOOKUP(B440,DataSet!$N$2:$N$600,DataSet!$Q$2:$Q$600,0)</f>
        <v>Xerox 1881</v>
      </c>
      <c r="N440" s="16">
        <f>_xlfn.XLOOKUP(B440,DataSet!$N$2:$N$600,DataSet!$AA$2:$AA$600,0)</f>
        <v>24.56</v>
      </c>
      <c r="O440" s="10">
        <f>_xlfn.XLOOKUP(B440,DataSet!$N$2:$N$600,DataSet!$S$2:$S$600,0)</f>
        <v>2</v>
      </c>
      <c r="P440" s="15">
        <f>_xlfn.XLOOKUP(B440,DataSet!$N$2:$N$600,DataSet!$T$2:$T$600,0)</f>
        <v>0</v>
      </c>
      <c r="Q440" s="14">
        <f>_xlfn.XLOOKUP(B440,DataSet!$N$2:$N$600,DataSet!$U$2:$U$600,0)</f>
        <v>11.543200000000001</v>
      </c>
      <c r="R440" s="16">
        <f>_xlfn.XLOOKUP(B440,DataSet!$N$2:$N$600,DataSet!$AB$2:$AB$600,0)</f>
        <v>49.12</v>
      </c>
      <c r="S440" s="9">
        <f>_xlfn.XLOOKUP(B440,DataSet!$N$2:$N$600,DataSet!$AC$2:$AC$600,0)</f>
        <v>49.12</v>
      </c>
    </row>
    <row r="441" spans="1:19" s="12" customFormat="1" x14ac:dyDescent="0.3">
      <c r="A441" s="27">
        <v>439</v>
      </c>
      <c r="B441" s="10" t="s">
        <v>1537</v>
      </c>
      <c r="C441" s="10" t="str">
        <f>_xlfn.XLOOKUP(B441,DataSet!$N$2:$N$600,DataSet!$AF$2:$AF$600,0)</f>
        <v>130043</v>
      </c>
      <c r="D441" s="10" t="str">
        <f>_xlfn.XLOOKUP(B441,DataSet!$N$2:$N$600,DataSet!$G$2:$G$600,0)</f>
        <v>Brenda Bowman</v>
      </c>
      <c r="E441" s="10" t="str">
        <f>_xlfn.XLOOKUP(B441,DataSet!$N$2:$N$600,DataSet!$F$2:$F$600,0)</f>
        <v>BB-11545</v>
      </c>
      <c r="F441" s="10" t="str">
        <f>_xlfn.XLOOKUP(B441,DataSet!$N$2:$N$600,DataSet!$W$2:$W$600,0)</f>
        <v>Corporate</v>
      </c>
      <c r="G441" s="13">
        <f>_xlfn.XLOOKUP(B441,DataSet!$N$2:$N$600,DataSet!$C$2:$C$600,0)</f>
        <v>42993</v>
      </c>
      <c r="H441" s="10" t="str">
        <f>_xlfn.XLOOKUP(B441,DataSet!$N$2:$N$600,DataSet!$I$2:$I$600,0)</f>
        <v>United States</v>
      </c>
      <c r="I441" s="10" t="str">
        <f>_xlfn.XLOOKUP(B441,DataSet!$N$2:$N$600,DataSet!$X$2:$X$600,0)</f>
        <v>Houston - Texas</v>
      </c>
      <c r="J441" s="10" t="str">
        <f>_xlfn.XLOOKUP(B441,DataSet!$N$2:$N$600,DataSet!$M$2:$M$600,0)</f>
        <v>Central</v>
      </c>
      <c r="K441" s="10" t="str">
        <f>_xlfn.XLOOKUP(B441,DataSet!$N$2:$N$600,DataSet!$O$2:$O$600,0)</f>
        <v>Office Supplies</v>
      </c>
      <c r="L441" s="10" t="str">
        <f>_xlfn.XLOOKUP(B441,DataSet!$N$2:$N$600,DataSet!$Y$2:$Y$600,0)</f>
        <v>Paper</v>
      </c>
      <c r="M441" s="10" t="str">
        <f>_xlfn.XLOOKUP(B441,DataSet!$N$2:$N$600,DataSet!$Q$2:$Q$600,0)</f>
        <v>Xerox 1897</v>
      </c>
      <c r="N441" s="16">
        <f>_xlfn.XLOOKUP(B441,DataSet!$N$2:$N$600,DataSet!$AA$2:$AA$600,0)</f>
        <v>31.872</v>
      </c>
      <c r="O441" s="10">
        <f>_xlfn.XLOOKUP(B441,DataSet!$N$2:$N$600,DataSet!$S$2:$S$600,0)</f>
        <v>8</v>
      </c>
      <c r="P441" s="15">
        <f>_xlfn.XLOOKUP(B441,DataSet!$N$2:$N$600,DataSet!$T$2:$T$600,0)</f>
        <v>0.2</v>
      </c>
      <c r="Q441" s="14">
        <f>_xlfn.XLOOKUP(B441,DataSet!$N$2:$N$600,DataSet!$U$2:$U$600,0)</f>
        <v>11.553599999999999</v>
      </c>
      <c r="R441" s="16">
        <f>_xlfn.XLOOKUP(B441,DataSet!$N$2:$N$600,DataSet!$AB$2:$AB$600,0)</f>
        <v>254.976</v>
      </c>
      <c r="S441" s="9">
        <f>_xlfn.XLOOKUP(B441,DataSet!$N$2:$N$600,DataSet!$AC$2:$AC$600,0)</f>
        <v>203.98080000000002</v>
      </c>
    </row>
    <row r="442" spans="1:19" s="12" customFormat="1" x14ac:dyDescent="0.3">
      <c r="A442" s="27">
        <v>440</v>
      </c>
      <c r="B442" s="10" t="s">
        <v>1540</v>
      </c>
      <c r="C442" s="10" t="str">
        <f>_xlfn.XLOOKUP(B442,DataSet!$N$2:$N$600,DataSet!$AF$2:$AF$600,0)</f>
        <v>157252</v>
      </c>
      <c r="D442" s="10" t="str">
        <f>_xlfn.XLOOKUP(B442,DataSet!$N$2:$N$600,DataSet!$G$2:$G$600,0)</f>
        <v>Cynthia Voltz</v>
      </c>
      <c r="E442" s="10" t="str">
        <f>_xlfn.XLOOKUP(B442,DataSet!$N$2:$N$600,DataSet!$F$2:$F$600,0)</f>
        <v>CV-12805</v>
      </c>
      <c r="F442" s="10" t="str">
        <f>_xlfn.XLOOKUP(B442,DataSet!$N$2:$N$600,DataSet!$W$2:$W$600,0)</f>
        <v>Corporate</v>
      </c>
      <c r="G442" s="13">
        <f>_xlfn.XLOOKUP(B442,DataSet!$N$2:$N$600,DataSet!$C$2:$C$600,0)</f>
        <v>42755</v>
      </c>
      <c r="H442" s="10" t="str">
        <f>_xlfn.XLOOKUP(B442,DataSet!$N$2:$N$600,DataSet!$I$2:$I$600,0)</f>
        <v>United States</v>
      </c>
      <c r="I442" s="10" t="str">
        <f>_xlfn.XLOOKUP(B442,DataSet!$N$2:$N$600,DataSet!$X$2:$X$600,0)</f>
        <v>New York City - New York</v>
      </c>
      <c r="J442" s="10" t="str">
        <f>_xlfn.XLOOKUP(B442,DataSet!$N$2:$N$600,DataSet!$M$2:$M$600,0)</f>
        <v>East</v>
      </c>
      <c r="K442" s="10" t="str">
        <f>_xlfn.XLOOKUP(B442,DataSet!$N$2:$N$600,DataSet!$O$2:$O$600,0)</f>
        <v>Furniture</v>
      </c>
      <c r="L442" s="10" t="str">
        <f>_xlfn.XLOOKUP(B442,DataSet!$N$2:$N$600,DataSet!$Y$2:$Y$600,0)</f>
        <v>Chairs</v>
      </c>
      <c r="M442" s="10" t="str">
        <f>_xlfn.XLOOKUP(B442,DataSet!$N$2:$N$600,DataSet!$Q$2:$Q$600,0)</f>
        <v>Global Deluxe Steno Chair</v>
      </c>
      <c r="N442" s="16">
        <f>_xlfn.XLOOKUP(B442,DataSet!$N$2:$N$600,DataSet!$AA$2:$AA$600,0)</f>
        <v>207.846</v>
      </c>
      <c r="O442" s="10">
        <f>_xlfn.XLOOKUP(B442,DataSet!$N$2:$N$600,DataSet!$S$2:$S$600,0)</f>
        <v>3</v>
      </c>
      <c r="P442" s="15">
        <f>_xlfn.XLOOKUP(B442,DataSet!$N$2:$N$600,DataSet!$T$2:$T$600,0)</f>
        <v>0.1</v>
      </c>
      <c r="Q442" s="14">
        <f>_xlfn.XLOOKUP(B442,DataSet!$N$2:$N$600,DataSet!$U$2:$U$600,0)</f>
        <v>2.3094000000000001</v>
      </c>
      <c r="R442" s="16">
        <f>_xlfn.XLOOKUP(B442,DataSet!$N$2:$N$600,DataSet!$AB$2:$AB$600,0)</f>
        <v>623.53800000000001</v>
      </c>
      <c r="S442" s="9">
        <f>_xlfn.XLOOKUP(B442,DataSet!$N$2:$N$600,DataSet!$AC$2:$AC$600,0)</f>
        <v>561.18420000000003</v>
      </c>
    </row>
    <row r="443" spans="1:19" s="12" customFormat="1" x14ac:dyDescent="0.3">
      <c r="A443" s="27">
        <v>441</v>
      </c>
      <c r="B443" s="10" t="s">
        <v>1543</v>
      </c>
      <c r="C443" s="10" t="str">
        <f>_xlfn.XLOOKUP(B443,DataSet!$N$2:$N$600,DataSet!$AF$2:$AF$600,0)</f>
        <v>115756</v>
      </c>
      <c r="D443" s="10" t="str">
        <f>_xlfn.XLOOKUP(B443,DataSet!$N$2:$N$600,DataSet!$G$2:$G$600,0)</f>
        <v>Pete Kriz</v>
      </c>
      <c r="E443" s="10" t="str">
        <f>_xlfn.XLOOKUP(B443,DataSet!$N$2:$N$600,DataSet!$F$2:$F$600,0)</f>
        <v>PK-19075</v>
      </c>
      <c r="F443" s="10" t="str">
        <f>_xlfn.XLOOKUP(B443,DataSet!$N$2:$N$600,DataSet!$W$2:$W$600,0)</f>
        <v>Consumer</v>
      </c>
      <c r="G443" s="13">
        <f>_xlfn.XLOOKUP(B443,DataSet!$N$2:$N$600,DataSet!$C$2:$C$600,0)</f>
        <v>42618</v>
      </c>
      <c r="H443" s="10" t="str">
        <f>_xlfn.XLOOKUP(B443,DataSet!$N$2:$N$600,DataSet!$I$2:$I$600,0)</f>
        <v>United States</v>
      </c>
      <c r="I443" s="10" t="str">
        <f>_xlfn.XLOOKUP(B443,DataSet!$N$2:$N$600,DataSet!$X$2:$X$600,0)</f>
        <v>Detroit - Michigan</v>
      </c>
      <c r="J443" s="10" t="str">
        <f>_xlfn.XLOOKUP(B443,DataSet!$N$2:$N$600,DataSet!$M$2:$M$600,0)</f>
        <v>Central</v>
      </c>
      <c r="K443" s="10" t="str">
        <f>_xlfn.XLOOKUP(B443,DataSet!$N$2:$N$600,DataSet!$O$2:$O$600,0)</f>
        <v>Furniture</v>
      </c>
      <c r="L443" s="10" t="str">
        <f>_xlfn.XLOOKUP(B443,DataSet!$N$2:$N$600,DataSet!$Y$2:$Y$600,0)</f>
        <v>Furnishings</v>
      </c>
      <c r="M443" s="10" t="str">
        <f>_xlfn.XLOOKUP(B443,DataSet!$N$2:$N$600,DataSet!$Q$2:$Q$600,0)</f>
        <v>Aluminum Document Frame</v>
      </c>
      <c r="N443" s="16">
        <f>_xlfn.XLOOKUP(B443,DataSet!$N$2:$N$600,DataSet!$AA$2:$AA$600,0)</f>
        <v>12.22</v>
      </c>
      <c r="O443" s="10">
        <f>_xlfn.XLOOKUP(B443,DataSet!$N$2:$N$600,DataSet!$S$2:$S$600,0)</f>
        <v>1</v>
      </c>
      <c r="P443" s="15">
        <f>_xlfn.XLOOKUP(B443,DataSet!$N$2:$N$600,DataSet!$T$2:$T$600,0)</f>
        <v>0</v>
      </c>
      <c r="Q443" s="14">
        <f>_xlfn.XLOOKUP(B443,DataSet!$N$2:$N$600,DataSet!$U$2:$U$600,0)</f>
        <v>3.6659999999999999</v>
      </c>
      <c r="R443" s="16">
        <f>_xlfn.XLOOKUP(B443,DataSet!$N$2:$N$600,DataSet!$AB$2:$AB$600,0)</f>
        <v>12.22</v>
      </c>
      <c r="S443" s="9">
        <f>_xlfn.XLOOKUP(B443,DataSet!$N$2:$N$600,DataSet!$AC$2:$AC$600,0)</f>
        <v>12.22</v>
      </c>
    </row>
    <row r="444" spans="1:19" s="12" customFormat="1" x14ac:dyDescent="0.3">
      <c r="A444" s="27">
        <v>442</v>
      </c>
      <c r="B444" s="10" t="s">
        <v>1545</v>
      </c>
      <c r="C444" s="10" t="str">
        <f>_xlfn.XLOOKUP(B444,DataSet!$N$2:$N$600,DataSet!$AF$2:$AF$600,0)</f>
        <v>115756</v>
      </c>
      <c r="D444" s="10" t="str">
        <f>_xlfn.XLOOKUP(B444,DataSet!$N$2:$N$600,DataSet!$G$2:$G$600,0)</f>
        <v>Pete Kriz</v>
      </c>
      <c r="E444" s="10" t="str">
        <f>_xlfn.XLOOKUP(B444,DataSet!$N$2:$N$600,DataSet!$F$2:$F$600,0)</f>
        <v>PK-19075</v>
      </c>
      <c r="F444" s="10" t="str">
        <f>_xlfn.XLOOKUP(B444,DataSet!$N$2:$N$600,DataSet!$W$2:$W$600,0)</f>
        <v>Consumer</v>
      </c>
      <c r="G444" s="13">
        <f>_xlfn.XLOOKUP(B444,DataSet!$N$2:$N$600,DataSet!$C$2:$C$600,0)</f>
        <v>42618</v>
      </c>
      <c r="H444" s="10" t="str">
        <f>_xlfn.XLOOKUP(B444,DataSet!$N$2:$N$600,DataSet!$I$2:$I$600,0)</f>
        <v>United States</v>
      </c>
      <c r="I444" s="10" t="str">
        <f>_xlfn.XLOOKUP(B444,DataSet!$N$2:$N$600,DataSet!$X$2:$X$600,0)</f>
        <v>Detroit - Michigan</v>
      </c>
      <c r="J444" s="10" t="str">
        <f>_xlfn.XLOOKUP(B444,DataSet!$N$2:$N$600,DataSet!$M$2:$M$600,0)</f>
        <v>Central</v>
      </c>
      <c r="K444" s="10" t="str">
        <f>_xlfn.XLOOKUP(B444,DataSet!$N$2:$N$600,DataSet!$O$2:$O$600,0)</f>
        <v>Office Supplies</v>
      </c>
      <c r="L444" s="10" t="str">
        <f>_xlfn.XLOOKUP(B444,DataSet!$N$2:$N$600,DataSet!$Y$2:$Y$600,0)</f>
        <v>Storage</v>
      </c>
      <c r="M444" s="10" t="str">
        <f>_xlfn.XLOOKUP(B444,DataSet!$N$2:$N$600,DataSet!$Q$2:$Q$600,0)</f>
        <v>Fellowes Bankers Box Staxonsteel Drawer File/Stacking System</v>
      </c>
      <c r="N444" s="16">
        <f>_xlfn.XLOOKUP(B444,DataSet!$N$2:$N$600,DataSet!$AA$2:$AA$600,0)</f>
        <v>194.94</v>
      </c>
      <c r="O444" s="10">
        <f>_xlfn.XLOOKUP(B444,DataSet!$N$2:$N$600,DataSet!$S$2:$S$600,0)</f>
        <v>3</v>
      </c>
      <c r="P444" s="15">
        <f>_xlfn.XLOOKUP(B444,DataSet!$N$2:$N$600,DataSet!$T$2:$T$600,0)</f>
        <v>0</v>
      </c>
      <c r="Q444" s="14">
        <f>_xlfn.XLOOKUP(B444,DataSet!$N$2:$N$600,DataSet!$U$2:$U$600,0)</f>
        <v>23.392800000000001</v>
      </c>
      <c r="R444" s="16">
        <f>_xlfn.XLOOKUP(B444,DataSet!$N$2:$N$600,DataSet!$AB$2:$AB$600,0)</f>
        <v>584.81999999999994</v>
      </c>
      <c r="S444" s="9">
        <f>_xlfn.XLOOKUP(B444,DataSet!$N$2:$N$600,DataSet!$AC$2:$AC$600,0)</f>
        <v>584.81999999999994</v>
      </c>
    </row>
    <row r="445" spans="1:19" s="12" customFormat="1" x14ac:dyDescent="0.3">
      <c r="A445" s="27">
        <v>443</v>
      </c>
      <c r="B445" s="10" t="s">
        <v>1547</v>
      </c>
      <c r="C445" s="10" t="str">
        <f>_xlfn.XLOOKUP(B445,DataSet!$N$2:$N$600,DataSet!$AF$2:$AF$600,0)</f>
        <v>115756</v>
      </c>
      <c r="D445" s="10" t="str">
        <f>_xlfn.XLOOKUP(B445,DataSet!$N$2:$N$600,DataSet!$G$2:$G$600,0)</f>
        <v>Pete Kriz</v>
      </c>
      <c r="E445" s="10" t="str">
        <f>_xlfn.XLOOKUP(B445,DataSet!$N$2:$N$600,DataSet!$F$2:$F$600,0)</f>
        <v>PK-19075</v>
      </c>
      <c r="F445" s="10" t="str">
        <f>_xlfn.XLOOKUP(B445,DataSet!$N$2:$N$600,DataSet!$W$2:$W$600,0)</f>
        <v>Consumer</v>
      </c>
      <c r="G445" s="13">
        <f>_xlfn.XLOOKUP(B445,DataSet!$N$2:$N$600,DataSet!$C$2:$C$600,0)</f>
        <v>42618</v>
      </c>
      <c r="H445" s="10" t="str">
        <f>_xlfn.XLOOKUP(B445,DataSet!$N$2:$N$600,DataSet!$I$2:$I$600,0)</f>
        <v>United States</v>
      </c>
      <c r="I445" s="10" t="str">
        <f>_xlfn.XLOOKUP(B445,DataSet!$N$2:$N$600,DataSet!$X$2:$X$600,0)</f>
        <v>Detroit - Michigan</v>
      </c>
      <c r="J445" s="10" t="str">
        <f>_xlfn.XLOOKUP(B445,DataSet!$N$2:$N$600,DataSet!$M$2:$M$600,0)</f>
        <v>Central</v>
      </c>
      <c r="K445" s="10" t="str">
        <f>_xlfn.XLOOKUP(B445,DataSet!$N$2:$N$600,DataSet!$O$2:$O$600,0)</f>
        <v>Office Supplies</v>
      </c>
      <c r="L445" s="10" t="str">
        <f>_xlfn.XLOOKUP(B445,DataSet!$N$2:$N$600,DataSet!$Y$2:$Y$600,0)</f>
        <v>Storage</v>
      </c>
      <c r="M445" s="10" t="str">
        <f>_xlfn.XLOOKUP(B445,DataSet!$N$2:$N$600,DataSet!$Q$2:$Q$600,0)</f>
        <v>Eldon Mobile Mega Data Cart  Mega Stackable  Add-On Trays</v>
      </c>
      <c r="N445" s="16">
        <f>_xlfn.XLOOKUP(B445,DataSet!$N$2:$N$600,DataSet!$AA$2:$AA$600,0)</f>
        <v>70.95</v>
      </c>
      <c r="O445" s="10">
        <f>_xlfn.XLOOKUP(B445,DataSet!$N$2:$N$600,DataSet!$S$2:$S$600,0)</f>
        <v>3</v>
      </c>
      <c r="P445" s="15">
        <f>_xlfn.XLOOKUP(B445,DataSet!$N$2:$N$600,DataSet!$T$2:$T$600,0)</f>
        <v>0</v>
      </c>
      <c r="Q445" s="14">
        <f>_xlfn.XLOOKUP(B445,DataSet!$N$2:$N$600,DataSet!$U$2:$U$600,0)</f>
        <v>20.575500000000002</v>
      </c>
      <c r="R445" s="16">
        <f>_xlfn.XLOOKUP(B445,DataSet!$N$2:$N$600,DataSet!$AB$2:$AB$600,0)</f>
        <v>212.85000000000002</v>
      </c>
      <c r="S445" s="9">
        <f>_xlfn.XLOOKUP(B445,DataSet!$N$2:$N$600,DataSet!$AC$2:$AC$600,0)</f>
        <v>212.85000000000002</v>
      </c>
    </row>
    <row r="446" spans="1:19" s="12" customFormat="1" x14ac:dyDescent="0.3">
      <c r="A446" s="27">
        <v>444</v>
      </c>
      <c r="B446" s="10" t="s">
        <v>1549</v>
      </c>
      <c r="C446" s="10" t="str">
        <f>_xlfn.XLOOKUP(B446,DataSet!$N$2:$N$600,DataSet!$AF$2:$AF$600,0)</f>
        <v>115756</v>
      </c>
      <c r="D446" s="10" t="str">
        <f>_xlfn.XLOOKUP(B446,DataSet!$N$2:$N$600,DataSet!$G$2:$G$600,0)</f>
        <v>Pete Kriz</v>
      </c>
      <c r="E446" s="10" t="str">
        <f>_xlfn.XLOOKUP(B446,DataSet!$N$2:$N$600,DataSet!$F$2:$F$600,0)</f>
        <v>PK-19075</v>
      </c>
      <c r="F446" s="10" t="str">
        <f>_xlfn.XLOOKUP(B446,DataSet!$N$2:$N$600,DataSet!$W$2:$W$600,0)</f>
        <v>Consumer</v>
      </c>
      <c r="G446" s="13">
        <f>_xlfn.XLOOKUP(B446,DataSet!$N$2:$N$600,DataSet!$C$2:$C$600,0)</f>
        <v>42618</v>
      </c>
      <c r="H446" s="10" t="str">
        <f>_xlfn.XLOOKUP(B446,DataSet!$N$2:$N$600,DataSet!$I$2:$I$600,0)</f>
        <v>United States</v>
      </c>
      <c r="I446" s="10" t="str">
        <f>_xlfn.XLOOKUP(B446,DataSet!$N$2:$N$600,DataSet!$X$2:$X$600,0)</f>
        <v>Detroit - Michigan</v>
      </c>
      <c r="J446" s="10" t="str">
        <f>_xlfn.XLOOKUP(B446,DataSet!$N$2:$N$600,DataSet!$M$2:$M$600,0)</f>
        <v>Central</v>
      </c>
      <c r="K446" s="10" t="str">
        <f>_xlfn.XLOOKUP(B446,DataSet!$N$2:$N$600,DataSet!$O$2:$O$600,0)</f>
        <v>Office Supplies</v>
      </c>
      <c r="L446" s="10" t="str">
        <f>_xlfn.XLOOKUP(B446,DataSet!$N$2:$N$600,DataSet!$Y$2:$Y$600,0)</f>
        <v>Paper</v>
      </c>
      <c r="M446" s="10" t="str">
        <f>_xlfn.XLOOKUP(B446,DataSet!$N$2:$N$600,DataSet!$Q$2:$Q$600,0)</f>
        <v>Xerox Color Copier Paper, 11" x 17", Ream</v>
      </c>
      <c r="N446" s="16">
        <f>_xlfn.XLOOKUP(B446,DataSet!$N$2:$N$600,DataSet!$AA$2:$AA$600,0)</f>
        <v>91.36</v>
      </c>
      <c r="O446" s="10">
        <f>_xlfn.XLOOKUP(B446,DataSet!$N$2:$N$600,DataSet!$S$2:$S$600,0)</f>
        <v>4</v>
      </c>
      <c r="P446" s="15">
        <f>_xlfn.XLOOKUP(B446,DataSet!$N$2:$N$600,DataSet!$T$2:$T$600,0)</f>
        <v>0</v>
      </c>
      <c r="Q446" s="14">
        <f>_xlfn.XLOOKUP(B446,DataSet!$N$2:$N$600,DataSet!$U$2:$U$600,0)</f>
        <v>42.025599999999997</v>
      </c>
      <c r="R446" s="16">
        <f>_xlfn.XLOOKUP(B446,DataSet!$N$2:$N$600,DataSet!$AB$2:$AB$600,0)</f>
        <v>365.44</v>
      </c>
      <c r="S446" s="9">
        <f>_xlfn.XLOOKUP(B446,DataSet!$N$2:$N$600,DataSet!$AC$2:$AC$600,0)</f>
        <v>365.44</v>
      </c>
    </row>
    <row r="447" spans="1:19" s="12" customFormat="1" x14ac:dyDescent="0.3">
      <c r="A447" s="27">
        <v>445</v>
      </c>
      <c r="B447" s="10" t="s">
        <v>1551</v>
      </c>
      <c r="C447" s="10" t="str">
        <f>_xlfn.XLOOKUP(B447,DataSet!$N$2:$N$600,DataSet!$AF$2:$AF$600,0)</f>
        <v>115756</v>
      </c>
      <c r="D447" s="10" t="str">
        <f>_xlfn.XLOOKUP(B447,DataSet!$N$2:$N$600,DataSet!$G$2:$G$600,0)</f>
        <v>Pete Kriz</v>
      </c>
      <c r="E447" s="10" t="str">
        <f>_xlfn.XLOOKUP(B447,DataSet!$N$2:$N$600,DataSet!$F$2:$F$600,0)</f>
        <v>PK-19075</v>
      </c>
      <c r="F447" s="10" t="str">
        <f>_xlfn.XLOOKUP(B447,DataSet!$N$2:$N$600,DataSet!$W$2:$W$600,0)</f>
        <v>Consumer</v>
      </c>
      <c r="G447" s="13">
        <f>_xlfn.XLOOKUP(B447,DataSet!$N$2:$N$600,DataSet!$C$2:$C$600,0)</f>
        <v>42618</v>
      </c>
      <c r="H447" s="10" t="str">
        <f>_xlfn.XLOOKUP(B447,DataSet!$N$2:$N$600,DataSet!$I$2:$I$600,0)</f>
        <v>United States</v>
      </c>
      <c r="I447" s="10" t="str">
        <f>_xlfn.XLOOKUP(B447,DataSet!$N$2:$N$600,DataSet!$X$2:$X$600,0)</f>
        <v>Detroit - Michigan</v>
      </c>
      <c r="J447" s="10" t="str">
        <f>_xlfn.XLOOKUP(B447,DataSet!$N$2:$N$600,DataSet!$M$2:$M$600,0)</f>
        <v>Central</v>
      </c>
      <c r="K447" s="10" t="str">
        <f>_xlfn.XLOOKUP(B447,DataSet!$N$2:$N$600,DataSet!$O$2:$O$600,0)</f>
        <v>Furniture</v>
      </c>
      <c r="L447" s="10" t="str">
        <f>_xlfn.XLOOKUP(B447,DataSet!$N$2:$N$600,DataSet!$Y$2:$Y$600,0)</f>
        <v>Chairs</v>
      </c>
      <c r="M447" s="10" t="str">
        <f>_xlfn.XLOOKUP(B447,DataSet!$N$2:$N$600,DataSet!$Q$2:$Q$600,0)</f>
        <v>Office Star - Ergonomically Designed Knee Chair</v>
      </c>
      <c r="N447" s="16">
        <f>_xlfn.XLOOKUP(B447,DataSet!$N$2:$N$600,DataSet!$AA$2:$AA$600,0)</f>
        <v>242.94</v>
      </c>
      <c r="O447" s="10">
        <f>_xlfn.XLOOKUP(B447,DataSet!$N$2:$N$600,DataSet!$S$2:$S$600,0)</f>
        <v>3</v>
      </c>
      <c r="P447" s="15">
        <f>_xlfn.XLOOKUP(B447,DataSet!$N$2:$N$600,DataSet!$T$2:$T$600,0)</f>
        <v>0</v>
      </c>
      <c r="Q447" s="14">
        <f>_xlfn.XLOOKUP(B447,DataSet!$N$2:$N$600,DataSet!$U$2:$U$600,0)</f>
        <v>29.152799999999999</v>
      </c>
      <c r="R447" s="16">
        <f>_xlfn.XLOOKUP(B447,DataSet!$N$2:$N$600,DataSet!$AB$2:$AB$600,0)</f>
        <v>728.81999999999994</v>
      </c>
      <c r="S447" s="9">
        <f>_xlfn.XLOOKUP(B447,DataSet!$N$2:$N$600,DataSet!$AC$2:$AC$600,0)</f>
        <v>728.81999999999994</v>
      </c>
    </row>
    <row r="448" spans="1:19" s="12" customFormat="1" x14ac:dyDescent="0.3">
      <c r="A448" s="27">
        <v>446</v>
      </c>
      <c r="B448" s="10" t="s">
        <v>1553</v>
      </c>
      <c r="C448" s="10" t="str">
        <f>_xlfn.XLOOKUP(B448,DataSet!$N$2:$N$600,DataSet!$AF$2:$AF$600,0)</f>
        <v>115756</v>
      </c>
      <c r="D448" s="10" t="str">
        <f>_xlfn.XLOOKUP(B448,DataSet!$N$2:$N$600,DataSet!$G$2:$G$600,0)</f>
        <v>Pete Kriz</v>
      </c>
      <c r="E448" s="10" t="str">
        <f>_xlfn.XLOOKUP(B448,DataSet!$N$2:$N$600,DataSet!$F$2:$F$600,0)</f>
        <v>PK-19075</v>
      </c>
      <c r="F448" s="10" t="str">
        <f>_xlfn.XLOOKUP(B448,DataSet!$N$2:$N$600,DataSet!$W$2:$W$600,0)</f>
        <v>Consumer</v>
      </c>
      <c r="G448" s="13">
        <f>_xlfn.XLOOKUP(B448,DataSet!$N$2:$N$600,DataSet!$C$2:$C$600,0)</f>
        <v>42618</v>
      </c>
      <c r="H448" s="10" t="str">
        <f>_xlfn.XLOOKUP(B448,DataSet!$N$2:$N$600,DataSet!$I$2:$I$600,0)</f>
        <v>United States</v>
      </c>
      <c r="I448" s="10" t="str">
        <f>_xlfn.XLOOKUP(B448,DataSet!$N$2:$N$600,DataSet!$X$2:$X$600,0)</f>
        <v>Detroit - Michigan</v>
      </c>
      <c r="J448" s="10" t="str">
        <f>_xlfn.XLOOKUP(B448,DataSet!$N$2:$N$600,DataSet!$M$2:$M$600,0)</f>
        <v>Central</v>
      </c>
      <c r="K448" s="10" t="str">
        <f>_xlfn.XLOOKUP(B448,DataSet!$N$2:$N$600,DataSet!$O$2:$O$600,0)</f>
        <v>Office Supplies</v>
      </c>
      <c r="L448" s="10" t="str">
        <f>_xlfn.XLOOKUP(B448,DataSet!$N$2:$N$600,DataSet!$Y$2:$Y$600,0)</f>
        <v>Labels</v>
      </c>
      <c r="M448" s="10" t="str">
        <f>_xlfn.XLOOKUP(B448,DataSet!$N$2:$N$600,DataSet!$Q$2:$Q$600,0)</f>
        <v>Avery 520</v>
      </c>
      <c r="N448" s="16">
        <f>_xlfn.XLOOKUP(B448,DataSet!$N$2:$N$600,DataSet!$AA$2:$AA$600,0)</f>
        <v>22.05</v>
      </c>
      <c r="O448" s="10">
        <f>_xlfn.XLOOKUP(B448,DataSet!$N$2:$N$600,DataSet!$S$2:$S$600,0)</f>
        <v>7</v>
      </c>
      <c r="P448" s="15">
        <f>_xlfn.XLOOKUP(B448,DataSet!$N$2:$N$600,DataSet!$T$2:$T$600,0)</f>
        <v>0</v>
      </c>
      <c r="Q448" s="14">
        <f>_xlfn.XLOOKUP(B448,DataSet!$N$2:$N$600,DataSet!$U$2:$U$600,0)</f>
        <v>10.584</v>
      </c>
      <c r="R448" s="16">
        <f>_xlfn.XLOOKUP(B448,DataSet!$N$2:$N$600,DataSet!$AB$2:$AB$600,0)</f>
        <v>154.35</v>
      </c>
      <c r="S448" s="9">
        <f>_xlfn.XLOOKUP(B448,DataSet!$N$2:$N$600,DataSet!$AC$2:$AC$600,0)</f>
        <v>154.35</v>
      </c>
    </row>
    <row r="449" spans="1:19" s="12" customFormat="1" x14ac:dyDescent="0.3">
      <c r="A449" s="27">
        <v>447</v>
      </c>
      <c r="B449" s="10" t="s">
        <v>1558</v>
      </c>
      <c r="C449" s="10" t="str">
        <f>_xlfn.XLOOKUP(B449,DataSet!$N$2:$N$600,DataSet!$AF$2:$AF$600,0)</f>
        <v>154214</v>
      </c>
      <c r="D449" s="10" t="str">
        <f>_xlfn.XLOOKUP(B449,DataSet!$N$2:$N$600,DataSet!$G$2:$G$600,0)</f>
        <v>Troy Blackwell</v>
      </c>
      <c r="E449" s="10" t="str">
        <f>_xlfn.XLOOKUP(B449,DataSet!$N$2:$N$600,DataSet!$F$2:$F$600,0)</f>
        <v>TB-21595</v>
      </c>
      <c r="F449" s="10" t="str">
        <f>_xlfn.XLOOKUP(B449,DataSet!$N$2:$N$600,DataSet!$W$2:$W$600,0)</f>
        <v>Consumer</v>
      </c>
      <c r="G449" s="13">
        <f>_xlfn.XLOOKUP(B449,DataSet!$N$2:$N$600,DataSet!$C$2:$C$600,0)</f>
        <v>42814</v>
      </c>
      <c r="H449" s="10" t="str">
        <f>_xlfn.XLOOKUP(B449,DataSet!$N$2:$N$600,DataSet!$I$2:$I$600,0)</f>
        <v>United States</v>
      </c>
      <c r="I449" s="10" t="str">
        <f>_xlfn.XLOOKUP(B449,DataSet!$N$2:$N$600,DataSet!$X$2:$X$600,0)</f>
        <v>Columbus - Indiana</v>
      </c>
      <c r="J449" s="10" t="str">
        <f>_xlfn.XLOOKUP(B449,DataSet!$N$2:$N$600,DataSet!$M$2:$M$600,0)</f>
        <v>Central</v>
      </c>
      <c r="K449" s="10" t="str">
        <f>_xlfn.XLOOKUP(B449,DataSet!$N$2:$N$600,DataSet!$O$2:$O$600,0)</f>
        <v>Furniture</v>
      </c>
      <c r="L449" s="10" t="str">
        <f>_xlfn.XLOOKUP(B449,DataSet!$N$2:$N$600,DataSet!$Y$2:$Y$600,0)</f>
        <v>Furnishings</v>
      </c>
      <c r="M449" s="10" t="str">
        <f>_xlfn.XLOOKUP(B449,DataSet!$N$2:$N$600,DataSet!$Q$2:$Q$600,0)</f>
        <v>GE General Purpose, Extra Long Life, Showcase &amp; Floodlight Incandescent Bulbs</v>
      </c>
      <c r="N449" s="16">
        <f>_xlfn.XLOOKUP(B449,DataSet!$N$2:$N$600,DataSet!$AA$2:$AA$600,0)</f>
        <v>2.91</v>
      </c>
      <c r="O449" s="10">
        <f>_xlfn.XLOOKUP(B449,DataSet!$N$2:$N$600,DataSet!$S$2:$S$600,0)</f>
        <v>1</v>
      </c>
      <c r="P449" s="15">
        <f>_xlfn.XLOOKUP(B449,DataSet!$N$2:$N$600,DataSet!$T$2:$T$600,0)</f>
        <v>0</v>
      </c>
      <c r="Q449" s="14">
        <f>_xlfn.XLOOKUP(B449,DataSet!$N$2:$N$600,DataSet!$U$2:$U$600,0)</f>
        <v>1.3676999999999999</v>
      </c>
      <c r="R449" s="16">
        <f>_xlfn.XLOOKUP(B449,DataSet!$N$2:$N$600,DataSet!$AB$2:$AB$600,0)</f>
        <v>2.91</v>
      </c>
      <c r="S449" s="9">
        <f>_xlfn.XLOOKUP(B449,DataSet!$N$2:$N$600,DataSet!$AC$2:$AC$600,0)</f>
        <v>2.91</v>
      </c>
    </row>
    <row r="450" spans="1:19" s="12" customFormat="1" x14ac:dyDescent="0.3">
      <c r="A450" s="27">
        <v>448</v>
      </c>
      <c r="B450" s="10" t="s">
        <v>1564</v>
      </c>
      <c r="C450" s="10" t="str">
        <f>_xlfn.XLOOKUP(B450,DataSet!$N$2:$N$600,DataSet!$AF$2:$AF$600,0)</f>
        <v>166674</v>
      </c>
      <c r="D450" s="10" t="str">
        <f>_xlfn.XLOOKUP(B450,DataSet!$N$2:$N$600,DataSet!$G$2:$G$600,0)</f>
        <v>Raymond Buch</v>
      </c>
      <c r="E450" s="10" t="str">
        <f>_xlfn.XLOOKUP(B450,DataSet!$N$2:$N$600,DataSet!$F$2:$F$600,0)</f>
        <v>RB-19360</v>
      </c>
      <c r="F450" s="10" t="str">
        <f>_xlfn.XLOOKUP(B450,DataSet!$N$2:$N$600,DataSet!$W$2:$W$600,0)</f>
        <v>Consumer</v>
      </c>
      <c r="G450" s="13">
        <f>_xlfn.XLOOKUP(B450,DataSet!$N$2:$N$600,DataSet!$C$2:$C$600,0)</f>
        <v>42461</v>
      </c>
      <c r="H450" s="10" t="str">
        <f>_xlfn.XLOOKUP(B450,DataSet!$N$2:$N$600,DataSet!$I$2:$I$600,0)</f>
        <v>United States</v>
      </c>
      <c r="I450" s="10" t="str">
        <f>_xlfn.XLOOKUP(B450,DataSet!$N$2:$N$600,DataSet!$X$2:$X$600,0)</f>
        <v>Auburn - New York</v>
      </c>
      <c r="J450" s="10" t="str">
        <f>_xlfn.XLOOKUP(B450,DataSet!$N$2:$N$600,DataSet!$M$2:$M$600,0)</f>
        <v>East</v>
      </c>
      <c r="K450" s="10" t="str">
        <f>_xlfn.XLOOKUP(B450,DataSet!$N$2:$N$600,DataSet!$O$2:$O$600,0)</f>
        <v>Office Supplies</v>
      </c>
      <c r="L450" s="10" t="str">
        <f>_xlfn.XLOOKUP(B450,DataSet!$N$2:$N$600,DataSet!$Y$2:$Y$600,0)</f>
        <v>Art</v>
      </c>
      <c r="M450" s="10" t="str">
        <f>_xlfn.XLOOKUP(B450,DataSet!$N$2:$N$600,DataSet!$Q$2:$Q$600,0)</f>
        <v>Newell 345</v>
      </c>
      <c r="N450" s="16">
        <f>_xlfn.XLOOKUP(B450,DataSet!$N$2:$N$600,DataSet!$AA$2:$AA$600,0)</f>
        <v>59.52</v>
      </c>
      <c r="O450" s="10">
        <f>_xlfn.XLOOKUP(B450,DataSet!$N$2:$N$600,DataSet!$S$2:$S$600,0)</f>
        <v>3</v>
      </c>
      <c r="P450" s="15">
        <f>_xlfn.XLOOKUP(B450,DataSet!$N$2:$N$600,DataSet!$T$2:$T$600,0)</f>
        <v>0</v>
      </c>
      <c r="Q450" s="14">
        <f>_xlfn.XLOOKUP(B450,DataSet!$N$2:$N$600,DataSet!$U$2:$U$600,0)</f>
        <v>15.475199999999999</v>
      </c>
      <c r="R450" s="16">
        <f>_xlfn.XLOOKUP(B450,DataSet!$N$2:$N$600,DataSet!$AB$2:$AB$600,0)</f>
        <v>178.56</v>
      </c>
      <c r="S450" s="9">
        <f>_xlfn.XLOOKUP(B450,DataSet!$N$2:$N$600,DataSet!$AC$2:$AC$600,0)</f>
        <v>178.56</v>
      </c>
    </row>
    <row r="451" spans="1:19" s="12" customFormat="1" x14ac:dyDescent="0.3">
      <c r="A451" s="27">
        <v>449</v>
      </c>
      <c r="B451" s="10" t="s">
        <v>1566</v>
      </c>
      <c r="C451" s="10" t="str">
        <f>_xlfn.XLOOKUP(B451,DataSet!$N$2:$N$600,DataSet!$AF$2:$AF$600,0)</f>
        <v>166674</v>
      </c>
      <c r="D451" s="10" t="str">
        <f>_xlfn.XLOOKUP(B451,DataSet!$N$2:$N$600,DataSet!$G$2:$G$600,0)</f>
        <v>Raymond Buch</v>
      </c>
      <c r="E451" s="10" t="str">
        <f>_xlfn.XLOOKUP(B451,DataSet!$N$2:$N$600,DataSet!$F$2:$F$600,0)</f>
        <v>RB-19360</v>
      </c>
      <c r="F451" s="10" t="str">
        <f>_xlfn.XLOOKUP(B451,DataSet!$N$2:$N$600,DataSet!$W$2:$W$600,0)</f>
        <v>Consumer</v>
      </c>
      <c r="G451" s="13">
        <f>_xlfn.XLOOKUP(B451,DataSet!$N$2:$N$600,DataSet!$C$2:$C$600,0)</f>
        <v>42461</v>
      </c>
      <c r="H451" s="10" t="str">
        <f>_xlfn.XLOOKUP(B451,DataSet!$N$2:$N$600,DataSet!$I$2:$I$600,0)</f>
        <v>United States</v>
      </c>
      <c r="I451" s="10" t="str">
        <f>_xlfn.XLOOKUP(B451,DataSet!$N$2:$N$600,DataSet!$X$2:$X$600,0)</f>
        <v>Auburn - New York</v>
      </c>
      <c r="J451" s="10" t="str">
        <f>_xlfn.XLOOKUP(B451,DataSet!$N$2:$N$600,DataSet!$M$2:$M$600,0)</f>
        <v>East</v>
      </c>
      <c r="K451" s="10" t="str">
        <f>_xlfn.XLOOKUP(B451,DataSet!$N$2:$N$600,DataSet!$O$2:$O$600,0)</f>
        <v>Office Supplies</v>
      </c>
      <c r="L451" s="10" t="str">
        <f>_xlfn.XLOOKUP(B451,DataSet!$N$2:$N$600,DataSet!$Y$2:$Y$600,0)</f>
        <v>Storage</v>
      </c>
      <c r="M451" s="10" t="str">
        <f>_xlfn.XLOOKUP(B451,DataSet!$N$2:$N$600,DataSet!$Q$2:$Q$600,0)</f>
        <v>Fellowes Bankers Box Recycled Super Stor/Drawer</v>
      </c>
      <c r="N451" s="16">
        <f>_xlfn.XLOOKUP(B451,DataSet!$N$2:$N$600,DataSet!$AA$2:$AA$600,0)</f>
        <v>161.94</v>
      </c>
      <c r="O451" s="10">
        <f>_xlfn.XLOOKUP(B451,DataSet!$N$2:$N$600,DataSet!$S$2:$S$600,0)</f>
        <v>3</v>
      </c>
      <c r="P451" s="15">
        <f>_xlfn.XLOOKUP(B451,DataSet!$N$2:$N$600,DataSet!$T$2:$T$600,0)</f>
        <v>0</v>
      </c>
      <c r="Q451" s="14">
        <f>_xlfn.XLOOKUP(B451,DataSet!$N$2:$N$600,DataSet!$U$2:$U$600,0)</f>
        <v>9.7164000000000001</v>
      </c>
      <c r="R451" s="16">
        <f>_xlfn.XLOOKUP(B451,DataSet!$N$2:$N$600,DataSet!$AB$2:$AB$600,0)</f>
        <v>485.82</v>
      </c>
      <c r="S451" s="9">
        <f>_xlfn.XLOOKUP(B451,DataSet!$N$2:$N$600,DataSet!$AC$2:$AC$600,0)</f>
        <v>485.82</v>
      </c>
    </row>
    <row r="452" spans="1:19" s="12" customFormat="1" x14ac:dyDescent="0.3">
      <c r="A452" s="27">
        <v>450</v>
      </c>
      <c r="B452" s="10" t="s">
        <v>1568</v>
      </c>
      <c r="C452" s="10" t="str">
        <f>_xlfn.XLOOKUP(B452,DataSet!$N$2:$N$600,DataSet!$AF$2:$AF$600,0)</f>
        <v>166674</v>
      </c>
      <c r="D452" s="10" t="str">
        <f>_xlfn.XLOOKUP(B452,DataSet!$N$2:$N$600,DataSet!$G$2:$G$600,0)</f>
        <v>Raymond Buch</v>
      </c>
      <c r="E452" s="10" t="str">
        <f>_xlfn.XLOOKUP(B452,DataSet!$N$2:$N$600,DataSet!$F$2:$F$600,0)</f>
        <v>RB-19360</v>
      </c>
      <c r="F452" s="10" t="str">
        <f>_xlfn.XLOOKUP(B452,DataSet!$N$2:$N$600,DataSet!$W$2:$W$600,0)</f>
        <v>Consumer</v>
      </c>
      <c r="G452" s="13">
        <f>_xlfn.XLOOKUP(B452,DataSet!$N$2:$N$600,DataSet!$C$2:$C$600,0)</f>
        <v>42461</v>
      </c>
      <c r="H452" s="10" t="str">
        <f>_xlfn.XLOOKUP(B452,DataSet!$N$2:$N$600,DataSet!$I$2:$I$600,0)</f>
        <v>United States</v>
      </c>
      <c r="I452" s="10" t="str">
        <f>_xlfn.XLOOKUP(B452,DataSet!$N$2:$N$600,DataSet!$X$2:$X$600,0)</f>
        <v>Auburn - New York</v>
      </c>
      <c r="J452" s="10" t="str">
        <f>_xlfn.XLOOKUP(B452,DataSet!$N$2:$N$600,DataSet!$M$2:$M$600,0)</f>
        <v>East</v>
      </c>
      <c r="K452" s="10" t="str">
        <f>_xlfn.XLOOKUP(B452,DataSet!$N$2:$N$600,DataSet!$O$2:$O$600,0)</f>
        <v>Office Supplies</v>
      </c>
      <c r="L452" s="10" t="str">
        <f>_xlfn.XLOOKUP(B452,DataSet!$N$2:$N$600,DataSet!$Y$2:$Y$600,0)</f>
        <v>Art</v>
      </c>
      <c r="M452" s="10" t="str">
        <f>_xlfn.XLOOKUP(B452,DataSet!$N$2:$N$600,DataSet!$Q$2:$Q$600,0)</f>
        <v>Boston 1645 Deluxe Heavier-Duty Electric Pencil Sharpener</v>
      </c>
      <c r="N452" s="16">
        <f>_xlfn.XLOOKUP(B452,DataSet!$N$2:$N$600,DataSet!$AA$2:$AA$600,0)</f>
        <v>263.88</v>
      </c>
      <c r="O452" s="10">
        <f>_xlfn.XLOOKUP(B452,DataSet!$N$2:$N$600,DataSet!$S$2:$S$600,0)</f>
        <v>6</v>
      </c>
      <c r="P452" s="15">
        <f>_xlfn.XLOOKUP(B452,DataSet!$N$2:$N$600,DataSet!$T$2:$T$600,0)</f>
        <v>0</v>
      </c>
      <c r="Q452" s="14">
        <f>_xlfn.XLOOKUP(B452,DataSet!$N$2:$N$600,DataSet!$U$2:$U$600,0)</f>
        <v>71.247600000000006</v>
      </c>
      <c r="R452" s="16">
        <f>_xlfn.XLOOKUP(B452,DataSet!$N$2:$N$600,DataSet!$AB$2:$AB$600,0)</f>
        <v>1583.28</v>
      </c>
      <c r="S452" s="9">
        <f>_xlfn.XLOOKUP(B452,DataSet!$N$2:$N$600,DataSet!$AC$2:$AC$600,0)</f>
        <v>1583.28</v>
      </c>
    </row>
    <row r="453" spans="1:19" s="12" customFormat="1" x14ac:dyDescent="0.3">
      <c r="A453" s="27">
        <v>451</v>
      </c>
      <c r="B453" s="10" t="s">
        <v>1570</v>
      </c>
      <c r="C453" s="10" t="str">
        <f>_xlfn.XLOOKUP(B453,DataSet!$N$2:$N$600,DataSet!$AF$2:$AF$600,0)</f>
        <v>166674</v>
      </c>
      <c r="D453" s="10" t="str">
        <f>_xlfn.XLOOKUP(B453,DataSet!$N$2:$N$600,DataSet!$G$2:$G$600,0)</f>
        <v>Raymond Buch</v>
      </c>
      <c r="E453" s="10" t="str">
        <f>_xlfn.XLOOKUP(B453,DataSet!$N$2:$N$600,DataSet!$F$2:$F$600,0)</f>
        <v>RB-19360</v>
      </c>
      <c r="F453" s="10" t="str">
        <f>_xlfn.XLOOKUP(B453,DataSet!$N$2:$N$600,DataSet!$W$2:$W$600,0)</f>
        <v>Consumer</v>
      </c>
      <c r="G453" s="13">
        <f>_xlfn.XLOOKUP(B453,DataSet!$N$2:$N$600,DataSet!$C$2:$C$600,0)</f>
        <v>42461</v>
      </c>
      <c r="H453" s="10" t="str">
        <f>_xlfn.XLOOKUP(B453,DataSet!$N$2:$N$600,DataSet!$I$2:$I$600,0)</f>
        <v>United States</v>
      </c>
      <c r="I453" s="10" t="str">
        <f>_xlfn.XLOOKUP(B453,DataSet!$N$2:$N$600,DataSet!$X$2:$X$600,0)</f>
        <v>Auburn - New York</v>
      </c>
      <c r="J453" s="10" t="str">
        <f>_xlfn.XLOOKUP(B453,DataSet!$N$2:$N$600,DataSet!$M$2:$M$600,0)</f>
        <v>East</v>
      </c>
      <c r="K453" s="10" t="str">
        <f>_xlfn.XLOOKUP(B453,DataSet!$N$2:$N$600,DataSet!$O$2:$O$600,0)</f>
        <v>Office Supplies</v>
      </c>
      <c r="L453" s="10" t="str">
        <f>_xlfn.XLOOKUP(B453,DataSet!$N$2:$N$600,DataSet!$Y$2:$Y$600,0)</f>
        <v>Art</v>
      </c>
      <c r="M453" s="10" t="str">
        <f>_xlfn.XLOOKUP(B453,DataSet!$N$2:$N$600,DataSet!$Q$2:$Q$600,0)</f>
        <v>50 Colored Long Pencils</v>
      </c>
      <c r="N453" s="16">
        <f>_xlfn.XLOOKUP(B453,DataSet!$N$2:$N$600,DataSet!$AA$2:$AA$600,0)</f>
        <v>30.48</v>
      </c>
      <c r="O453" s="10">
        <f>_xlfn.XLOOKUP(B453,DataSet!$N$2:$N$600,DataSet!$S$2:$S$600,0)</f>
        <v>3</v>
      </c>
      <c r="P453" s="15">
        <f>_xlfn.XLOOKUP(B453,DataSet!$N$2:$N$600,DataSet!$T$2:$T$600,0)</f>
        <v>0</v>
      </c>
      <c r="Q453" s="14">
        <f>_xlfn.XLOOKUP(B453,DataSet!$N$2:$N$600,DataSet!$U$2:$U$600,0)</f>
        <v>7.9248000000000003</v>
      </c>
      <c r="R453" s="16">
        <f>_xlfn.XLOOKUP(B453,DataSet!$N$2:$N$600,DataSet!$AB$2:$AB$600,0)</f>
        <v>91.44</v>
      </c>
      <c r="S453" s="9">
        <f>_xlfn.XLOOKUP(B453,DataSet!$N$2:$N$600,DataSet!$AC$2:$AC$600,0)</f>
        <v>91.44</v>
      </c>
    </row>
    <row r="454" spans="1:19" s="12" customFormat="1" x14ac:dyDescent="0.3">
      <c r="A454" s="27">
        <v>452</v>
      </c>
      <c r="B454" s="10" t="s">
        <v>1572</v>
      </c>
      <c r="C454" s="10" t="str">
        <f>_xlfn.XLOOKUP(B454,DataSet!$N$2:$N$600,DataSet!$AF$2:$AF$600,0)</f>
        <v>166674</v>
      </c>
      <c r="D454" s="10" t="str">
        <f>_xlfn.XLOOKUP(B454,DataSet!$N$2:$N$600,DataSet!$G$2:$G$600,0)</f>
        <v>Raymond Buch</v>
      </c>
      <c r="E454" s="10" t="str">
        <f>_xlfn.XLOOKUP(B454,DataSet!$N$2:$N$600,DataSet!$F$2:$F$600,0)</f>
        <v>RB-19360</v>
      </c>
      <c r="F454" s="10" t="str">
        <f>_xlfn.XLOOKUP(B454,DataSet!$N$2:$N$600,DataSet!$W$2:$W$600,0)</f>
        <v>Consumer</v>
      </c>
      <c r="G454" s="13">
        <f>_xlfn.XLOOKUP(B454,DataSet!$N$2:$N$600,DataSet!$C$2:$C$600,0)</f>
        <v>42461</v>
      </c>
      <c r="H454" s="10" t="str">
        <f>_xlfn.XLOOKUP(B454,DataSet!$N$2:$N$600,DataSet!$I$2:$I$600,0)</f>
        <v>United States</v>
      </c>
      <c r="I454" s="10" t="str">
        <f>_xlfn.XLOOKUP(B454,DataSet!$N$2:$N$600,DataSet!$X$2:$X$600,0)</f>
        <v>Auburn - New York</v>
      </c>
      <c r="J454" s="10" t="str">
        <f>_xlfn.XLOOKUP(B454,DataSet!$N$2:$N$600,DataSet!$M$2:$M$600,0)</f>
        <v>East</v>
      </c>
      <c r="K454" s="10" t="str">
        <f>_xlfn.XLOOKUP(B454,DataSet!$N$2:$N$600,DataSet!$O$2:$O$600,0)</f>
        <v>Office Supplies</v>
      </c>
      <c r="L454" s="10" t="str">
        <f>_xlfn.XLOOKUP(B454,DataSet!$N$2:$N$600,DataSet!$Y$2:$Y$600,0)</f>
        <v>Art</v>
      </c>
      <c r="M454" s="10" t="str">
        <f>_xlfn.XLOOKUP(B454,DataSet!$N$2:$N$600,DataSet!$Q$2:$Q$600,0)</f>
        <v>Newell 342</v>
      </c>
      <c r="N454" s="16">
        <f>_xlfn.XLOOKUP(B454,DataSet!$N$2:$N$600,DataSet!$AA$2:$AA$600,0)</f>
        <v>9.84</v>
      </c>
      <c r="O454" s="10">
        <f>_xlfn.XLOOKUP(B454,DataSet!$N$2:$N$600,DataSet!$S$2:$S$600,0)</f>
        <v>3</v>
      </c>
      <c r="P454" s="15">
        <f>_xlfn.XLOOKUP(B454,DataSet!$N$2:$N$600,DataSet!$T$2:$T$600,0)</f>
        <v>0</v>
      </c>
      <c r="Q454" s="14">
        <f>_xlfn.XLOOKUP(B454,DataSet!$N$2:$N$600,DataSet!$U$2:$U$600,0)</f>
        <v>2.8536000000000001</v>
      </c>
      <c r="R454" s="16">
        <f>_xlfn.XLOOKUP(B454,DataSet!$N$2:$N$600,DataSet!$AB$2:$AB$600,0)</f>
        <v>29.52</v>
      </c>
      <c r="S454" s="9">
        <f>_xlfn.XLOOKUP(B454,DataSet!$N$2:$N$600,DataSet!$AC$2:$AC$600,0)</f>
        <v>29.52</v>
      </c>
    </row>
    <row r="455" spans="1:19" s="12" customFormat="1" x14ac:dyDescent="0.3">
      <c r="A455" s="27">
        <v>453</v>
      </c>
      <c r="B455" s="10" t="s">
        <v>1574</v>
      </c>
      <c r="C455" s="10" t="str">
        <f>_xlfn.XLOOKUP(B455,DataSet!$N$2:$N$600,DataSet!$AF$2:$AF$600,0)</f>
        <v>166674</v>
      </c>
      <c r="D455" s="10" t="str">
        <f>_xlfn.XLOOKUP(B455,DataSet!$N$2:$N$600,DataSet!$G$2:$G$600,0)</f>
        <v>Raymond Buch</v>
      </c>
      <c r="E455" s="10" t="str">
        <f>_xlfn.XLOOKUP(B455,DataSet!$N$2:$N$600,DataSet!$F$2:$F$600,0)</f>
        <v>RB-19360</v>
      </c>
      <c r="F455" s="10" t="str">
        <f>_xlfn.XLOOKUP(B455,DataSet!$N$2:$N$600,DataSet!$W$2:$W$600,0)</f>
        <v>Consumer</v>
      </c>
      <c r="G455" s="13">
        <f>_xlfn.XLOOKUP(B455,DataSet!$N$2:$N$600,DataSet!$C$2:$C$600,0)</f>
        <v>42461</v>
      </c>
      <c r="H455" s="10" t="str">
        <f>_xlfn.XLOOKUP(B455,DataSet!$N$2:$N$600,DataSet!$I$2:$I$600,0)</f>
        <v>United States</v>
      </c>
      <c r="I455" s="10" t="str">
        <f>_xlfn.XLOOKUP(B455,DataSet!$N$2:$N$600,DataSet!$X$2:$X$600,0)</f>
        <v>Auburn - New York</v>
      </c>
      <c r="J455" s="10" t="str">
        <f>_xlfn.XLOOKUP(B455,DataSet!$N$2:$N$600,DataSet!$M$2:$M$600,0)</f>
        <v>East</v>
      </c>
      <c r="K455" s="10" t="str">
        <f>_xlfn.XLOOKUP(B455,DataSet!$N$2:$N$600,DataSet!$O$2:$O$600,0)</f>
        <v>Technology</v>
      </c>
      <c r="L455" s="10" t="str">
        <f>_xlfn.XLOOKUP(B455,DataSet!$N$2:$N$600,DataSet!$Y$2:$Y$600,0)</f>
        <v>Phones</v>
      </c>
      <c r="M455" s="10" t="str">
        <f>_xlfn.XLOOKUP(B455,DataSet!$N$2:$N$600,DataSet!$Q$2:$Q$600,0)</f>
        <v>Belkin Grip Candy Sheer Case / Cover for iPhone 5 and 5S</v>
      </c>
      <c r="N455" s="16">
        <f>_xlfn.XLOOKUP(B455,DataSet!$N$2:$N$600,DataSet!$AA$2:$AA$600,0)</f>
        <v>35.119999999999997</v>
      </c>
      <c r="O455" s="10">
        <f>_xlfn.XLOOKUP(B455,DataSet!$N$2:$N$600,DataSet!$S$2:$S$600,0)</f>
        <v>4</v>
      </c>
      <c r="P455" s="15">
        <f>_xlfn.XLOOKUP(B455,DataSet!$N$2:$N$600,DataSet!$T$2:$T$600,0)</f>
        <v>0</v>
      </c>
      <c r="Q455" s="14">
        <f>_xlfn.XLOOKUP(B455,DataSet!$N$2:$N$600,DataSet!$U$2:$U$600,0)</f>
        <v>9.1311999999999998</v>
      </c>
      <c r="R455" s="16">
        <f>_xlfn.XLOOKUP(B455,DataSet!$N$2:$N$600,DataSet!$AB$2:$AB$600,0)</f>
        <v>140.47999999999999</v>
      </c>
      <c r="S455" s="9">
        <f>_xlfn.XLOOKUP(B455,DataSet!$N$2:$N$600,DataSet!$AC$2:$AC$600,0)</f>
        <v>140.47999999999999</v>
      </c>
    </row>
    <row r="456" spans="1:19" s="12" customFormat="1" x14ac:dyDescent="0.3">
      <c r="A456" s="27">
        <v>454</v>
      </c>
      <c r="B456" s="10" t="s">
        <v>78</v>
      </c>
      <c r="C456" s="10" t="str">
        <f>_xlfn.XLOOKUP(B456,DataSet!$N$2:$N$600,DataSet!$AF$2:$AF$600,0)</f>
        <v>115812</v>
      </c>
      <c r="D456" s="10" t="str">
        <f>_xlfn.XLOOKUP(B456,DataSet!$N$2:$N$600,DataSet!$G$2:$G$600,0)</f>
        <v>Brosina Hoffman</v>
      </c>
      <c r="E456" s="10" t="str">
        <f>_xlfn.XLOOKUP(B456,DataSet!$N$2:$N$600,DataSet!$F$2:$F$600,0)</f>
        <v>BH-11710</v>
      </c>
      <c r="F456" s="10" t="str">
        <f>_xlfn.XLOOKUP(B456,DataSet!$N$2:$N$600,DataSet!$W$2:$W$600,0)</f>
        <v>Consumer</v>
      </c>
      <c r="G456" s="13">
        <f>_xlfn.XLOOKUP(B456,DataSet!$N$2:$N$600,DataSet!$C$2:$C$600,0)</f>
        <v>41799</v>
      </c>
      <c r="H456" s="10" t="str">
        <f>_xlfn.XLOOKUP(B456,DataSet!$N$2:$N$600,DataSet!$I$2:$I$600,0)</f>
        <v>United States</v>
      </c>
      <c r="I456" s="10" t="str">
        <f>_xlfn.XLOOKUP(B456,DataSet!$N$2:$N$600,DataSet!$X$2:$X$600,0)</f>
        <v>Los Angeles - California</v>
      </c>
      <c r="J456" s="10" t="str">
        <f>_xlfn.XLOOKUP(B456,DataSet!$N$2:$N$600,DataSet!$M$2:$M$600,0)</f>
        <v>West</v>
      </c>
      <c r="K456" s="10" t="str">
        <f>_xlfn.XLOOKUP(B456,DataSet!$N$2:$N$600,DataSet!$O$2:$O$600,0)</f>
        <v>Furniture</v>
      </c>
      <c r="L456" s="10" t="str">
        <f>_xlfn.XLOOKUP(B456,DataSet!$N$2:$N$600,DataSet!$Y$2:$Y$600,0)</f>
        <v>Tables</v>
      </c>
      <c r="M456" s="10" t="str">
        <f>_xlfn.XLOOKUP(B456,DataSet!$N$2:$N$600,DataSet!$Q$2:$Q$600,0)</f>
        <v>Chromcraft Rectangular Conference Tables</v>
      </c>
      <c r="N456" s="16">
        <f>_xlfn.XLOOKUP(B456,DataSet!$N$2:$N$600,DataSet!$AA$2:$AA$600,0)</f>
        <v>1706.184</v>
      </c>
      <c r="O456" s="10">
        <f>_xlfn.XLOOKUP(B456,DataSet!$N$2:$N$600,DataSet!$S$2:$S$600,0)</f>
        <v>9</v>
      </c>
      <c r="P456" s="15">
        <f>_xlfn.XLOOKUP(B456,DataSet!$N$2:$N$600,DataSet!$T$2:$T$600,0)</f>
        <v>0.2</v>
      </c>
      <c r="Q456" s="14">
        <f>_xlfn.XLOOKUP(B456,DataSet!$N$2:$N$600,DataSet!$U$2:$U$600,0)</f>
        <v>85.309200000000004</v>
      </c>
      <c r="R456" s="16">
        <f>_xlfn.XLOOKUP(B456,DataSet!$N$2:$N$600,DataSet!$AB$2:$AB$600,0)</f>
        <v>15355.655999999999</v>
      </c>
      <c r="S456" s="9">
        <f>_xlfn.XLOOKUP(B456,DataSet!$N$2:$N$600,DataSet!$AC$2:$AC$600,0)</f>
        <v>12284.524799999999</v>
      </c>
    </row>
    <row r="457" spans="1:19" s="12" customFormat="1" x14ac:dyDescent="0.3">
      <c r="A457" s="27">
        <v>455</v>
      </c>
      <c r="B457" s="10" t="s">
        <v>1579</v>
      </c>
      <c r="C457" s="10" t="str">
        <f>_xlfn.XLOOKUP(B457,DataSet!$N$2:$N$600,DataSet!$AF$2:$AF$600,0)</f>
        <v>147277</v>
      </c>
      <c r="D457" s="10" t="str">
        <f>_xlfn.XLOOKUP(B457,DataSet!$N$2:$N$600,DataSet!$G$2:$G$600,0)</f>
        <v>Ed Braxton</v>
      </c>
      <c r="E457" s="10" t="str">
        <f>_xlfn.XLOOKUP(B457,DataSet!$N$2:$N$600,DataSet!$F$2:$F$600,0)</f>
        <v>EB-13705</v>
      </c>
      <c r="F457" s="10" t="str">
        <f>_xlfn.XLOOKUP(B457,DataSet!$N$2:$N$600,DataSet!$W$2:$W$600,0)</f>
        <v>Corporate</v>
      </c>
      <c r="G457" s="13">
        <f>_xlfn.XLOOKUP(B457,DataSet!$N$2:$N$600,DataSet!$C$2:$C$600,0)</f>
        <v>43028</v>
      </c>
      <c r="H457" s="10" t="str">
        <f>_xlfn.XLOOKUP(B457,DataSet!$N$2:$N$600,DataSet!$I$2:$I$600,0)</f>
        <v>United States</v>
      </c>
      <c r="I457" s="10" t="str">
        <f>_xlfn.XLOOKUP(B457,DataSet!$N$2:$N$600,DataSet!$X$2:$X$600,0)</f>
        <v>Akron - Ohio</v>
      </c>
      <c r="J457" s="10" t="str">
        <f>_xlfn.XLOOKUP(B457,DataSet!$N$2:$N$600,DataSet!$M$2:$M$600,0)</f>
        <v>East</v>
      </c>
      <c r="K457" s="10" t="str">
        <f>_xlfn.XLOOKUP(B457,DataSet!$N$2:$N$600,DataSet!$O$2:$O$600,0)</f>
        <v>Office Supplies</v>
      </c>
      <c r="L457" s="10" t="str">
        <f>_xlfn.XLOOKUP(B457,DataSet!$N$2:$N$600,DataSet!$Y$2:$Y$600,0)</f>
        <v>Storage</v>
      </c>
      <c r="M457" s="10" t="str">
        <f>_xlfn.XLOOKUP(B457,DataSet!$N$2:$N$600,DataSet!$Q$2:$Q$600,0)</f>
        <v>Deluxe Rollaway Locking File with Drawer</v>
      </c>
      <c r="N457" s="16">
        <f>_xlfn.XLOOKUP(B457,DataSet!$N$2:$N$600,DataSet!$AA$2:$AA$600,0)</f>
        <v>665.40800000000002</v>
      </c>
      <c r="O457" s="10">
        <f>_xlfn.XLOOKUP(B457,DataSet!$N$2:$N$600,DataSet!$S$2:$S$600,0)</f>
        <v>2</v>
      </c>
      <c r="P457" s="15">
        <f>_xlfn.XLOOKUP(B457,DataSet!$N$2:$N$600,DataSet!$T$2:$T$600,0)</f>
        <v>0.2</v>
      </c>
      <c r="Q457" s="14">
        <f>_xlfn.XLOOKUP(B457,DataSet!$N$2:$N$600,DataSet!$U$2:$U$600,0)</f>
        <v>66.540800000000004</v>
      </c>
      <c r="R457" s="16">
        <f>_xlfn.XLOOKUP(B457,DataSet!$N$2:$N$600,DataSet!$AB$2:$AB$600,0)</f>
        <v>1330.816</v>
      </c>
      <c r="S457" s="9">
        <f>_xlfn.XLOOKUP(B457,DataSet!$N$2:$N$600,DataSet!$AC$2:$AC$600,0)</f>
        <v>1064.6528000000001</v>
      </c>
    </row>
    <row r="458" spans="1:19" s="12" customFormat="1" x14ac:dyDescent="0.3">
      <c r="A458" s="27">
        <v>456</v>
      </c>
      <c r="B458" s="10" t="s">
        <v>1583</v>
      </c>
      <c r="C458" s="10" t="str">
        <f>_xlfn.XLOOKUP(B458,DataSet!$N$2:$N$600,DataSet!$AF$2:$AF$600,0)</f>
        <v>100153</v>
      </c>
      <c r="D458" s="10" t="str">
        <f>_xlfn.XLOOKUP(B458,DataSet!$N$2:$N$600,DataSet!$G$2:$G$600,0)</f>
        <v>Ken Heidel</v>
      </c>
      <c r="E458" s="10" t="str">
        <f>_xlfn.XLOOKUP(B458,DataSet!$N$2:$N$600,DataSet!$F$2:$F$600,0)</f>
        <v>KH-16630</v>
      </c>
      <c r="F458" s="10" t="str">
        <f>_xlfn.XLOOKUP(B458,DataSet!$N$2:$N$600,DataSet!$W$2:$W$600,0)</f>
        <v>Corporate</v>
      </c>
      <c r="G458" s="13">
        <f>_xlfn.XLOOKUP(B458,DataSet!$N$2:$N$600,DataSet!$C$2:$C$600,0)</f>
        <v>42717</v>
      </c>
      <c r="H458" s="10" t="str">
        <f>_xlfn.XLOOKUP(B458,DataSet!$N$2:$N$600,DataSet!$I$2:$I$600,0)</f>
        <v>United States</v>
      </c>
      <c r="I458" s="10" t="str">
        <f>_xlfn.XLOOKUP(B458,DataSet!$N$2:$N$600,DataSet!$X$2:$X$600,0)</f>
        <v>Norman - Oklahoma</v>
      </c>
      <c r="J458" s="10" t="str">
        <f>_xlfn.XLOOKUP(B458,DataSet!$N$2:$N$600,DataSet!$M$2:$M$600,0)</f>
        <v>Central</v>
      </c>
      <c r="K458" s="10" t="str">
        <f>_xlfn.XLOOKUP(B458,DataSet!$N$2:$N$600,DataSet!$O$2:$O$600,0)</f>
        <v>Technology</v>
      </c>
      <c r="L458" s="10" t="str">
        <f>_xlfn.XLOOKUP(B458,DataSet!$N$2:$N$600,DataSet!$Y$2:$Y$600,0)</f>
        <v>Accessories</v>
      </c>
      <c r="M458" s="10" t="str">
        <f>_xlfn.XLOOKUP(B458,DataSet!$N$2:$N$600,DataSet!$Q$2:$Q$600,0)</f>
        <v>Memorex Mini Travel Drive 16 GB USB 2.0 Flash Drive</v>
      </c>
      <c r="N458" s="16">
        <f>_xlfn.XLOOKUP(B458,DataSet!$N$2:$N$600,DataSet!$AA$2:$AA$600,0)</f>
        <v>63.88</v>
      </c>
      <c r="O458" s="10">
        <f>_xlfn.XLOOKUP(B458,DataSet!$N$2:$N$600,DataSet!$S$2:$S$600,0)</f>
        <v>4</v>
      </c>
      <c r="P458" s="15">
        <f>_xlfn.XLOOKUP(B458,DataSet!$N$2:$N$600,DataSet!$T$2:$T$600,0)</f>
        <v>0</v>
      </c>
      <c r="Q458" s="14">
        <f>_xlfn.XLOOKUP(B458,DataSet!$N$2:$N$600,DataSet!$U$2:$U$600,0)</f>
        <v>24.9132</v>
      </c>
      <c r="R458" s="16">
        <f>_xlfn.XLOOKUP(B458,DataSet!$N$2:$N$600,DataSet!$AB$2:$AB$600,0)</f>
        <v>255.52</v>
      </c>
      <c r="S458" s="9">
        <f>_xlfn.XLOOKUP(B458,DataSet!$N$2:$N$600,DataSet!$AC$2:$AC$600,0)</f>
        <v>255.52</v>
      </c>
    </row>
    <row r="459" spans="1:19" s="12" customFormat="1" x14ac:dyDescent="0.3">
      <c r="A459" s="27">
        <v>457</v>
      </c>
      <c r="B459" s="10" t="s">
        <v>1588</v>
      </c>
      <c r="C459" s="10" t="str">
        <f>_xlfn.XLOOKUP(B459,DataSet!$N$2:$N$600,DataSet!$AF$2:$AF$600,0)</f>
        <v>110674</v>
      </c>
      <c r="D459" s="10" t="str">
        <f>_xlfn.XLOOKUP(B459,DataSet!$N$2:$N$600,DataSet!$G$2:$G$600,0)</f>
        <v>Sanjit Chand</v>
      </c>
      <c r="E459" s="10" t="str">
        <f>_xlfn.XLOOKUP(B459,DataSet!$N$2:$N$600,DataSet!$F$2:$F$600,0)</f>
        <v>SC-20095</v>
      </c>
      <c r="F459" s="10" t="str">
        <f>_xlfn.XLOOKUP(B459,DataSet!$N$2:$N$600,DataSet!$W$2:$W$600,0)</f>
        <v>Consumer</v>
      </c>
      <c r="G459" s="13">
        <f>_xlfn.XLOOKUP(B459,DataSet!$N$2:$N$600,DataSet!$C$2:$C$600,0)</f>
        <v>41682</v>
      </c>
      <c r="H459" s="10" t="str">
        <f>_xlfn.XLOOKUP(B459,DataSet!$N$2:$N$600,DataSet!$I$2:$I$600,0)</f>
        <v>United States</v>
      </c>
      <c r="I459" s="10" t="str">
        <f>_xlfn.XLOOKUP(B459,DataSet!$N$2:$N$600,DataSet!$X$2:$X$600,0)</f>
        <v>Concord - California</v>
      </c>
      <c r="J459" s="10" t="str">
        <f>_xlfn.XLOOKUP(B459,DataSet!$N$2:$N$600,DataSet!$M$2:$M$600,0)</f>
        <v>West</v>
      </c>
      <c r="K459" s="10" t="str">
        <f>_xlfn.XLOOKUP(B459,DataSet!$N$2:$N$600,DataSet!$O$2:$O$600,0)</f>
        <v>Furniture</v>
      </c>
      <c r="L459" s="10" t="str">
        <f>_xlfn.XLOOKUP(B459,DataSet!$N$2:$N$600,DataSet!$Y$2:$Y$600,0)</f>
        <v>Chairs</v>
      </c>
      <c r="M459" s="10" t="str">
        <f>_xlfn.XLOOKUP(B459,DataSet!$N$2:$N$600,DataSet!$Q$2:$Q$600,0)</f>
        <v>Global Geo Office Task Chair, Gray</v>
      </c>
      <c r="N459" s="16">
        <f>_xlfn.XLOOKUP(B459,DataSet!$N$2:$N$600,DataSet!$AA$2:$AA$600,0)</f>
        <v>129.56800000000001</v>
      </c>
      <c r="O459" s="10">
        <f>_xlfn.XLOOKUP(B459,DataSet!$N$2:$N$600,DataSet!$S$2:$S$600,0)</f>
        <v>2</v>
      </c>
      <c r="P459" s="15">
        <f>_xlfn.XLOOKUP(B459,DataSet!$N$2:$N$600,DataSet!$T$2:$T$600,0)</f>
        <v>0.2</v>
      </c>
      <c r="Q459" s="14">
        <f>_xlfn.XLOOKUP(B459,DataSet!$N$2:$N$600,DataSet!$U$2:$U$600,0)</f>
        <v>-24.294</v>
      </c>
      <c r="R459" s="16">
        <f>_xlfn.XLOOKUP(B459,DataSet!$N$2:$N$600,DataSet!$AB$2:$AB$600,0)</f>
        <v>259.13600000000002</v>
      </c>
      <c r="S459" s="9">
        <f>_xlfn.XLOOKUP(B459,DataSet!$N$2:$N$600,DataSet!$AC$2:$AC$600,0)</f>
        <v>207.30880000000002</v>
      </c>
    </row>
    <row r="460" spans="1:19" s="12" customFormat="1" x14ac:dyDescent="0.3">
      <c r="A460" s="27">
        <v>458</v>
      </c>
      <c r="B460" s="10" t="s">
        <v>1591</v>
      </c>
      <c r="C460" s="10" t="str">
        <f>_xlfn.XLOOKUP(B460,DataSet!$N$2:$N$600,DataSet!$AF$2:$AF$600,0)</f>
        <v>157945</v>
      </c>
      <c r="D460" s="10" t="str">
        <f>_xlfn.XLOOKUP(B460,DataSet!$N$2:$N$600,DataSet!$G$2:$G$600,0)</f>
        <v>Natalie Fritzler</v>
      </c>
      <c r="E460" s="10" t="str">
        <f>_xlfn.XLOOKUP(B460,DataSet!$N$2:$N$600,DataSet!$F$2:$F$600,0)</f>
        <v>NF-18385</v>
      </c>
      <c r="F460" s="10" t="str">
        <f>_xlfn.XLOOKUP(B460,DataSet!$N$2:$N$600,DataSet!$W$2:$W$600,0)</f>
        <v>Consumer</v>
      </c>
      <c r="G460" s="13">
        <f>_xlfn.XLOOKUP(B460,DataSet!$N$2:$N$600,DataSet!$C$2:$C$600,0)</f>
        <v>42639</v>
      </c>
      <c r="H460" s="10" t="str">
        <f>_xlfn.XLOOKUP(B460,DataSet!$N$2:$N$600,DataSet!$I$2:$I$600,0)</f>
        <v>United States</v>
      </c>
      <c r="I460" s="10" t="str">
        <f>_xlfn.XLOOKUP(B460,DataSet!$N$2:$N$600,DataSet!$X$2:$X$600,0)</f>
        <v>Decatur - Illinois</v>
      </c>
      <c r="J460" s="10" t="str">
        <f>_xlfn.XLOOKUP(B460,DataSet!$N$2:$N$600,DataSet!$M$2:$M$600,0)</f>
        <v>Central</v>
      </c>
      <c r="K460" s="10" t="str">
        <f>_xlfn.XLOOKUP(B460,DataSet!$N$2:$N$600,DataSet!$O$2:$O$600,0)</f>
        <v>Furniture</v>
      </c>
      <c r="L460" s="10" t="str">
        <f>_xlfn.XLOOKUP(B460,DataSet!$N$2:$N$600,DataSet!$Y$2:$Y$600,0)</f>
        <v>Chairs</v>
      </c>
      <c r="M460" s="10" t="str">
        <f>_xlfn.XLOOKUP(B460,DataSet!$N$2:$N$600,DataSet!$Q$2:$Q$600,0)</f>
        <v>Hon 4700 Series Mobuis Mid-Back Task Chairs with Adjustable Arms</v>
      </c>
      <c r="N460" s="16">
        <f>_xlfn.XLOOKUP(B460,DataSet!$N$2:$N$600,DataSet!$AA$2:$AA$600,0)</f>
        <v>747.55799999999999</v>
      </c>
      <c r="O460" s="10">
        <f>_xlfn.XLOOKUP(B460,DataSet!$N$2:$N$600,DataSet!$S$2:$S$600,0)</f>
        <v>3</v>
      </c>
      <c r="P460" s="15">
        <f>_xlfn.XLOOKUP(B460,DataSet!$N$2:$N$600,DataSet!$T$2:$T$600,0)</f>
        <v>0.3</v>
      </c>
      <c r="Q460" s="14">
        <f>_xlfn.XLOOKUP(B460,DataSet!$N$2:$N$600,DataSet!$U$2:$U$600,0)</f>
        <v>-96.114599999999996</v>
      </c>
      <c r="R460" s="16">
        <f>_xlfn.XLOOKUP(B460,DataSet!$N$2:$N$600,DataSet!$AB$2:$AB$600,0)</f>
        <v>2242.674</v>
      </c>
      <c r="S460" s="9">
        <f>_xlfn.XLOOKUP(B460,DataSet!$N$2:$N$600,DataSet!$AC$2:$AC$600,0)</f>
        <v>1569.8717999999999</v>
      </c>
    </row>
    <row r="461" spans="1:19" s="12" customFormat="1" x14ac:dyDescent="0.3">
      <c r="A461" s="27">
        <v>459</v>
      </c>
      <c r="B461" s="10" t="s">
        <v>1593</v>
      </c>
      <c r="C461" s="10" t="str">
        <f>_xlfn.XLOOKUP(B461,DataSet!$N$2:$N$600,DataSet!$AF$2:$AF$600,0)</f>
        <v>157945</v>
      </c>
      <c r="D461" s="10" t="str">
        <f>_xlfn.XLOOKUP(B461,DataSet!$N$2:$N$600,DataSet!$G$2:$G$600,0)</f>
        <v>Natalie Fritzler</v>
      </c>
      <c r="E461" s="10" t="str">
        <f>_xlfn.XLOOKUP(B461,DataSet!$N$2:$N$600,DataSet!$F$2:$F$600,0)</f>
        <v>NF-18385</v>
      </c>
      <c r="F461" s="10" t="str">
        <f>_xlfn.XLOOKUP(B461,DataSet!$N$2:$N$600,DataSet!$W$2:$W$600,0)</f>
        <v>Consumer</v>
      </c>
      <c r="G461" s="13">
        <f>_xlfn.XLOOKUP(B461,DataSet!$N$2:$N$600,DataSet!$C$2:$C$600,0)</f>
        <v>42639</v>
      </c>
      <c r="H461" s="10" t="str">
        <f>_xlfn.XLOOKUP(B461,DataSet!$N$2:$N$600,DataSet!$I$2:$I$600,0)</f>
        <v>United States</v>
      </c>
      <c r="I461" s="10" t="str">
        <f>_xlfn.XLOOKUP(B461,DataSet!$N$2:$N$600,DataSet!$X$2:$X$600,0)</f>
        <v>Decatur - Illinois</v>
      </c>
      <c r="J461" s="10" t="str">
        <f>_xlfn.XLOOKUP(B461,DataSet!$N$2:$N$600,DataSet!$M$2:$M$600,0)</f>
        <v>Central</v>
      </c>
      <c r="K461" s="10" t="str">
        <f>_xlfn.XLOOKUP(B461,DataSet!$N$2:$N$600,DataSet!$O$2:$O$600,0)</f>
        <v>Office Supplies</v>
      </c>
      <c r="L461" s="10" t="str">
        <f>_xlfn.XLOOKUP(B461,DataSet!$N$2:$N$600,DataSet!$Y$2:$Y$600,0)</f>
        <v>Envelopes</v>
      </c>
      <c r="M461" s="10" t="str">
        <f>_xlfn.XLOOKUP(B461,DataSet!$N$2:$N$600,DataSet!$Q$2:$Q$600,0)</f>
        <v>Staple envelope</v>
      </c>
      <c r="N461" s="16">
        <f>_xlfn.XLOOKUP(B461,DataSet!$N$2:$N$600,DataSet!$AA$2:$AA$600,0)</f>
        <v>8.9280000000000008</v>
      </c>
      <c r="O461" s="10">
        <f>_xlfn.XLOOKUP(B461,DataSet!$N$2:$N$600,DataSet!$S$2:$S$600,0)</f>
        <v>2</v>
      </c>
      <c r="P461" s="15">
        <f>_xlfn.XLOOKUP(B461,DataSet!$N$2:$N$600,DataSet!$T$2:$T$600,0)</f>
        <v>0.2</v>
      </c>
      <c r="Q461" s="14">
        <f>_xlfn.XLOOKUP(B461,DataSet!$N$2:$N$600,DataSet!$U$2:$U$600,0)</f>
        <v>3.3479999999999999</v>
      </c>
      <c r="R461" s="16">
        <f>_xlfn.XLOOKUP(B461,DataSet!$N$2:$N$600,DataSet!$AB$2:$AB$600,0)</f>
        <v>17.856000000000002</v>
      </c>
      <c r="S461" s="9">
        <f>_xlfn.XLOOKUP(B461,DataSet!$N$2:$N$600,DataSet!$AC$2:$AC$600,0)</f>
        <v>14.284800000000002</v>
      </c>
    </row>
    <row r="462" spans="1:19" s="12" customFormat="1" x14ac:dyDescent="0.3">
      <c r="A462" s="27">
        <v>460</v>
      </c>
      <c r="B462" s="10" t="s">
        <v>1595</v>
      </c>
      <c r="C462" s="10" t="str">
        <f>_xlfn.XLOOKUP(B462,DataSet!$N$2:$N$600,DataSet!$AF$2:$AF$600,0)</f>
        <v>109638</v>
      </c>
      <c r="D462" s="10" t="str">
        <f>_xlfn.XLOOKUP(B462,DataSet!$N$2:$N$600,DataSet!$G$2:$G$600,0)</f>
        <v>Joseph Holt</v>
      </c>
      <c r="E462" s="10" t="str">
        <f>_xlfn.XLOOKUP(B462,DataSet!$N$2:$N$600,DataSet!$F$2:$F$600,0)</f>
        <v>JH-15985</v>
      </c>
      <c r="F462" s="10" t="str">
        <f>_xlfn.XLOOKUP(B462,DataSet!$N$2:$N$600,DataSet!$W$2:$W$600,0)</f>
        <v>Consumer</v>
      </c>
      <c r="G462" s="13">
        <f>_xlfn.XLOOKUP(B462,DataSet!$N$2:$N$600,DataSet!$C$2:$C$600,0)</f>
        <v>42353</v>
      </c>
      <c r="H462" s="10" t="str">
        <f>_xlfn.XLOOKUP(B462,DataSet!$N$2:$N$600,DataSet!$I$2:$I$600,0)</f>
        <v>United States</v>
      </c>
      <c r="I462" s="10" t="str">
        <f>_xlfn.XLOOKUP(B462,DataSet!$N$2:$N$600,DataSet!$X$2:$X$600,0)</f>
        <v>Seattle - Washington</v>
      </c>
      <c r="J462" s="10" t="str">
        <f>_xlfn.XLOOKUP(B462,DataSet!$N$2:$N$600,DataSet!$M$2:$M$600,0)</f>
        <v>West</v>
      </c>
      <c r="K462" s="10" t="str">
        <f>_xlfn.XLOOKUP(B462,DataSet!$N$2:$N$600,DataSet!$O$2:$O$600,0)</f>
        <v>Office Supplies</v>
      </c>
      <c r="L462" s="10" t="str">
        <f>_xlfn.XLOOKUP(B462,DataSet!$N$2:$N$600,DataSet!$Y$2:$Y$600,0)</f>
        <v>Appliances</v>
      </c>
      <c r="M462" s="10" t="str">
        <f>_xlfn.XLOOKUP(B462,DataSet!$N$2:$N$600,DataSet!$Q$2:$Q$600,0)</f>
        <v>3M Office Air Cleaner</v>
      </c>
      <c r="N462" s="16">
        <f>_xlfn.XLOOKUP(B462,DataSet!$N$2:$N$600,DataSet!$AA$2:$AA$600,0)</f>
        <v>103.92</v>
      </c>
      <c r="O462" s="10">
        <f>_xlfn.XLOOKUP(B462,DataSet!$N$2:$N$600,DataSet!$S$2:$S$600,0)</f>
        <v>4</v>
      </c>
      <c r="P462" s="15">
        <f>_xlfn.XLOOKUP(B462,DataSet!$N$2:$N$600,DataSet!$T$2:$T$600,0)</f>
        <v>0</v>
      </c>
      <c r="Q462" s="14">
        <f>_xlfn.XLOOKUP(B462,DataSet!$N$2:$N$600,DataSet!$U$2:$U$600,0)</f>
        <v>36.372</v>
      </c>
      <c r="R462" s="16">
        <f>_xlfn.XLOOKUP(B462,DataSet!$N$2:$N$600,DataSet!$AB$2:$AB$600,0)</f>
        <v>415.68</v>
      </c>
      <c r="S462" s="9">
        <f>_xlfn.XLOOKUP(B462,DataSet!$N$2:$N$600,DataSet!$AC$2:$AC$600,0)</f>
        <v>415.68</v>
      </c>
    </row>
    <row r="463" spans="1:19" s="12" customFormat="1" x14ac:dyDescent="0.3">
      <c r="A463" s="27">
        <v>461</v>
      </c>
      <c r="B463" s="10" t="s">
        <v>1597</v>
      </c>
      <c r="C463" s="10" t="str">
        <f>_xlfn.XLOOKUP(B463,DataSet!$N$2:$N$600,DataSet!$AF$2:$AF$600,0)</f>
        <v>109638</v>
      </c>
      <c r="D463" s="10" t="str">
        <f>_xlfn.XLOOKUP(B463,DataSet!$N$2:$N$600,DataSet!$G$2:$G$600,0)</f>
        <v>Joseph Holt</v>
      </c>
      <c r="E463" s="10" t="str">
        <f>_xlfn.XLOOKUP(B463,DataSet!$N$2:$N$600,DataSet!$F$2:$F$600,0)</f>
        <v>JH-15985</v>
      </c>
      <c r="F463" s="10" t="str">
        <f>_xlfn.XLOOKUP(B463,DataSet!$N$2:$N$600,DataSet!$W$2:$W$600,0)</f>
        <v>Consumer</v>
      </c>
      <c r="G463" s="13">
        <f>_xlfn.XLOOKUP(B463,DataSet!$N$2:$N$600,DataSet!$C$2:$C$600,0)</f>
        <v>42353</v>
      </c>
      <c r="H463" s="10" t="str">
        <f>_xlfn.XLOOKUP(B463,DataSet!$N$2:$N$600,DataSet!$I$2:$I$600,0)</f>
        <v>United States</v>
      </c>
      <c r="I463" s="10" t="str">
        <f>_xlfn.XLOOKUP(B463,DataSet!$N$2:$N$600,DataSet!$X$2:$X$600,0)</f>
        <v>Seattle - Washington</v>
      </c>
      <c r="J463" s="10" t="str">
        <f>_xlfn.XLOOKUP(B463,DataSet!$N$2:$N$600,DataSet!$M$2:$M$600,0)</f>
        <v>West</v>
      </c>
      <c r="K463" s="10" t="str">
        <f>_xlfn.XLOOKUP(B463,DataSet!$N$2:$N$600,DataSet!$O$2:$O$600,0)</f>
        <v>Technology</v>
      </c>
      <c r="L463" s="10" t="str">
        <f>_xlfn.XLOOKUP(B463,DataSet!$N$2:$N$600,DataSet!$Y$2:$Y$600,0)</f>
        <v>Accessories</v>
      </c>
      <c r="M463" s="10" t="str">
        <f>_xlfn.XLOOKUP(B463,DataSet!$N$2:$N$600,DataSet!$Q$2:$Q$600,0)</f>
        <v>Logitech G700s Rechargeable Gaming Mouse</v>
      </c>
      <c r="N463" s="16">
        <f>_xlfn.XLOOKUP(B463,DataSet!$N$2:$N$600,DataSet!$AA$2:$AA$600,0)</f>
        <v>899.91</v>
      </c>
      <c r="O463" s="10">
        <f>_xlfn.XLOOKUP(B463,DataSet!$N$2:$N$600,DataSet!$S$2:$S$600,0)</f>
        <v>9</v>
      </c>
      <c r="P463" s="15">
        <f>_xlfn.XLOOKUP(B463,DataSet!$N$2:$N$600,DataSet!$T$2:$T$600,0)</f>
        <v>0</v>
      </c>
      <c r="Q463" s="14">
        <f>_xlfn.XLOOKUP(B463,DataSet!$N$2:$N$600,DataSet!$U$2:$U$600,0)</f>
        <v>377.9622</v>
      </c>
      <c r="R463" s="16">
        <f>_xlfn.XLOOKUP(B463,DataSet!$N$2:$N$600,DataSet!$AB$2:$AB$600,0)</f>
        <v>8099.19</v>
      </c>
      <c r="S463" s="9">
        <f>_xlfn.XLOOKUP(B463,DataSet!$N$2:$N$600,DataSet!$AC$2:$AC$600,0)</f>
        <v>8099.19</v>
      </c>
    </row>
    <row r="464" spans="1:19" s="12" customFormat="1" x14ac:dyDescent="0.3">
      <c r="A464" s="27">
        <v>462</v>
      </c>
      <c r="B464" s="10" t="s">
        <v>1599</v>
      </c>
      <c r="C464" s="10" t="str">
        <f>_xlfn.XLOOKUP(B464,DataSet!$N$2:$N$600,DataSet!$AF$2:$AF$600,0)</f>
        <v>109638</v>
      </c>
      <c r="D464" s="10" t="str">
        <f>_xlfn.XLOOKUP(B464,DataSet!$N$2:$N$600,DataSet!$G$2:$G$600,0)</f>
        <v>Joseph Holt</v>
      </c>
      <c r="E464" s="10" t="str">
        <f>_xlfn.XLOOKUP(B464,DataSet!$N$2:$N$600,DataSet!$F$2:$F$600,0)</f>
        <v>JH-15985</v>
      </c>
      <c r="F464" s="10" t="str">
        <f>_xlfn.XLOOKUP(B464,DataSet!$N$2:$N$600,DataSet!$W$2:$W$600,0)</f>
        <v>Consumer</v>
      </c>
      <c r="G464" s="13">
        <f>_xlfn.XLOOKUP(B464,DataSet!$N$2:$N$600,DataSet!$C$2:$C$600,0)</f>
        <v>42353</v>
      </c>
      <c r="H464" s="10" t="str">
        <f>_xlfn.XLOOKUP(B464,DataSet!$N$2:$N$600,DataSet!$I$2:$I$600,0)</f>
        <v>United States</v>
      </c>
      <c r="I464" s="10" t="str">
        <f>_xlfn.XLOOKUP(B464,DataSet!$N$2:$N$600,DataSet!$X$2:$X$600,0)</f>
        <v>Seattle - Washington</v>
      </c>
      <c r="J464" s="10" t="str">
        <f>_xlfn.XLOOKUP(B464,DataSet!$N$2:$N$600,DataSet!$M$2:$M$600,0)</f>
        <v>West</v>
      </c>
      <c r="K464" s="10" t="str">
        <f>_xlfn.XLOOKUP(B464,DataSet!$N$2:$N$600,DataSet!$O$2:$O$600,0)</f>
        <v>Office Supplies</v>
      </c>
      <c r="L464" s="10" t="str">
        <f>_xlfn.XLOOKUP(B464,DataSet!$N$2:$N$600,DataSet!$Y$2:$Y$600,0)</f>
        <v>Binders</v>
      </c>
      <c r="M464" s="10" t="str">
        <f>_xlfn.XLOOKUP(B464,DataSet!$N$2:$N$600,DataSet!$Q$2:$Q$600,0)</f>
        <v>Acco D-Ring Binder w/DublLock</v>
      </c>
      <c r="N464" s="16">
        <f>_xlfn.XLOOKUP(B464,DataSet!$N$2:$N$600,DataSet!$AA$2:$AA$600,0)</f>
        <v>51.311999999999998</v>
      </c>
      <c r="O464" s="10">
        <f>_xlfn.XLOOKUP(B464,DataSet!$N$2:$N$600,DataSet!$S$2:$S$600,0)</f>
        <v>3</v>
      </c>
      <c r="P464" s="15">
        <f>_xlfn.XLOOKUP(B464,DataSet!$N$2:$N$600,DataSet!$T$2:$T$600,0)</f>
        <v>0.2</v>
      </c>
      <c r="Q464" s="14">
        <f>_xlfn.XLOOKUP(B464,DataSet!$N$2:$N$600,DataSet!$U$2:$U$600,0)</f>
        <v>18.6006</v>
      </c>
      <c r="R464" s="16">
        <f>_xlfn.XLOOKUP(B464,DataSet!$N$2:$N$600,DataSet!$AB$2:$AB$600,0)</f>
        <v>153.93599999999998</v>
      </c>
      <c r="S464" s="9">
        <f>_xlfn.XLOOKUP(B464,DataSet!$N$2:$N$600,DataSet!$AC$2:$AC$600,0)</f>
        <v>123.14879999999999</v>
      </c>
    </row>
    <row r="465" spans="1:19" s="12" customFormat="1" x14ac:dyDescent="0.3">
      <c r="A465" s="27">
        <v>463</v>
      </c>
      <c r="B465" s="10" t="s">
        <v>1285</v>
      </c>
      <c r="C465" s="10" t="str">
        <f>_xlfn.XLOOKUP(B465,DataSet!$N$2:$N$600,DataSet!$AF$2:$AF$600,0)</f>
        <v>144904</v>
      </c>
      <c r="D465" s="10" t="str">
        <f>_xlfn.XLOOKUP(B465,DataSet!$N$2:$N$600,DataSet!$G$2:$G$600,0)</f>
        <v>Katrina Willman</v>
      </c>
      <c r="E465" s="10" t="str">
        <f>_xlfn.XLOOKUP(B465,DataSet!$N$2:$N$600,DataSet!$F$2:$F$600,0)</f>
        <v>KW-16435</v>
      </c>
      <c r="F465" s="10" t="str">
        <f>_xlfn.XLOOKUP(B465,DataSet!$N$2:$N$600,DataSet!$W$2:$W$600,0)</f>
        <v>Consumer</v>
      </c>
      <c r="G465" s="13">
        <f>_xlfn.XLOOKUP(B465,DataSet!$N$2:$N$600,DataSet!$C$2:$C$600,0)</f>
        <v>43003</v>
      </c>
      <c r="H465" s="10" t="str">
        <f>_xlfn.XLOOKUP(B465,DataSet!$N$2:$N$600,DataSet!$I$2:$I$600,0)</f>
        <v>United States</v>
      </c>
      <c r="I465" s="10" t="str">
        <f>_xlfn.XLOOKUP(B465,DataSet!$N$2:$N$600,DataSet!$X$2:$X$600,0)</f>
        <v>New York City - New York</v>
      </c>
      <c r="J465" s="10" t="str">
        <f>_xlfn.XLOOKUP(B465,DataSet!$N$2:$N$600,DataSet!$M$2:$M$600,0)</f>
        <v>East</v>
      </c>
      <c r="K465" s="10" t="str">
        <f>_xlfn.XLOOKUP(B465,DataSet!$N$2:$N$600,DataSet!$O$2:$O$600,0)</f>
        <v>Furniture</v>
      </c>
      <c r="L465" s="10" t="str">
        <f>_xlfn.XLOOKUP(B465,DataSet!$N$2:$N$600,DataSet!$Y$2:$Y$600,0)</f>
        <v>Furnishings</v>
      </c>
      <c r="M465" s="10" t="str">
        <f>_xlfn.XLOOKUP(B465,DataSet!$N$2:$N$600,DataSet!$Q$2:$Q$600,0)</f>
        <v>Eldon Wave Desk Accessories</v>
      </c>
      <c r="N465" s="16">
        <f>_xlfn.XLOOKUP(B465,DataSet!$N$2:$N$600,DataSet!$AA$2:$AA$600,0)</f>
        <v>47.12</v>
      </c>
      <c r="O465" s="10">
        <f>_xlfn.XLOOKUP(B465,DataSet!$N$2:$N$600,DataSet!$S$2:$S$600,0)</f>
        <v>8</v>
      </c>
      <c r="P465" s="15">
        <f>_xlfn.XLOOKUP(B465,DataSet!$N$2:$N$600,DataSet!$T$2:$T$600,0)</f>
        <v>0</v>
      </c>
      <c r="Q465" s="14">
        <f>_xlfn.XLOOKUP(B465,DataSet!$N$2:$N$600,DataSet!$U$2:$U$600,0)</f>
        <v>20.732800000000001</v>
      </c>
      <c r="R465" s="16">
        <f>_xlfn.XLOOKUP(B465,DataSet!$N$2:$N$600,DataSet!$AB$2:$AB$600,0)</f>
        <v>376.96</v>
      </c>
      <c r="S465" s="9">
        <f>_xlfn.XLOOKUP(B465,DataSet!$N$2:$N$600,DataSet!$AC$2:$AC$600,0)</f>
        <v>376.96</v>
      </c>
    </row>
    <row r="466" spans="1:19" s="12" customFormat="1" x14ac:dyDescent="0.3">
      <c r="A466" s="27">
        <v>464</v>
      </c>
      <c r="B466" s="10" t="s">
        <v>1604</v>
      </c>
      <c r="C466" s="10" t="str">
        <f>_xlfn.XLOOKUP(B466,DataSet!$N$2:$N$600,DataSet!$AF$2:$AF$600,0)</f>
        <v>109869</v>
      </c>
      <c r="D466" s="10" t="str">
        <f>_xlfn.XLOOKUP(B466,DataSet!$N$2:$N$600,DataSet!$G$2:$G$600,0)</f>
        <v>Tanja Norvell</v>
      </c>
      <c r="E466" s="10" t="str">
        <f>_xlfn.XLOOKUP(B466,DataSet!$N$2:$N$600,DataSet!$F$2:$F$600,0)</f>
        <v>TN-21040</v>
      </c>
      <c r="F466" s="10" t="str">
        <f>_xlfn.XLOOKUP(B466,DataSet!$N$2:$N$600,DataSet!$W$2:$W$600,0)</f>
        <v>Home Office</v>
      </c>
      <c r="G466" s="13">
        <f>_xlfn.XLOOKUP(B466,DataSet!$N$2:$N$600,DataSet!$C$2:$C$600,0)</f>
        <v>42482</v>
      </c>
      <c r="H466" s="10" t="str">
        <f>_xlfn.XLOOKUP(B466,DataSet!$N$2:$N$600,DataSet!$I$2:$I$600,0)</f>
        <v>United States</v>
      </c>
      <c r="I466" s="10" t="str">
        <f>_xlfn.XLOOKUP(B466,DataSet!$N$2:$N$600,DataSet!$X$2:$X$600,0)</f>
        <v>Phoenix - Arizona</v>
      </c>
      <c r="J466" s="10" t="str">
        <f>_xlfn.XLOOKUP(B466,DataSet!$N$2:$N$600,DataSet!$M$2:$M$600,0)</f>
        <v>West</v>
      </c>
      <c r="K466" s="10" t="str">
        <f>_xlfn.XLOOKUP(B466,DataSet!$N$2:$N$600,DataSet!$O$2:$O$600,0)</f>
        <v>Furniture</v>
      </c>
      <c r="L466" s="10" t="str">
        <f>_xlfn.XLOOKUP(B466,DataSet!$N$2:$N$600,DataSet!$Y$2:$Y$600,0)</f>
        <v>Tables</v>
      </c>
      <c r="M466" s="10" t="str">
        <f>_xlfn.XLOOKUP(B466,DataSet!$N$2:$N$600,DataSet!$Q$2:$Q$600,0)</f>
        <v>Bush Advantage Collection Racetrack Conference Table</v>
      </c>
      <c r="N466" s="16">
        <f>_xlfn.XLOOKUP(B466,DataSet!$N$2:$N$600,DataSet!$AA$2:$AA$600,0)</f>
        <v>1272.6300000000001</v>
      </c>
      <c r="O466" s="10">
        <f>_xlfn.XLOOKUP(B466,DataSet!$N$2:$N$600,DataSet!$S$2:$S$600,0)</f>
        <v>6</v>
      </c>
      <c r="P466" s="15">
        <f>_xlfn.XLOOKUP(B466,DataSet!$N$2:$N$600,DataSet!$T$2:$T$600,0)</f>
        <v>0.5</v>
      </c>
      <c r="Q466" s="14">
        <f>_xlfn.XLOOKUP(B466,DataSet!$N$2:$N$600,DataSet!$U$2:$U$600,0)</f>
        <v>-814.48320000000001</v>
      </c>
      <c r="R466" s="16">
        <f>_xlfn.XLOOKUP(B466,DataSet!$N$2:$N$600,DataSet!$AB$2:$AB$600,0)</f>
        <v>7635.7800000000007</v>
      </c>
      <c r="S466" s="9">
        <f>_xlfn.XLOOKUP(B466,DataSet!$N$2:$N$600,DataSet!$AC$2:$AC$600,0)</f>
        <v>3817.8900000000003</v>
      </c>
    </row>
    <row r="467" spans="1:19" s="12" customFormat="1" x14ac:dyDescent="0.3">
      <c r="A467" s="27">
        <v>465</v>
      </c>
      <c r="B467" s="10" t="s">
        <v>1606</v>
      </c>
      <c r="C467" s="10" t="str">
        <f>_xlfn.XLOOKUP(B467,DataSet!$N$2:$N$600,DataSet!$AF$2:$AF$600,0)</f>
        <v>109869</v>
      </c>
      <c r="D467" s="10" t="str">
        <f>_xlfn.XLOOKUP(B467,DataSet!$N$2:$N$600,DataSet!$G$2:$G$600,0)</f>
        <v>Tanja Norvell</v>
      </c>
      <c r="E467" s="10" t="str">
        <f>_xlfn.XLOOKUP(B467,DataSet!$N$2:$N$600,DataSet!$F$2:$F$600,0)</f>
        <v>TN-21040</v>
      </c>
      <c r="F467" s="10" t="str">
        <f>_xlfn.XLOOKUP(B467,DataSet!$N$2:$N$600,DataSet!$W$2:$W$600,0)</f>
        <v>Home Office</v>
      </c>
      <c r="G467" s="13">
        <f>_xlfn.XLOOKUP(B467,DataSet!$N$2:$N$600,DataSet!$C$2:$C$600,0)</f>
        <v>42482</v>
      </c>
      <c r="H467" s="10" t="str">
        <f>_xlfn.XLOOKUP(B467,DataSet!$N$2:$N$600,DataSet!$I$2:$I$600,0)</f>
        <v>United States</v>
      </c>
      <c r="I467" s="10" t="str">
        <f>_xlfn.XLOOKUP(B467,DataSet!$N$2:$N$600,DataSet!$X$2:$X$600,0)</f>
        <v>Phoenix - Arizona</v>
      </c>
      <c r="J467" s="10" t="str">
        <f>_xlfn.XLOOKUP(B467,DataSet!$N$2:$N$600,DataSet!$M$2:$M$600,0)</f>
        <v>West</v>
      </c>
      <c r="K467" s="10" t="str">
        <f>_xlfn.XLOOKUP(B467,DataSet!$N$2:$N$600,DataSet!$O$2:$O$600,0)</f>
        <v>Office Supplies</v>
      </c>
      <c r="L467" s="10" t="str">
        <f>_xlfn.XLOOKUP(B467,DataSet!$N$2:$N$600,DataSet!$Y$2:$Y$600,0)</f>
        <v>Binders</v>
      </c>
      <c r="M467" s="10" t="str">
        <f>_xlfn.XLOOKUP(B467,DataSet!$N$2:$N$600,DataSet!$Q$2:$Q$600,0)</f>
        <v>Poly Designer Cover &amp; Back</v>
      </c>
      <c r="N467" s="16">
        <f>_xlfn.XLOOKUP(B467,DataSet!$N$2:$N$600,DataSet!$AA$2:$AA$600,0)</f>
        <v>28.484999999999999</v>
      </c>
      <c r="O467" s="10">
        <f>_xlfn.XLOOKUP(B467,DataSet!$N$2:$N$600,DataSet!$S$2:$S$600,0)</f>
        <v>5</v>
      </c>
      <c r="P467" s="15">
        <f>_xlfn.XLOOKUP(B467,DataSet!$N$2:$N$600,DataSet!$T$2:$T$600,0)</f>
        <v>0.7</v>
      </c>
      <c r="Q467" s="14">
        <f>_xlfn.XLOOKUP(B467,DataSet!$N$2:$N$600,DataSet!$U$2:$U$600,0)</f>
        <v>-20.888999999999999</v>
      </c>
      <c r="R467" s="16">
        <f>_xlfn.XLOOKUP(B467,DataSet!$N$2:$N$600,DataSet!$AB$2:$AB$600,0)</f>
        <v>142.42500000000001</v>
      </c>
      <c r="S467" s="9">
        <f>_xlfn.XLOOKUP(B467,DataSet!$N$2:$N$600,DataSet!$AC$2:$AC$600,0)</f>
        <v>42.727500000000006</v>
      </c>
    </row>
    <row r="468" spans="1:19" s="12" customFormat="1" x14ac:dyDescent="0.3">
      <c r="A468" s="27">
        <v>466</v>
      </c>
      <c r="B468" s="10" t="s">
        <v>1608</v>
      </c>
      <c r="C468" s="10" t="str">
        <f>_xlfn.XLOOKUP(B468,DataSet!$N$2:$N$600,DataSet!$AF$2:$AF$600,0)</f>
        <v>109869</v>
      </c>
      <c r="D468" s="10" t="str">
        <f>_xlfn.XLOOKUP(B468,DataSet!$N$2:$N$600,DataSet!$G$2:$G$600,0)</f>
        <v>Tanja Norvell</v>
      </c>
      <c r="E468" s="10" t="str">
        <f>_xlfn.XLOOKUP(B468,DataSet!$N$2:$N$600,DataSet!$F$2:$F$600,0)</f>
        <v>TN-21040</v>
      </c>
      <c r="F468" s="10" t="str">
        <f>_xlfn.XLOOKUP(B468,DataSet!$N$2:$N$600,DataSet!$W$2:$W$600,0)</f>
        <v>Home Office</v>
      </c>
      <c r="G468" s="13">
        <f>_xlfn.XLOOKUP(B468,DataSet!$N$2:$N$600,DataSet!$C$2:$C$600,0)</f>
        <v>42482</v>
      </c>
      <c r="H468" s="10" t="str">
        <f>_xlfn.XLOOKUP(B468,DataSet!$N$2:$N$600,DataSet!$I$2:$I$600,0)</f>
        <v>United States</v>
      </c>
      <c r="I468" s="10" t="str">
        <f>_xlfn.XLOOKUP(B468,DataSet!$N$2:$N$600,DataSet!$X$2:$X$600,0)</f>
        <v>Phoenix - Arizona</v>
      </c>
      <c r="J468" s="10" t="str">
        <f>_xlfn.XLOOKUP(B468,DataSet!$N$2:$N$600,DataSet!$M$2:$M$600,0)</f>
        <v>West</v>
      </c>
      <c r="K468" s="10" t="str">
        <f>_xlfn.XLOOKUP(B468,DataSet!$N$2:$N$600,DataSet!$O$2:$O$600,0)</f>
        <v>Office Supplies</v>
      </c>
      <c r="L468" s="10" t="str">
        <f>_xlfn.XLOOKUP(B468,DataSet!$N$2:$N$600,DataSet!$Y$2:$Y$600,0)</f>
        <v>Supplies</v>
      </c>
      <c r="M468" s="10" t="str">
        <f>_xlfn.XLOOKUP(B468,DataSet!$N$2:$N$600,DataSet!$Q$2:$Q$600,0)</f>
        <v>Premier Electric Letter Opener</v>
      </c>
      <c r="N468" s="16">
        <f>_xlfn.XLOOKUP(B468,DataSet!$N$2:$N$600,DataSet!$AA$2:$AA$600,0)</f>
        <v>185.376</v>
      </c>
      <c r="O468" s="10">
        <f>_xlfn.XLOOKUP(B468,DataSet!$N$2:$N$600,DataSet!$S$2:$S$600,0)</f>
        <v>2</v>
      </c>
      <c r="P468" s="15">
        <f>_xlfn.XLOOKUP(B468,DataSet!$N$2:$N$600,DataSet!$T$2:$T$600,0)</f>
        <v>0.2</v>
      </c>
      <c r="Q468" s="14">
        <f>_xlfn.XLOOKUP(B468,DataSet!$N$2:$N$600,DataSet!$U$2:$U$600,0)</f>
        <v>-34.758000000000003</v>
      </c>
      <c r="R468" s="16">
        <f>_xlfn.XLOOKUP(B468,DataSet!$N$2:$N$600,DataSet!$AB$2:$AB$600,0)</f>
        <v>370.75200000000001</v>
      </c>
      <c r="S468" s="9">
        <f>_xlfn.XLOOKUP(B468,DataSet!$N$2:$N$600,DataSet!$AC$2:$AC$600,0)</f>
        <v>296.60160000000002</v>
      </c>
    </row>
    <row r="469" spans="1:19" s="12" customFormat="1" x14ac:dyDescent="0.3">
      <c r="A469" s="27">
        <v>467</v>
      </c>
      <c r="B469" s="10" t="s">
        <v>1610</v>
      </c>
      <c r="C469" s="10" t="str">
        <f>_xlfn.XLOOKUP(B469,DataSet!$N$2:$N$600,DataSet!$AF$2:$AF$600,0)</f>
        <v>109869</v>
      </c>
      <c r="D469" s="10" t="str">
        <f>_xlfn.XLOOKUP(B469,DataSet!$N$2:$N$600,DataSet!$G$2:$G$600,0)</f>
        <v>Tanja Norvell</v>
      </c>
      <c r="E469" s="10" t="str">
        <f>_xlfn.XLOOKUP(B469,DataSet!$N$2:$N$600,DataSet!$F$2:$F$600,0)</f>
        <v>TN-21040</v>
      </c>
      <c r="F469" s="10" t="str">
        <f>_xlfn.XLOOKUP(B469,DataSet!$N$2:$N$600,DataSet!$W$2:$W$600,0)</f>
        <v>Home Office</v>
      </c>
      <c r="G469" s="13">
        <f>_xlfn.XLOOKUP(B469,DataSet!$N$2:$N$600,DataSet!$C$2:$C$600,0)</f>
        <v>42482</v>
      </c>
      <c r="H469" s="10" t="str">
        <f>_xlfn.XLOOKUP(B469,DataSet!$N$2:$N$600,DataSet!$I$2:$I$600,0)</f>
        <v>United States</v>
      </c>
      <c r="I469" s="10" t="str">
        <f>_xlfn.XLOOKUP(B469,DataSet!$N$2:$N$600,DataSet!$X$2:$X$600,0)</f>
        <v>Phoenix - Arizona</v>
      </c>
      <c r="J469" s="10" t="str">
        <f>_xlfn.XLOOKUP(B469,DataSet!$N$2:$N$600,DataSet!$M$2:$M$600,0)</f>
        <v>West</v>
      </c>
      <c r="K469" s="10" t="str">
        <f>_xlfn.XLOOKUP(B469,DataSet!$N$2:$N$600,DataSet!$O$2:$O$600,0)</f>
        <v>Office Supplies</v>
      </c>
      <c r="L469" s="10" t="str">
        <f>_xlfn.XLOOKUP(B469,DataSet!$N$2:$N$600,DataSet!$Y$2:$Y$600,0)</f>
        <v>Appliances</v>
      </c>
      <c r="M469" s="10" t="str">
        <f>_xlfn.XLOOKUP(B469,DataSet!$N$2:$N$600,DataSet!$Q$2:$Q$600,0)</f>
        <v>Fellowes Premier Superior Surge Suppressor, 10-Outlet, With Phone and Remote</v>
      </c>
      <c r="N469" s="16">
        <f>_xlfn.XLOOKUP(B469,DataSet!$N$2:$N$600,DataSet!$AA$2:$AA$600,0)</f>
        <v>78.272000000000006</v>
      </c>
      <c r="O469" s="10">
        <f>_xlfn.XLOOKUP(B469,DataSet!$N$2:$N$600,DataSet!$S$2:$S$600,0)</f>
        <v>2</v>
      </c>
      <c r="P469" s="15">
        <f>_xlfn.XLOOKUP(B469,DataSet!$N$2:$N$600,DataSet!$T$2:$T$600,0)</f>
        <v>0.2</v>
      </c>
      <c r="Q469" s="14">
        <f>_xlfn.XLOOKUP(B469,DataSet!$N$2:$N$600,DataSet!$U$2:$U$600,0)</f>
        <v>5.8704000000000001</v>
      </c>
      <c r="R469" s="16">
        <f>_xlfn.XLOOKUP(B469,DataSet!$N$2:$N$600,DataSet!$AB$2:$AB$600,0)</f>
        <v>156.54400000000001</v>
      </c>
      <c r="S469" s="9">
        <f>_xlfn.XLOOKUP(B469,DataSet!$N$2:$N$600,DataSet!$AC$2:$AC$600,0)</f>
        <v>125.23520000000002</v>
      </c>
    </row>
    <row r="470" spans="1:19" s="12" customFormat="1" x14ac:dyDescent="0.3">
      <c r="A470" s="27">
        <v>468</v>
      </c>
      <c r="B470" s="10" t="s">
        <v>1087</v>
      </c>
      <c r="C470" s="10" t="str">
        <f>_xlfn.XLOOKUP(B470,DataSet!$N$2:$N$600,DataSet!$AF$2:$AF$600,0)</f>
        <v>111451</v>
      </c>
      <c r="D470" s="10" t="str">
        <f>_xlfn.XLOOKUP(B470,DataSet!$N$2:$N$600,DataSet!$G$2:$G$600,0)</f>
        <v>Kelly Lampkin</v>
      </c>
      <c r="E470" s="10" t="str">
        <f>_xlfn.XLOOKUP(B470,DataSet!$N$2:$N$600,DataSet!$F$2:$F$600,0)</f>
        <v>KL-16555</v>
      </c>
      <c r="F470" s="10" t="str">
        <f>_xlfn.XLOOKUP(B470,DataSet!$N$2:$N$600,DataSet!$W$2:$W$600,0)</f>
        <v>Corporate</v>
      </c>
      <c r="G470" s="13">
        <f>_xlfn.XLOOKUP(B470,DataSet!$N$2:$N$600,DataSet!$C$2:$C$600,0)</f>
        <v>41999</v>
      </c>
      <c r="H470" s="10" t="str">
        <f>_xlfn.XLOOKUP(B470,DataSet!$N$2:$N$600,DataSet!$I$2:$I$600,0)</f>
        <v>United States</v>
      </c>
      <c r="I470" s="10" t="str">
        <f>_xlfn.XLOOKUP(B470,DataSet!$N$2:$N$600,DataSet!$X$2:$X$600,0)</f>
        <v>Colorado Springs - Colorado</v>
      </c>
      <c r="J470" s="10" t="str">
        <f>_xlfn.XLOOKUP(B470,DataSet!$N$2:$N$600,DataSet!$M$2:$M$600,0)</f>
        <v>West</v>
      </c>
      <c r="K470" s="10" t="str">
        <f>_xlfn.XLOOKUP(B470,DataSet!$N$2:$N$600,DataSet!$O$2:$O$600,0)</f>
        <v>Furniture</v>
      </c>
      <c r="L470" s="10" t="str">
        <f>_xlfn.XLOOKUP(B470,DataSet!$N$2:$N$600,DataSet!$Y$2:$Y$600,0)</f>
        <v>Furnishings</v>
      </c>
      <c r="M470" s="10" t="str">
        <f>_xlfn.XLOOKUP(B470,DataSet!$N$2:$N$600,DataSet!$Q$2:$Q$600,0)</f>
        <v>Eldon ClusterMat Chair Mat with Cordless Antistatic Protection</v>
      </c>
      <c r="N470" s="16">
        <f>_xlfn.XLOOKUP(B470,DataSet!$N$2:$N$600,DataSet!$AA$2:$AA$600,0)</f>
        <v>218.352</v>
      </c>
      <c r="O470" s="10">
        <f>_xlfn.XLOOKUP(B470,DataSet!$N$2:$N$600,DataSet!$S$2:$S$600,0)</f>
        <v>3</v>
      </c>
      <c r="P470" s="15">
        <f>_xlfn.XLOOKUP(B470,DataSet!$N$2:$N$600,DataSet!$T$2:$T$600,0)</f>
        <v>0.2</v>
      </c>
      <c r="Q470" s="14">
        <f>_xlfn.XLOOKUP(B470,DataSet!$N$2:$N$600,DataSet!$U$2:$U$600,0)</f>
        <v>-24.564599999999999</v>
      </c>
      <c r="R470" s="16">
        <f>_xlfn.XLOOKUP(B470,DataSet!$N$2:$N$600,DataSet!$AB$2:$AB$600,0)</f>
        <v>655.05600000000004</v>
      </c>
      <c r="S470" s="9">
        <f>_xlfn.XLOOKUP(B470,DataSet!$N$2:$N$600,DataSet!$AC$2:$AC$600,0)</f>
        <v>524.04480000000001</v>
      </c>
    </row>
    <row r="471" spans="1:19" s="12" customFormat="1" x14ac:dyDescent="0.3">
      <c r="A471" s="27">
        <v>469</v>
      </c>
      <c r="B471" s="10" t="s">
        <v>1618</v>
      </c>
      <c r="C471" s="10" t="str">
        <f>_xlfn.XLOOKUP(B471,DataSet!$N$2:$N$600,DataSet!$AF$2:$AF$600,0)</f>
        <v>154907</v>
      </c>
      <c r="D471" s="10" t="str">
        <f>_xlfn.XLOOKUP(B471,DataSet!$N$2:$N$600,DataSet!$G$2:$G$600,0)</f>
        <v>David Smith</v>
      </c>
      <c r="E471" s="10" t="str">
        <f>_xlfn.XLOOKUP(B471,DataSet!$N$2:$N$600,DataSet!$F$2:$F$600,0)</f>
        <v>DS-13180</v>
      </c>
      <c r="F471" s="10" t="str">
        <f>_xlfn.XLOOKUP(B471,DataSet!$N$2:$N$600,DataSet!$W$2:$W$600,0)</f>
        <v>Corporate</v>
      </c>
      <c r="G471" s="13">
        <f>_xlfn.XLOOKUP(B471,DataSet!$N$2:$N$600,DataSet!$C$2:$C$600,0)</f>
        <v>42825</v>
      </c>
      <c r="H471" s="10" t="str">
        <f>_xlfn.XLOOKUP(B471,DataSet!$N$2:$N$600,DataSet!$I$2:$I$600,0)</f>
        <v>United States</v>
      </c>
      <c r="I471" s="10" t="str">
        <f>_xlfn.XLOOKUP(B471,DataSet!$N$2:$N$600,DataSet!$X$2:$X$600,0)</f>
        <v>Amarillo - Texas</v>
      </c>
      <c r="J471" s="10" t="str">
        <f>_xlfn.XLOOKUP(B471,DataSet!$N$2:$N$600,DataSet!$M$2:$M$600,0)</f>
        <v>Central</v>
      </c>
      <c r="K471" s="10" t="str">
        <f>_xlfn.XLOOKUP(B471,DataSet!$N$2:$N$600,DataSet!$O$2:$O$600,0)</f>
        <v>Furniture</v>
      </c>
      <c r="L471" s="10" t="str">
        <f>_xlfn.XLOOKUP(B471,DataSet!$N$2:$N$600,DataSet!$Y$2:$Y$600,0)</f>
        <v>Bookcases</v>
      </c>
      <c r="M471" s="10" t="str">
        <f>_xlfn.XLOOKUP(B471,DataSet!$N$2:$N$600,DataSet!$Q$2:$Q$600,0)</f>
        <v>Bush Mission Pointe Library</v>
      </c>
      <c r="N471" s="16">
        <f>_xlfn.XLOOKUP(B471,DataSet!$N$2:$N$600,DataSet!$AA$2:$AA$600,0)</f>
        <v>205.33279999999999</v>
      </c>
      <c r="O471" s="10">
        <f>_xlfn.XLOOKUP(B471,DataSet!$N$2:$N$600,DataSet!$S$2:$S$600,0)</f>
        <v>2</v>
      </c>
      <c r="P471" s="15">
        <f>_xlfn.XLOOKUP(B471,DataSet!$N$2:$N$600,DataSet!$T$2:$T$600,0)</f>
        <v>0.32</v>
      </c>
      <c r="Q471" s="14">
        <f>_xlfn.XLOOKUP(B471,DataSet!$N$2:$N$600,DataSet!$U$2:$U$600,0)</f>
        <v>-36.235199999999999</v>
      </c>
      <c r="R471" s="16">
        <f>_xlfn.XLOOKUP(B471,DataSet!$N$2:$N$600,DataSet!$AB$2:$AB$600,0)</f>
        <v>410.66559999999998</v>
      </c>
      <c r="S471" s="9">
        <f>_xlfn.XLOOKUP(B471,DataSet!$N$2:$N$600,DataSet!$AC$2:$AC$600,0)</f>
        <v>279.25260799999995</v>
      </c>
    </row>
    <row r="472" spans="1:19" s="12" customFormat="1" x14ac:dyDescent="0.3">
      <c r="A472" s="27">
        <v>470</v>
      </c>
      <c r="B472" s="10" t="s">
        <v>1621</v>
      </c>
      <c r="C472" s="10" t="str">
        <f>_xlfn.XLOOKUP(B472,DataSet!$N$2:$N$600,DataSet!$AF$2:$AF$600,0)</f>
        <v>100419</v>
      </c>
      <c r="D472" s="10" t="str">
        <f>_xlfn.XLOOKUP(B472,DataSet!$N$2:$N$600,DataSet!$G$2:$G$600,0)</f>
        <v>Craig Carreira</v>
      </c>
      <c r="E472" s="10" t="str">
        <f>_xlfn.XLOOKUP(B472,DataSet!$N$2:$N$600,DataSet!$F$2:$F$600,0)</f>
        <v>CC-12670</v>
      </c>
      <c r="F472" s="10" t="str">
        <f>_xlfn.XLOOKUP(B472,DataSet!$N$2:$N$600,DataSet!$W$2:$W$600,0)</f>
        <v>Consumer</v>
      </c>
      <c r="G472" s="13">
        <f>_xlfn.XLOOKUP(B472,DataSet!$N$2:$N$600,DataSet!$C$2:$C$600,0)</f>
        <v>42720</v>
      </c>
      <c r="H472" s="10" t="str">
        <f>_xlfn.XLOOKUP(B472,DataSet!$N$2:$N$600,DataSet!$I$2:$I$600,0)</f>
        <v>United States</v>
      </c>
      <c r="I472" s="10" t="str">
        <f>_xlfn.XLOOKUP(B472,DataSet!$N$2:$N$600,DataSet!$X$2:$X$600,0)</f>
        <v>Chicago - Illinois</v>
      </c>
      <c r="J472" s="10" t="str">
        <f>_xlfn.XLOOKUP(B472,DataSet!$N$2:$N$600,DataSet!$M$2:$M$600,0)</f>
        <v>Central</v>
      </c>
      <c r="K472" s="10" t="str">
        <f>_xlfn.XLOOKUP(B472,DataSet!$N$2:$N$600,DataSet!$O$2:$O$600,0)</f>
        <v>Office Supplies</v>
      </c>
      <c r="L472" s="10" t="str">
        <f>_xlfn.XLOOKUP(B472,DataSet!$N$2:$N$600,DataSet!$Y$2:$Y$600,0)</f>
        <v>Binders</v>
      </c>
      <c r="M472" s="10" t="str">
        <f>_xlfn.XLOOKUP(B472,DataSet!$N$2:$N$600,DataSet!$Q$2:$Q$600,0)</f>
        <v>Cardinal Hold-It CD Pocket</v>
      </c>
      <c r="N472" s="16">
        <f>_xlfn.XLOOKUP(B472,DataSet!$N$2:$N$600,DataSet!$AA$2:$AA$600,0)</f>
        <v>4.7880000000000003</v>
      </c>
      <c r="O472" s="10">
        <f>_xlfn.XLOOKUP(B472,DataSet!$N$2:$N$600,DataSet!$S$2:$S$600,0)</f>
        <v>3</v>
      </c>
      <c r="P472" s="15">
        <f>_xlfn.XLOOKUP(B472,DataSet!$N$2:$N$600,DataSet!$T$2:$T$600,0)</f>
        <v>0.8</v>
      </c>
      <c r="Q472" s="14">
        <f>_xlfn.XLOOKUP(B472,DataSet!$N$2:$N$600,DataSet!$U$2:$U$600,0)</f>
        <v>-7.9001999999999999</v>
      </c>
      <c r="R472" s="16">
        <f>_xlfn.XLOOKUP(B472,DataSet!$N$2:$N$600,DataSet!$AB$2:$AB$600,0)</f>
        <v>14.364000000000001</v>
      </c>
      <c r="S472" s="9">
        <f>_xlfn.XLOOKUP(B472,DataSet!$N$2:$N$600,DataSet!$AC$2:$AC$600,0)</f>
        <v>2.8727999999999994</v>
      </c>
    </row>
    <row r="473" spans="1:19" s="12" customFormat="1" x14ac:dyDescent="0.3">
      <c r="A473" s="27">
        <v>471</v>
      </c>
      <c r="B473" s="10" t="s">
        <v>1627</v>
      </c>
      <c r="C473" s="10" t="str">
        <f>_xlfn.XLOOKUP(B473,DataSet!$N$2:$N$600,DataSet!$AF$2:$AF$600,0)</f>
        <v>154144</v>
      </c>
      <c r="D473" s="10" t="str">
        <f>_xlfn.XLOOKUP(B473,DataSet!$N$2:$N$600,DataSet!$G$2:$G$600,0)</f>
        <v>Maya Herman</v>
      </c>
      <c r="E473" s="10" t="str">
        <f>_xlfn.XLOOKUP(B473,DataSet!$N$2:$N$600,DataSet!$F$2:$F$600,0)</f>
        <v>MH-17785</v>
      </c>
      <c r="F473" s="10" t="str">
        <f>_xlfn.XLOOKUP(B473,DataSet!$N$2:$N$600,DataSet!$W$2:$W$600,0)</f>
        <v>Corporate</v>
      </c>
      <c r="G473" s="13">
        <f>_xlfn.XLOOKUP(B473,DataSet!$N$2:$N$600,DataSet!$C$2:$C$600,0)</f>
        <v>42358</v>
      </c>
      <c r="H473" s="10" t="str">
        <f>_xlfn.XLOOKUP(B473,DataSet!$N$2:$N$600,DataSet!$I$2:$I$600,0)</f>
        <v>United States</v>
      </c>
      <c r="I473" s="10" t="str">
        <f>_xlfn.XLOOKUP(B473,DataSet!$N$2:$N$600,DataSet!$X$2:$X$600,0)</f>
        <v>Lindenhurst - New York</v>
      </c>
      <c r="J473" s="10" t="str">
        <f>_xlfn.XLOOKUP(B473,DataSet!$N$2:$N$600,DataSet!$M$2:$M$600,0)</f>
        <v>East</v>
      </c>
      <c r="K473" s="10" t="str">
        <f>_xlfn.XLOOKUP(B473,DataSet!$N$2:$N$600,DataSet!$O$2:$O$600,0)</f>
        <v>Office Supplies</v>
      </c>
      <c r="L473" s="10" t="str">
        <f>_xlfn.XLOOKUP(B473,DataSet!$N$2:$N$600,DataSet!$Y$2:$Y$600,0)</f>
        <v>Paper</v>
      </c>
      <c r="M473" s="10" t="str">
        <f>_xlfn.XLOOKUP(B473,DataSet!$N$2:$N$600,DataSet!$Q$2:$Q$600,0)</f>
        <v>Eaton Premium Continuous-Feed Paper, 25% Cotton, Letter Size, White, 1000 Shts/Box</v>
      </c>
      <c r="N473" s="16">
        <f>_xlfn.XLOOKUP(B473,DataSet!$N$2:$N$600,DataSet!$AA$2:$AA$600,0)</f>
        <v>55.48</v>
      </c>
      <c r="O473" s="10">
        <f>_xlfn.XLOOKUP(B473,DataSet!$N$2:$N$600,DataSet!$S$2:$S$600,0)</f>
        <v>1</v>
      </c>
      <c r="P473" s="15">
        <f>_xlfn.XLOOKUP(B473,DataSet!$N$2:$N$600,DataSet!$T$2:$T$600,0)</f>
        <v>0</v>
      </c>
      <c r="Q473" s="14">
        <f>_xlfn.XLOOKUP(B473,DataSet!$N$2:$N$600,DataSet!$U$2:$U$600,0)</f>
        <v>26.630400000000002</v>
      </c>
      <c r="R473" s="16">
        <f>_xlfn.XLOOKUP(B473,DataSet!$N$2:$N$600,DataSet!$AB$2:$AB$600,0)</f>
        <v>55.48</v>
      </c>
      <c r="S473" s="9">
        <f>_xlfn.XLOOKUP(B473,DataSet!$N$2:$N$600,DataSet!$AC$2:$AC$600,0)</f>
        <v>55.48</v>
      </c>
    </row>
    <row r="474" spans="1:19" s="12" customFormat="1" x14ac:dyDescent="0.3">
      <c r="A474" s="27">
        <v>472</v>
      </c>
      <c r="B474" s="10" t="s">
        <v>1632</v>
      </c>
      <c r="C474" s="10" t="str">
        <f>_xlfn.XLOOKUP(B474,DataSet!$N$2:$N$600,DataSet!$AF$2:$AF$600,0)</f>
        <v>144666</v>
      </c>
      <c r="D474" s="10" t="str">
        <f>_xlfn.XLOOKUP(B474,DataSet!$N$2:$N$600,DataSet!$G$2:$G$600,0)</f>
        <v>Jeremy Pistek</v>
      </c>
      <c r="E474" s="10" t="str">
        <f>_xlfn.XLOOKUP(B474,DataSet!$N$2:$N$600,DataSet!$F$2:$F$600,0)</f>
        <v>JP-15520</v>
      </c>
      <c r="F474" s="10" t="str">
        <f>_xlfn.XLOOKUP(B474,DataSet!$N$2:$N$600,DataSet!$W$2:$W$600,0)</f>
        <v>Consumer</v>
      </c>
      <c r="G474" s="13">
        <f>_xlfn.XLOOKUP(B474,DataSet!$N$2:$N$600,DataSet!$C$2:$C$600,0)</f>
        <v>41952</v>
      </c>
      <c r="H474" s="10" t="str">
        <f>_xlfn.XLOOKUP(B474,DataSet!$N$2:$N$600,DataSet!$I$2:$I$600,0)</f>
        <v>United States</v>
      </c>
      <c r="I474" s="10" t="str">
        <f>_xlfn.XLOOKUP(B474,DataSet!$N$2:$N$600,DataSet!$X$2:$X$600,0)</f>
        <v>San Francisco - California</v>
      </c>
      <c r="J474" s="10" t="str">
        <f>_xlfn.XLOOKUP(B474,DataSet!$N$2:$N$600,DataSet!$M$2:$M$600,0)</f>
        <v>West</v>
      </c>
      <c r="K474" s="10" t="str">
        <f>_xlfn.XLOOKUP(B474,DataSet!$N$2:$N$600,DataSet!$O$2:$O$600,0)</f>
        <v>Office Supplies</v>
      </c>
      <c r="L474" s="10" t="str">
        <f>_xlfn.XLOOKUP(B474,DataSet!$N$2:$N$600,DataSet!$Y$2:$Y$600,0)</f>
        <v>Storage</v>
      </c>
      <c r="M474" s="10" t="str">
        <f>_xlfn.XLOOKUP(B474,DataSet!$N$2:$N$600,DataSet!$Q$2:$Q$600,0)</f>
        <v>SAFCO Boltless Steel Shelving</v>
      </c>
      <c r="N474" s="16">
        <f>_xlfn.XLOOKUP(B474,DataSet!$N$2:$N$600,DataSet!$AA$2:$AA$600,0)</f>
        <v>340.92</v>
      </c>
      <c r="O474" s="10">
        <f>_xlfn.XLOOKUP(B474,DataSet!$N$2:$N$600,DataSet!$S$2:$S$600,0)</f>
        <v>3</v>
      </c>
      <c r="P474" s="15">
        <f>_xlfn.XLOOKUP(B474,DataSet!$N$2:$N$600,DataSet!$T$2:$T$600,0)</f>
        <v>0</v>
      </c>
      <c r="Q474" s="14">
        <f>_xlfn.XLOOKUP(B474,DataSet!$N$2:$N$600,DataSet!$U$2:$U$600,0)</f>
        <v>3.4091999999999998</v>
      </c>
      <c r="R474" s="16">
        <f>_xlfn.XLOOKUP(B474,DataSet!$N$2:$N$600,DataSet!$AB$2:$AB$600,0)</f>
        <v>1022.76</v>
      </c>
      <c r="S474" s="9">
        <f>_xlfn.XLOOKUP(B474,DataSet!$N$2:$N$600,DataSet!$AC$2:$AC$600,0)</f>
        <v>1022.76</v>
      </c>
    </row>
    <row r="475" spans="1:19" s="12" customFormat="1" x14ac:dyDescent="0.3">
      <c r="A475" s="27">
        <v>473</v>
      </c>
      <c r="B475" s="10" t="s">
        <v>1634</v>
      </c>
      <c r="C475" s="10" t="str">
        <f>_xlfn.XLOOKUP(B475,DataSet!$N$2:$N$600,DataSet!$AF$2:$AF$600,0)</f>
        <v>144666</v>
      </c>
      <c r="D475" s="10" t="str">
        <f>_xlfn.XLOOKUP(B475,DataSet!$N$2:$N$600,DataSet!$G$2:$G$600,0)</f>
        <v>Jeremy Pistek</v>
      </c>
      <c r="E475" s="10" t="str">
        <f>_xlfn.XLOOKUP(B475,DataSet!$N$2:$N$600,DataSet!$F$2:$F$600,0)</f>
        <v>JP-15520</v>
      </c>
      <c r="F475" s="10" t="str">
        <f>_xlfn.XLOOKUP(B475,DataSet!$N$2:$N$600,DataSet!$W$2:$W$600,0)</f>
        <v>Consumer</v>
      </c>
      <c r="G475" s="13">
        <f>_xlfn.XLOOKUP(B475,DataSet!$N$2:$N$600,DataSet!$C$2:$C$600,0)</f>
        <v>41952</v>
      </c>
      <c r="H475" s="10" t="str">
        <f>_xlfn.XLOOKUP(B475,DataSet!$N$2:$N$600,DataSet!$I$2:$I$600,0)</f>
        <v>United States</v>
      </c>
      <c r="I475" s="10" t="str">
        <f>_xlfn.XLOOKUP(B475,DataSet!$N$2:$N$600,DataSet!$X$2:$X$600,0)</f>
        <v>San Francisco - California</v>
      </c>
      <c r="J475" s="10" t="str">
        <f>_xlfn.XLOOKUP(B475,DataSet!$N$2:$N$600,DataSet!$M$2:$M$600,0)</f>
        <v>West</v>
      </c>
      <c r="K475" s="10" t="str">
        <f>_xlfn.XLOOKUP(B475,DataSet!$N$2:$N$600,DataSet!$O$2:$O$600,0)</f>
        <v>Furniture</v>
      </c>
      <c r="L475" s="10" t="str">
        <f>_xlfn.XLOOKUP(B475,DataSet!$N$2:$N$600,DataSet!$Y$2:$Y$600,0)</f>
        <v>Bookcases</v>
      </c>
      <c r="M475" s="10" t="str">
        <f>_xlfn.XLOOKUP(B475,DataSet!$N$2:$N$600,DataSet!$Q$2:$Q$600,0)</f>
        <v>Sauder Mission Library with Doors, Fruitwood Finish</v>
      </c>
      <c r="N475" s="16">
        <f>_xlfn.XLOOKUP(B475,DataSet!$N$2:$N$600,DataSet!$AA$2:$AA$600,0)</f>
        <v>222.666</v>
      </c>
      <c r="O475" s="10">
        <f>_xlfn.XLOOKUP(B475,DataSet!$N$2:$N$600,DataSet!$S$2:$S$600,0)</f>
        <v>2</v>
      </c>
      <c r="P475" s="15">
        <f>_xlfn.XLOOKUP(B475,DataSet!$N$2:$N$600,DataSet!$T$2:$T$600,0)</f>
        <v>0.15</v>
      </c>
      <c r="Q475" s="14">
        <f>_xlfn.XLOOKUP(B475,DataSet!$N$2:$N$600,DataSet!$U$2:$U$600,0)</f>
        <v>10.478400000000001</v>
      </c>
      <c r="R475" s="16">
        <f>_xlfn.XLOOKUP(B475,DataSet!$N$2:$N$600,DataSet!$AB$2:$AB$600,0)</f>
        <v>445.33199999999999</v>
      </c>
      <c r="S475" s="9">
        <f>_xlfn.XLOOKUP(B475,DataSet!$N$2:$N$600,DataSet!$AC$2:$AC$600,0)</f>
        <v>378.53219999999999</v>
      </c>
    </row>
    <row r="476" spans="1:19" s="12" customFormat="1" x14ac:dyDescent="0.3">
      <c r="A476" s="27">
        <v>474</v>
      </c>
      <c r="B476" s="10" t="s">
        <v>1636</v>
      </c>
      <c r="C476" s="10" t="str">
        <f>_xlfn.XLOOKUP(B476,DataSet!$N$2:$N$600,DataSet!$AF$2:$AF$600,0)</f>
        <v>144666</v>
      </c>
      <c r="D476" s="10" t="str">
        <f>_xlfn.XLOOKUP(B476,DataSet!$N$2:$N$600,DataSet!$G$2:$G$600,0)</f>
        <v>Jeremy Pistek</v>
      </c>
      <c r="E476" s="10" t="str">
        <f>_xlfn.XLOOKUP(B476,DataSet!$N$2:$N$600,DataSet!$F$2:$F$600,0)</f>
        <v>JP-15520</v>
      </c>
      <c r="F476" s="10" t="str">
        <f>_xlfn.XLOOKUP(B476,DataSet!$N$2:$N$600,DataSet!$W$2:$W$600,0)</f>
        <v>Consumer</v>
      </c>
      <c r="G476" s="13">
        <f>_xlfn.XLOOKUP(B476,DataSet!$N$2:$N$600,DataSet!$C$2:$C$600,0)</f>
        <v>41952</v>
      </c>
      <c r="H476" s="10" t="str">
        <f>_xlfn.XLOOKUP(B476,DataSet!$N$2:$N$600,DataSet!$I$2:$I$600,0)</f>
        <v>United States</v>
      </c>
      <c r="I476" s="10" t="str">
        <f>_xlfn.XLOOKUP(B476,DataSet!$N$2:$N$600,DataSet!$X$2:$X$600,0)</f>
        <v>San Francisco - California</v>
      </c>
      <c r="J476" s="10" t="str">
        <f>_xlfn.XLOOKUP(B476,DataSet!$N$2:$N$600,DataSet!$M$2:$M$600,0)</f>
        <v>West</v>
      </c>
      <c r="K476" s="10" t="str">
        <f>_xlfn.XLOOKUP(B476,DataSet!$N$2:$N$600,DataSet!$O$2:$O$600,0)</f>
        <v>Technology</v>
      </c>
      <c r="L476" s="10" t="str">
        <f>_xlfn.XLOOKUP(B476,DataSet!$N$2:$N$600,DataSet!$Y$2:$Y$600,0)</f>
        <v>Phones</v>
      </c>
      <c r="M476" s="10" t="str">
        <f>_xlfn.XLOOKUP(B476,DataSet!$N$2:$N$600,DataSet!$Q$2:$Q$600,0)</f>
        <v>Samsung Galaxy Note 3</v>
      </c>
      <c r="N476" s="16">
        <f>_xlfn.XLOOKUP(B476,DataSet!$N$2:$N$600,DataSet!$AA$2:$AA$600,0)</f>
        <v>703.96799999999996</v>
      </c>
      <c r="O476" s="10">
        <f>_xlfn.XLOOKUP(B476,DataSet!$N$2:$N$600,DataSet!$S$2:$S$600,0)</f>
        <v>4</v>
      </c>
      <c r="P476" s="15">
        <f>_xlfn.XLOOKUP(B476,DataSet!$N$2:$N$600,DataSet!$T$2:$T$600,0)</f>
        <v>0.2</v>
      </c>
      <c r="Q476" s="14">
        <f>_xlfn.XLOOKUP(B476,DataSet!$N$2:$N$600,DataSet!$U$2:$U$600,0)</f>
        <v>87.995999999999995</v>
      </c>
      <c r="R476" s="16">
        <f>_xlfn.XLOOKUP(B476,DataSet!$N$2:$N$600,DataSet!$AB$2:$AB$600,0)</f>
        <v>2815.8719999999998</v>
      </c>
      <c r="S476" s="9">
        <f>_xlfn.XLOOKUP(B476,DataSet!$N$2:$N$600,DataSet!$AC$2:$AC$600,0)</f>
        <v>2252.6976</v>
      </c>
    </row>
    <row r="477" spans="1:19" s="12" customFormat="1" x14ac:dyDescent="0.3">
      <c r="A477" s="27">
        <v>475</v>
      </c>
      <c r="B477" s="10" t="s">
        <v>1638</v>
      </c>
      <c r="C477" s="10" t="str">
        <f>_xlfn.XLOOKUP(B477,DataSet!$N$2:$N$600,DataSet!$AF$2:$AF$600,0)</f>
        <v>144666</v>
      </c>
      <c r="D477" s="10" t="str">
        <f>_xlfn.XLOOKUP(B477,DataSet!$N$2:$N$600,DataSet!$G$2:$G$600,0)</f>
        <v>Jeremy Pistek</v>
      </c>
      <c r="E477" s="10" t="str">
        <f>_xlfn.XLOOKUP(B477,DataSet!$N$2:$N$600,DataSet!$F$2:$F$600,0)</f>
        <v>JP-15520</v>
      </c>
      <c r="F477" s="10" t="str">
        <f>_xlfn.XLOOKUP(B477,DataSet!$N$2:$N$600,DataSet!$W$2:$W$600,0)</f>
        <v>Consumer</v>
      </c>
      <c r="G477" s="13">
        <f>_xlfn.XLOOKUP(B477,DataSet!$N$2:$N$600,DataSet!$C$2:$C$600,0)</f>
        <v>41952</v>
      </c>
      <c r="H477" s="10" t="str">
        <f>_xlfn.XLOOKUP(B477,DataSet!$N$2:$N$600,DataSet!$I$2:$I$600,0)</f>
        <v>United States</v>
      </c>
      <c r="I477" s="10" t="str">
        <f>_xlfn.XLOOKUP(B477,DataSet!$N$2:$N$600,DataSet!$X$2:$X$600,0)</f>
        <v>San Francisco - California</v>
      </c>
      <c r="J477" s="10" t="str">
        <f>_xlfn.XLOOKUP(B477,DataSet!$N$2:$N$600,DataSet!$M$2:$M$600,0)</f>
        <v>West</v>
      </c>
      <c r="K477" s="10" t="str">
        <f>_xlfn.XLOOKUP(B477,DataSet!$N$2:$N$600,DataSet!$O$2:$O$600,0)</f>
        <v>Office Supplies</v>
      </c>
      <c r="L477" s="10" t="str">
        <f>_xlfn.XLOOKUP(B477,DataSet!$N$2:$N$600,DataSet!$Y$2:$Y$600,0)</f>
        <v>Storage</v>
      </c>
      <c r="M477" s="10" t="str">
        <f>_xlfn.XLOOKUP(B477,DataSet!$N$2:$N$600,DataSet!$Q$2:$Q$600,0)</f>
        <v>Decoflex Hanging Personal Folder File, Blue</v>
      </c>
      <c r="N477" s="16">
        <f>_xlfn.XLOOKUP(B477,DataSet!$N$2:$N$600,DataSet!$AA$2:$AA$600,0)</f>
        <v>92.52</v>
      </c>
      <c r="O477" s="10">
        <f>_xlfn.XLOOKUP(B477,DataSet!$N$2:$N$600,DataSet!$S$2:$S$600,0)</f>
        <v>6</v>
      </c>
      <c r="P477" s="15">
        <f>_xlfn.XLOOKUP(B477,DataSet!$N$2:$N$600,DataSet!$T$2:$T$600,0)</f>
        <v>0</v>
      </c>
      <c r="Q477" s="14">
        <f>_xlfn.XLOOKUP(B477,DataSet!$N$2:$N$600,DataSet!$U$2:$U$600,0)</f>
        <v>24.980399999999999</v>
      </c>
      <c r="R477" s="16">
        <f>_xlfn.XLOOKUP(B477,DataSet!$N$2:$N$600,DataSet!$AB$2:$AB$600,0)</f>
        <v>555.12</v>
      </c>
      <c r="S477" s="9">
        <f>_xlfn.XLOOKUP(B477,DataSet!$N$2:$N$600,DataSet!$AC$2:$AC$600,0)</f>
        <v>555.12</v>
      </c>
    </row>
    <row r="478" spans="1:19" s="12" customFormat="1" x14ac:dyDescent="0.3">
      <c r="A478" s="27">
        <v>476</v>
      </c>
      <c r="B478" s="10" t="s">
        <v>1640</v>
      </c>
      <c r="C478" s="10" t="str">
        <f>_xlfn.XLOOKUP(B478,DataSet!$N$2:$N$600,DataSet!$AF$2:$AF$600,0)</f>
        <v>144666</v>
      </c>
      <c r="D478" s="10" t="str">
        <f>_xlfn.XLOOKUP(B478,DataSet!$N$2:$N$600,DataSet!$G$2:$G$600,0)</f>
        <v>Jeremy Pistek</v>
      </c>
      <c r="E478" s="10" t="str">
        <f>_xlfn.XLOOKUP(B478,DataSet!$N$2:$N$600,DataSet!$F$2:$F$600,0)</f>
        <v>JP-15520</v>
      </c>
      <c r="F478" s="10" t="str">
        <f>_xlfn.XLOOKUP(B478,DataSet!$N$2:$N$600,DataSet!$W$2:$W$600,0)</f>
        <v>Consumer</v>
      </c>
      <c r="G478" s="13">
        <f>_xlfn.XLOOKUP(B478,DataSet!$N$2:$N$600,DataSet!$C$2:$C$600,0)</f>
        <v>41952</v>
      </c>
      <c r="H478" s="10" t="str">
        <f>_xlfn.XLOOKUP(B478,DataSet!$N$2:$N$600,DataSet!$I$2:$I$600,0)</f>
        <v>United States</v>
      </c>
      <c r="I478" s="10" t="str">
        <f>_xlfn.XLOOKUP(B478,DataSet!$N$2:$N$600,DataSet!$X$2:$X$600,0)</f>
        <v>San Francisco - California</v>
      </c>
      <c r="J478" s="10" t="str">
        <f>_xlfn.XLOOKUP(B478,DataSet!$N$2:$N$600,DataSet!$M$2:$M$600,0)</f>
        <v>West</v>
      </c>
      <c r="K478" s="10" t="str">
        <f>_xlfn.XLOOKUP(B478,DataSet!$N$2:$N$600,DataSet!$O$2:$O$600,0)</f>
        <v>Office Supplies</v>
      </c>
      <c r="L478" s="10" t="str">
        <f>_xlfn.XLOOKUP(B478,DataSet!$N$2:$N$600,DataSet!$Y$2:$Y$600,0)</f>
        <v>Paper</v>
      </c>
      <c r="M478" s="10" t="str">
        <f>_xlfn.XLOOKUP(B478,DataSet!$N$2:$N$600,DataSet!$Q$2:$Q$600,0)</f>
        <v>Recycled Desk Saver Line "While You Were Out" Book, 5 1/2" X 4"</v>
      </c>
      <c r="N478" s="16">
        <f>_xlfn.XLOOKUP(B478,DataSet!$N$2:$N$600,DataSet!$AA$2:$AA$600,0)</f>
        <v>62.65</v>
      </c>
      <c r="O478" s="10">
        <f>_xlfn.XLOOKUP(B478,DataSet!$N$2:$N$600,DataSet!$S$2:$S$600,0)</f>
        <v>7</v>
      </c>
      <c r="P478" s="15">
        <f>_xlfn.XLOOKUP(B478,DataSet!$N$2:$N$600,DataSet!$T$2:$T$600,0)</f>
        <v>0</v>
      </c>
      <c r="Q478" s="14">
        <f>_xlfn.XLOOKUP(B478,DataSet!$N$2:$N$600,DataSet!$U$2:$U$600,0)</f>
        <v>28.818999999999999</v>
      </c>
      <c r="R478" s="16">
        <f>_xlfn.XLOOKUP(B478,DataSet!$N$2:$N$600,DataSet!$AB$2:$AB$600,0)</f>
        <v>438.55</v>
      </c>
      <c r="S478" s="9">
        <f>_xlfn.XLOOKUP(B478,DataSet!$N$2:$N$600,DataSet!$AC$2:$AC$600,0)</f>
        <v>438.55</v>
      </c>
    </row>
    <row r="479" spans="1:19" s="12" customFormat="1" x14ac:dyDescent="0.3">
      <c r="A479" s="27">
        <v>477</v>
      </c>
      <c r="B479" s="10" t="s">
        <v>1642</v>
      </c>
      <c r="C479" s="10" t="str">
        <f>_xlfn.XLOOKUP(B479,DataSet!$N$2:$N$600,DataSet!$AF$2:$AF$600,0)</f>
        <v>144666</v>
      </c>
      <c r="D479" s="10" t="str">
        <f>_xlfn.XLOOKUP(B479,DataSet!$N$2:$N$600,DataSet!$G$2:$G$600,0)</f>
        <v>Jeremy Pistek</v>
      </c>
      <c r="E479" s="10" t="str">
        <f>_xlfn.XLOOKUP(B479,DataSet!$N$2:$N$600,DataSet!$F$2:$F$600,0)</f>
        <v>JP-15520</v>
      </c>
      <c r="F479" s="10" t="str">
        <f>_xlfn.XLOOKUP(B479,DataSet!$N$2:$N$600,DataSet!$W$2:$W$600,0)</f>
        <v>Consumer</v>
      </c>
      <c r="G479" s="13">
        <f>_xlfn.XLOOKUP(B479,DataSet!$N$2:$N$600,DataSet!$C$2:$C$600,0)</f>
        <v>41952</v>
      </c>
      <c r="H479" s="10" t="str">
        <f>_xlfn.XLOOKUP(B479,DataSet!$N$2:$N$600,DataSet!$I$2:$I$600,0)</f>
        <v>United States</v>
      </c>
      <c r="I479" s="10" t="str">
        <f>_xlfn.XLOOKUP(B479,DataSet!$N$2:$N$600,DataSet!$X$2:$X$600,0)</f>
        <v>San Francisco - California</v>
      </c>
      <c r="J479" s="10" t="str">
        <f>_xlfn.XLOOKUP(B479,DataSet!$N$2:$N$600,DataSet!$M$2:$M$600,0)</f>
        <v>West</v>
      </c>
      <c r="K479" s="10" t="str">
        <f>_xlfn.XLOOKUP(B479,DataSet!$N$2:$N$600,DataSet!$O$2:$O$600,0)</f>
        <v>Office Supplies</v>
      </c>
      <c r="L479" s="10" t="str">
        <f>_xlfn.XLOOKUP(B479,DataSet!$N$2:$N$600,DataSet!$Y$2:$Y$600,0)</f>
        <v>Paper</v>
      </c>
      <c r="M479" s="10" t="str">
        <f>_xlfn.XLOOKUP(B479,DataSet!$N$2:$N$600,DataSet!$Q$2:$Q$600,0)</f>
        <v>Xerox 1912</v>
      </c>
      <c r="N479" s="16">
        <f>_xlfn.XLOOKUP(B479,DataSet!$N$2:$N$600,DataSet!$AA$2:$AA$600,0)</f>
        <v>94.85</v>
      </c>
      <c r="O479" s="10">
        <f>_xlfn.XLOOKUP(B479,DataSet!$N$2:$N$600,DataSet!$S$2:$S$600,0)</f>
        <v>5</v>
      </c>
      <c r="P479" s="15">
        <f>_xlfn.XLOOKUP(B479,DataSet!$N$2:$N$600,DataSet!$T$2:$T$600,0)</f>
        <v>0</v>
      </c>
      <c r="Q479" s="14">
        <f>_xlfn.XLOOKUP(B479,DataSet!$N$2:$N$600,DataSet!$U$2:$U$600,0)</f>
        <v>45.527999999999999</v>
      </c>
      <c r="R479" s="16">
        <f>_xlfn.XLOOKUP(B479,DataSet!$N$2:$N$600,DataSet!$AB$2:$AB$600,0)</f>
        <v>474.25</v>
      </c>
      <c r="S479" s="9">
        <f>_xlfn.XLOOKUP(B479,DataSet!$N$2:$N$600,DataSet!$AC$2:$AC$600,0)</f>
        <v>474.25</v>
      </c>
    </row>
    <row r="480" spans="1:19" s="12" customFormat="1" x14ac:dyDescent="0.3">
      <c r="A480" s="27">
        <v>478</v>
      </c>
      <c r="B480" s="10" t="s">
        <v>1645</v>
      </c>
      <c r="C480" s="10" t="str">
        <f>_xlfn.XLOOKUP(B480,DataSet!$N$2:$N$600,DataSet!$AF$2:$AF$600,0)</f>
        <v>103891</v>
      </c>
      <c r="D480" s="10" t="str">
        <f>_xlfn.XLOOKUP(B480,DataSet!$N$2:$N$600,DataSet!$G$2:$G$600,0)</f>
        <v>Kristen Hastings</v>
      </c>
      <c r="E480" s="10" t="str">
        <f>_xlfn.XLOOKUP(B480,DataSet!$N$2:$N$600,DataSet!$F$2:$F$600,0)</f>
        <v>KH-16690</v>
      </c>
      <c r="F480" s="10" t="str">
        <f>_xlfn.XLOOKUP(B480,DataSet!$N$2:$N$600,DataSet!$W$2:$W$600,0)</f>
        <v>Corporate</v>
      </c>
      <c r="G480" s="13">
        <f>_xlfn.XLOOKUP(B480,DataSet!$N$2:$N$600,DataSet!$C$2:$C$600,0)</f>
        <v>42563</v>
      </c>
      <c r="H480" s="10" t="str">
        <f>_xlfn.XLOOKUP(B480,DataSet!$N$2:$N$600,DataSet!$I$2:$I$600,0)</f>
        <v>United States</v>
      </c>
      <c r="I480" s="10" t="str">
        <f>_xlfn.XLOOKUP(B480,DataSet!$N$2:$N$600,DataSet!$X$2:$X$600,0)</f>
        <v>Los Angeles - California</v>
      </c>
      <c r="J480" s="10" t="str">
        <f>_xlfn.XLOOKUP(B480,DataSet!$N$2:$N$600,DataSet!$M$2:$M$600,0)</f>
        <v>West</v>
      </c>
      <c r="K480" s="10" t="str">
        <f>_xlfn.XLOOKUP(B480,DataSet!$N$2:$N$600,DataSet!$O$2:$O$600,0)</f>
        <v>Technology</v>
      </c>
      <c r="L480" s="10" t="str">
        <f>_xlfn.XLOOKUP(B480,DataSet!$N$2:$N$600,DataSet!$Y$2:$Y$600,0)</f>
        <v>Phones</v>
      </c>
      <c r="M480" s="10" t="str">
        <f>_xlfn.XLOOKUP(B480,DataSet!$N$2:$N$600,DataSet!$Q$2:$Q$600,0)</f>
        <v>Cisco SPA525G2 IP Phone - Wireless</v>
      </c>
      <c r="N480" s="16">
        <f>_xlfn.XLOOKUP(B480,DataSet!$N$2:$N$600,DataSet!$AA$2:$AA$600,0)</f>
        <v>95.76</v>
      </c>
      <c r="O480" s="10">
        <f>_xlfn.XLOOKUP(B480,DataSet!$N$2:$N$600,DataSet!$S$2:$S$600,0)</f>
        <v>6</v>
      </c>
      <c r="P480" s="15">
        <f>_xlfn.XLOOKUP(B480,DataSet!$N$2:$N$600,DataSet!$T$2:$T$600,0)</f>
        <v>0.2</v>
      </c>
      <c r="Q480" s="14">
        <f>_xlfn.XLOOKUP(B480,DataSet!$N$2:$N$600,DataSet!$U$2:$U$600,0)</f>
        <v>7.1820000000000004</v>
      </c>
      <c r="R480" s="16">
        <f>_xlfn.XLOOKUP(B480,DataSet!$N$2:$N$600,DataSet!$AB$2:$AB$600,0)</f>
        <v>574.56000000000006</v>
      </c>
      <c r="S480" s="9">
        <f>_xlfn.XLOOKUP(B480,DataSet!$N$2:$N$600,DataSet!$AC$2:$AC$600,0)</f>
        <v>459.64800000000008</v>
      </c>
    </row>
    <row r="481" spans="1:19" s="12" customFormat="1" x14ac:dyDescent="0.3">
      <c r="A481" s="27">
        <v>479</v>
      </c>
      <c r="B481" s="10" t="s">
        <v>1111</v>
      </c>
      <c r="C481" s="10" t="str">
        <f>_xlfn.XLOOKUP(B481,DataSet!$N$2:$N$600,DataSet!$AF$2:$AF$600,0)</f>
        <v>144253</v>
      </c>
      <c r="D481" s="10" t="str">
        <f>_xlfn.XLOOKUP(B481,DataSet!$N$2:$N$600,DataSet!$G$2:$G$600,0)</f>
        <v>Alan Schoenberger</v>
      </c>
      <c r="E481" s="10" t="str">
        <f>_xlfn.XLOOKUP(B481,DataSet!$N$2:$N$600,DataSet!$F$2:$F$600,0)</f>
        <v>AS-10225</v>
      </c>
      <c r="F481" s="10" t="str">
        <f>_xlfn.XLOOKUP(B481,DataSet!$N$2:$N$600,DataSet!$W$2:$W$600,0)</f>
        <v>Corporate</v>
      </c>
      <c r="G481" s="13">
        <f>_xlfn.XLOOKUP(B481,DataSet!$N$2:$N$600,DataSet!$C$2:$C$600,0)</f>
        <v>42128</v>
      </c>
      <c r="H481" s="10" t="str">
        <f>_xlfn.XLOOKUP(B481,DataSet!$N$2:$N$600,DataSet!$I$2:$I$600,0)</f>
        <v>United States</v>
      </c>
      <c r="I481" s="10" t="str">
        <f>_xlfn.XLOOKUP(B481,DataSet!$N$2:$N$600,DataSet!$X$2:$X$600,0)</f>
        <v>New York City - New York</v>
      </c>
      <c r="J481" s="10" t="str">
        <f>_xlfn.XLOOKUP(B481,DataSet!$N$2:$N$600,DataSet!$M$2:$M$600,0)</f>
        <v>East</v>
      </c>
      <c r="K481" s="10" t="str">
        <f>_xlfn.XLOOKUP(B481,DataSet!$N$2:$N$600,DataSet!$O$2:$O$600,0)</f>
        <v>Furniture</v>
      </c>
      <c r="L481" s="10" t="str">
        <f>_xlfn.XLOOKUP(B481,DataSet!$N$2:$N$600,DataSet!$Y$2:$Y$600,0)</f>
        <v>Furnishings</v>
      </c>
      <c r="M481" s="10" t="str">
        <f>_xlfn.XLOOKUP(B481,DataSet!$N$2:$N$600,DataSet!$Q$2:$Q$600,0)</f>
        <v>Electrix 20W Halogen Replacement Bulb for Zoom-In Desk Lamp</v>
      </c>
      <c r="N481" s="16">
        <f>_xlfn.XLOOKUP(B481,DataSet!$N$2:$N$600,DataSet!$AA$2:$AA$600,0)</f>
        <v>26.8</v>
      </c>
      <c r="O481" s="10">
        <f>_xlfn.XLOOKUP(B481,DataSet!$N$2:$N$600,DataSet!$S$2:$S$600,0)</f>
        <v>2</v>
      </c>
      <c r="P481" s="15">
        <f>_xlfn.XLOOKUP(B481,DataSet!$N$2:$N$600,DataSet!$T$2:$T$600,0)</f>
        <v>0</v>
      </c>
      <c r="Q481" s="14">
        <f>_xlfn.XLOOKUP(B481,DataSet!$N$2:$N$600,DataSet!$U$2:$U$600,0)</f>
        <v>12.864000000000001</v>
      </c>
      <c r="R481" s="16">
        <f>_xlfn.XLOOKUP(B481,DataSet!$N$2:$N$600,DataSet!$AB$2:$AB$600,0)</f>
        <v>53.6</v>
      </c>
      <c r="S481" s="9">
        <f>_xlfn.XLOOKUP(B481,DataSet!$N$2:$N$600,DataSet!$AC$2:$AC$600,0)</f>
        <v>53.6</v>
      </c>
    </row>
    <row r="482" spans="1:19" s="12" customFormat="1" x14ac:dyDescent="0.3">
      <c r="A482" s="27">
        <v>480</v>
      </c>
      <c r="B482" s="10" t="s">
        <v>1653</v>
      </c>
      <c r="C482" s="10" t="str">
        <f>_xlfn.XLOOKUP(B482,DataSet!$N$2:$N$600,DataSet!$AF$2:$AF$600,0)</f>
        <v>100790</v>
      </c>
      <c r="D482" s="10" t="str">
        <f>_xlfn.XLOOKUP(B482,DataSet!$N$2:$N$600,DataSet!$G$2:$G$600,0)</f>
        <v>John Grady</v>
      </c>
      <c r="E482" s="10" t="str">
        <f>_xlfn.XLOOKUP(B482,DataSet!$N$2:$N$600,DataSet!$F$2:$F$600,0)</f>
        <v>JG-15805</v>
      </c>
      <c r="F482" s="10" t="str">
        <f>_xlfn.XLOOKUP(B482,DataSet!$N$2:$N$600,DataSet!$W$2:$W$600,0)</f>
        <v>Corporate</v>
      </c>
      <c r="G482" s="13">
        <f>_xlfn.XLOOKUP(B482,DataSet!$N$2:$N$600,DataSet!$C$2:$C$600,0)</f>
        <v>42547</v>
      </c>
      <c r="H482" s="10" t="str">
        <f>_xlfn.XLOOKUP(B482,DataSet!$N$2:$N$600,DataSet!$I$2:$I$600,0)</f>
        <v>United States</v>
      </c>
      <c r="I482" s="10" t="str">
        <f>_xlfn.XLOOKUP(B482,DataSet!$N$2:$N$600,DataSet!$X$2:$X$600,0)</f>
        <v>New York City - New York</v>
      </c>
      <c r="J482" s="10" t="str">
        <f>_xlfn.XLOOKUP(B482,DataSet!$N$2:$N$600,DataSet!$M$2:$M$600,0)</f>
        <v>East</v>
      </c>
      <c r="K482" s="10" t="str">
        <f>_xlfn.XLOOKUP(B482,DataSet!$N$2:$N$600,DataSet!$O$2:$O$600,0)</f>
        <v>Office Supplies</v>
      </c>
      <c r="L482" s="10" t="str">
        <f>_xlfn.XLOOKUP(B482,DataSet!$N$2:$N$600,DataSet!$Y$2:$Y$600,0)</f>
        <v>Art</v>
      </c>
      <c r="M482" s="10" t="str">
        <f>_xlfn.XLOOKUP(B482,DataSet!$N$2:$N$600,DataSet!$Q$2:$Q$600,0)</f>
        <v>Prang Colored Pencils</v>
      </c>
      <c r="N482" s="16">
        <f>_xlfn.XLOOKUP(B482,DataSet!$N$2:$N$600,DataSet!$AA$2:$AA$600,0)</f>
        <v>14.7</v>
      </c>
      <c r="O482" s="10">
        <f>_xlfn.XLOOKUP(B482,DataSet!$N$2:$N$600,DataSet!$S$2:$S$600,0)</f>
        <v>5</v>
      </c>
      <c r="P482" s="15">
        <f>_xlfn.XLOOKUP(B482,DataSet!$N$2:$N$600,DataSet!$T$2:$T$600,0)</f>
        <v>0</v>
      </c>
      <c r="Q482" s="14">
        <f>_xlfn.XLOOKUP(B482,DataSet!$N$2:$N$600,DataSet!$U$2:$U$600,0)</f>
        <v>6.6150000000000002</v>
      </c>
      <c r="R482" s="16">
        <f>_xlfn.XLOOKUP(B482,DataSet!$N$2:$N$600,DataSet!$AB$2:$AB$600,0)</f>
        <v>73.5</v>
      </c>
      <c r="S482" s="9">
        <f>_xlfn.XLOOKUP(B482,DataSet!$N$2:$N$600,DataSet!$AC$2:$AC$600,0)</f>
        <v>73.5</v>
      </c>
    </row>
    <row r="483" spans="1:19" s="12" customFormat="1" x14ac:dyDescent="0.3">
      <c r="A483" s="27">
        <v>481</v>
      </c>
      <c r="B483" s="10" t="s">
        <v>1655</v>
      </c>
      <c r="C483" s="10" t="str">
        <f>_xlfn.XLOOKUP(B483,DataSet!$N$2:$N$600,DataSet!$AF$2:$AF$600,0)</f>
        <v>100790</v>
      </c>
      <c r="D483" s="10" t="str">
        <f>_xlfn.XLOOKUP(B483,DataSet!$N$2:$N$600,DataSet!$G$2:$G$600,0)</f>
        <v>John Grady</v>
      </c>
      <c r="E483" s="10" t="str">
        <f>_xlfn.XLOOKUP(B483,DataSet!$N$2:$N$600,DataSet!$F$2:$F$600,0)</f>
        <v>JG-15805</v>
      </c>
      <c r="F483" s="10" t="str">
        <f>_xlfn.XLOOKUP(B483,DataSet!$N$2:$N$600,DataSet!$W$2:$W$600,0)</f>
        <v>Corporate</v>
      </c>
      <c r="G483" s="13">
        <f>_xlfn.XLOOKUP(B483,DataSet!$N$2:$N$600,DataSet!$C$2:$C$600,0)</f>
        <v>42547</v>
      </c>
      <c r="H483" s="10" t="str">
        <f>_xlfn.XLOOKUP(B483,DataSet!$N$2:$N$600,DataSet!$I$2:$I$600,0)</f>
        <v>United States</v>
      </c>
      <c r="I483" s="10" t="str">
        <f>_xlfn.XLOOKUP(B483,DataSet!$N$2:$N$600,DataSet!$X$2:$X$600,0)</f>
        <v>New York City - New York</v>
      </c>
      <c r="J483" s="10" t="str">
        <f>_xlfn.XLOOKUP(B483,DataSet!$N$2:$N$600,DataSet!$M$2:$M$600,0)</f>
        <v>East</v>
      </c>
      <c r="K483" s="10" t="str">
        <f>_xlfn.XLOOKUP(B483,DataSet!$N$2:$N$600,DataSet!$O$2:$O$600,0)</f>
        <v>Office Supplies</v>
      </c>
      <c r="L483" s="10" t="str">
        <f>_xlfn.XLOOKUP(B483,DataSet!$N$2:$N$600,DataSet!$Y$2:$Y$600,0)</f>
        <v>Storage</v>
      </c>
      <c r="M483" s="10" t="str">
        <f>_xlfn.XLOOKUP(B483,DataSet!$N$2:$N$600,DataSet!$Q$2:$Q$600,0)</f>
        <v>Fellowes Strictly Business Drawer File, Letter/Legal Size</v>
      </c>
      <c r="N483" s="16">
        <f>_xlfn.XLOOKUP(B483,DataSet!$N$2:$N$600,DataSet!$AA$2:$AA$600,0)</f>
        <v>704.25</v>
      </c>
      <c r="O483" s="10">
        <f>_xlfn.XLOOKUP(B483,DataSet!$N$2:$N$600,DataSet!$S$2:$S$600,0)</f>
        <v>5</v>
      </c>
      <c r="P483" s="15">
        <f>_xlfn.XLOOKUP(B483,DataSet!$N$2:$N$600,DataSet!$T$2:$T$600,0)</f>
        <v>0</v>
      </c>
      <c r="Q483" s="14">
        <f>_xlfn.XLOOKUP(B483,DataSet!$N$2:$N$600,DataSet!$U$2:$U$600,0)</f>
        <v>84.51</v>
      </c>
      <c r="R483" s="16">
        <f>_xlfn.XLOOKUP(B483,DataSet!$N$2:$N$600,DataSet!$AB$2:$AB$600,0)</f>
        <v>3521.25</v>
      </c>
      <c r="S483" s="9">
        <f>_xlfn.XLOOKUP(B483,DataSet!$N$2:$N$600,DataSet!$AC$2:$AC$600,0)</f>
        <v>3521.25</v>
      </c>
    </row>
    <row r="484" spans="1:19" s="12" customFormat="1" x14ac:dyDescent="0.3">
      <c r="A484" s="27">
        <v>482</v>
      </c>
      <c r="B484" s="10" t="s">
        <v>1660</v>
      </c>
      <c r="C484" s="10" t="str">
        <f>_xlfn.XLOOKUP(B484,DataSet!$N$2:$N$600,DataSet!$AF$2:$AF$600,0)</f>
        <v>134677</v>
      </c>
      <c r="D484" s="10" t="str">
        <f>_xlfn.XLOOKUP(B484,DataSet!$N$2:$N$600,DataSet!$G$2:$G$600,0)</f>
        <v>Xylona Preis</v>
      </c>
      <c r="E484" s="10" t="str">
        <f>_xlfn.XLOOKUP(B484,DataSet!$N$2:$N$600,DataSet!$F$2:$F$600,0)</f>
        <v>XP-21865</v>
      </c>
      <c r="F484" s="10" t="str">
        <f>_xlfn.XLOOKUP(B484,DataSet!$N$2:$N$600,DataSet!$W$2:$W$600,0)</f>
        <v>Consumer</v>
      </c>
      <c r="G484" s="13">
        <f>_xlfn.XLOOKUP(B484,DataSet!$N$2:$N$600,DataSet!$C$2:$C$600,0)</f>
        <v>41918</v>
      </c>
      <c r="H484" s="10" t="str">
        <f>_xlfn.XLOOKUP(B484,DataSet!$N$2:$N$600,DataSet!$I$2:$I$600,0)</f>
        <v>United States</v>
      </c>
      <c r="I484" s="10" t="str">
        <f>_xlfn.XLOOKUP(B484,DataSet!$N$2:$N$600,DataSet!$X$2:$X$600,0)</f>
        <v>San Diego - California</v>
      </c>
      <c r="J484" s="10" t="str">
        <f>_xlfn.XLOOKUP(B484,DataSet!$N$2:$N$600,DataSet!$M$2:$M$600,0)</f>
        <v>West</v>
      </c>
      <c r="K484" s="10" t="str">
        <f>_xlfn.XLOOKUP(B484,DataSet!$N$2:$N$600,DataSet!$O$2:$O$600,0)</f>
        <v>Technology</v>
      </c>
      <c r="L484" s="10" t="str">
        <f>_xlfn.XLOOKUP(B484,DataSet!$N$2:$N$600,DataSet!$Y$2:$Y$600,0)</f>
        <v>Accessories</v>
      </c>
      <c r="M484" s="10" t="str">
        <f>_xlfn.XLOOKUP(B484,DataSet!$N$2:$N$600,DataSet!$Q$2:$Q$600,0)</f>
        <v>Imation USB 2.0 Swivel Flash Drive USB flash drive - 4 GB - Pink</v>
      </c>
      <c r="N484" s="16">
        <f>_xlfn.XLOOKUP(B484,DataSet!$N$2:$N$600,DataSet!$AA$2:$AA$600,0)</f>
        <v>9.09</v>
      </c>
      <c r="O484" s="10">
        <f>_xlfn.XLOOKUP(B484,DataSet!$N$2:$N$600,DataSet!$S$2:$S$600,0)</f>
        <v>3</v>
      </c>
      <c r="P484" s="15">
        <f>_xlfn.XLOOKUP(B484,DataSet!$N$2:$N$600,DataSet!$T$2:$T$600,0)</f>
        <v>0</v>
      </c>
      <c r="Q484" s="14">
        <f>_xlfn.XLOOKUP(B484,DataSet!$N$2:$N$600,DataSet!$U$2:$U$600,0)</f>
        <v>1.9089</v>
      </c>
      <c r="R484" s="16">
        <f>_xlfn.XLOOKUP(B484,DataSet!$N$2:$N$600,DataSet!$AB$2:$AB$600,0)</f>
        <v>27.27</v>
      </c>
      <c r="S484" s="9">
        <f>_xlfn.XLOOKUP(B484,DataSet!$N$2:$N$600,DataSet!$AC$2:$AC$600,0)</f>
        <v>27.27</v>
      </c>
    </row>
    <row r="485" spans="1:19" s="12" customFormat="1" x14ac:dyDescent="0.3">
      <c r="A485" s="27">
        <v>483</v>
      </c>
      <c r="B485" s="10" t="s">
        <v>364</v>
      </c>
      <c r="C485" s="10" t="str">
        <f>_xlfn.XLOOKUP(B485,DataSet!$N$2:$N$600,DataSet!$AF$2:$AF$600,0)</f>
        <v>139451</v>
      </c>
      <c r="D485" s="10" t="str">
        <f>_xlfn.XLOOKUP(B485,DataSet!$N$2:$N$600,DataSet!$G$2:$G$600,0)</f>
        <v>Duane Noonan</v>
      </c>
      <c r="E485" s="10" t="str">
        <f>_xlfn.XLOOKUP(B485,DataSet!$N$2:$N$600,DataSet!$F$2:$F$600,0)</f>
        <v>DN-13690</v>
      </c>
      <c r="F485" s="10" t="str">
        <f>_xlfn.XLOOKUP(B485,DataSet!$N$2:$N$600,DataSet!$W$2:$W$600,0)</f>
        <v>Consumer</v>
      </c>
      <c r="G485" s="13">
        <f>_xlfn.XLOOKUP(B485,DataSet!$N$2:$N$600,DataSet!$C$2:$C$600,0)</f>
        <v>41924</v>
      </c>
      <c r="H485" s="10" t="str">
        <f>_xlfn.XLOOKUP(B485,DataSet!$N$2:$N$600,DataSet!$I$2:$I$600,0)</f>
        <v>United States</v>
      </c>
      <c r="I485" s="10" t="str">
        <f>_xlfn.XLOOKUP(B485,DataSet!$N$2:$N$600,DataSet!$X$2:$X$600,0)</f>
        <v>San Francisco - California</v>
      </c>
      <c r="J485" s="10" t="str">
        <f>_xlfn.XLOOKUP(B485,DataSet!$N$2:$N$600,DataSet!$M$2:$M$600,0)</f>
        <v>West</v>
      </c>
      <c r="K485" s="10" t="str">
        <f>_xlfn.XLOOKUP(B485,DataSet!$N$2:$N$600,DataSet!$O$2:$O$600,0)</f>
        <v>Office Supplies</v>
      </c>
      <c r="L485" s="10" t="str">
        <f>_xlfn.XLOOKUP(B485,DataSet!$N$2:$N$600,DataSet!$Y$2:$Y$600,0)</f>
        <v>Art</v>
      </c>
      <c r="M485" s="10" t="str">
        <f>_xlfn.XLOOKUP(B485,DataSet!$N$2:$N$600,DataSet!$Q$2:$Q$600,0)</f>
        <v>Premium Writing Pencils, Soft, #2 by Central Association for the Blind</v>
      </c>
      <c r="N485" s="16">
        <f>_xlfn.XLOOKUP(B485,DataSet!$N$2:$N$600,DataSet!$AA$2:$AA$600,0)</f>
        <v>14.9</v>
      </c>
      <c r="O485" s="10">
        <f>_xlfn.XLOOKUP(B485,DataSet!$N$2:$N$600,DataSet!$S$2:$S$600,0)</f>
        <v>5</v>
      </c>
      <c r="P485" s="15">
        <f>_xlfn.XLOOKUP(B485,DataSet!$N$2:$N$600,DataSet!$T$2:$T$600,0)</f>
        <v>0</v>
      </c>
      <c r="Q485" s="14">
        <f>_xlfn.XLOOKUP(B485,DataSet!$N$2:$N$600,DataSet!$U$2:$U$600,0)</f>
        <v>4.1719999999999997</v>
      </c>
      <c r="R485" s="16">
        <f>_xlfn.XLOOKUP(B485,DataSet!$N$2:$N$600,DataSet!$AB$2:$AB$600,0)</f>
        <v>74.5</v>
      </c>
      <c r="S485" s="9">
        <f>_xlfn.XLOOKUP(B485,DataSet!$N$2:$N$600,DataSet!$AC$2:$AC$600,0)</f>
        <v>74.5</v>
      </c>
    </row>
    <row r="486" spans="1:19" s="12" customFormat="1" x14ac:dyDescent="0.3">
      <c r="A486" s="27">
        <v>484</v>
      </c>
      <c r="B486" s="10" t="s">
        <v>1665</v>
      </c>
      <c r="C486" s="10" t="str">
        <f>_xlfn.XLOOKUP(B486,DataSet!$N$2:$N$600,DataSet!$AF$2:$AF$600,0)</f>
        <v>127691</v>
      </c>
      <c r="D486" s="10" t="str">
        <f>_xlfn.XLOOKUP(B486,DataSet!$N$2:$N$600,DataSet!$G$2:$G$600,0)</f>
        <v>Erin Mull</v>
      </c>
      <c r="E486" s="10" t="str">
        <f>_xlfn.XLOOKUP(B486,DataSet!$N$2:$N$600,DataSet!$F$2:$F$600,0)</f>
        <v>EM-14065</v>
      </c>
      <c r="F486" s="10" t="str">
        <f>_xlfn.XLOOKUP(B486,DataSet!$N$2:$N$600,DataSet!$W$2:$W$600,0)</f>
        <v>Consumer</v>
      </c>
      <c r="G486" s="13">
        <f>_xlfn.XLOOKUP(B486,DataSet!$N$2:$N$600,DataSet!$C$2:$C$600,0)</f>
        <v>41842</v>
      </c>
      <c r="H486" s="10" t="str">
        <f>_xlfn.XLOOKUP(B486,DataSet!$N$2:$N$600,DataSet!$I$2:$I$600,0)</f>
        <v>United States</v>
      </c>
      <c r="I486" s="10" t="str">
        <f>_xlfn.XLOOKUP(B486,DataSet!$N$2:$N$600,DataSet!$X$2:$X$600,0)</f>
        <v>New York City - New York</v>
      </c>
      <c r="J486" s="10" t="str">
        <f>_xlfn.XLOOKUP(B486,DataSet!$N$2:$N$600,DataSet!$M$2:$M$600,0)</f>
        <v>East</v>
      </c>
      <c r="K486" s="10" t="str">
        <f>_xlfn.XLOOKUP(B486,DataSet!$N$2:$N$600,DataSet!$O$2:$O$600,0)</f>
        <v>Technology</v>
      </c>
      <c r="L486" s="10" t="str">
        <f>_xlfn.XLOOKUP(B486,DataSet!$N$2:$N$600,DataSet!$Y$2:$Y$600,0)</f>
        <v>Accessories</v>
      </c>
      <c r="M486" s="10" t="str">
        <f>_xlfn.XLOOKUP(B486,DataSet!$N$2:$N$600,DataSet!$Q$2:$Q$600,0)</f>
        <v>Logitech G602 Wireless Gaming Mouse</v>
      </c>
      <c r="N486" s="16">
        <f>_xlfn.XLOOKUP(B486,DataSet!$N$2:$N$600,DataSet!$AA$2:$AA$600,0)</f>
        <v>159.97999999999999</v>
      </c>
      <c r="O486" s="10">
        <f>_xlfn.XLOOKUP(B486,DataSet!$N$2:$N$600,DataSet!$S$2:$S$600,0)</f>
        <v>2</v>
      </c>
      <c r="P486" s="15">
        <f>_xlfn.XLOOKUP(B486,DataSet!$N$2:$N$600,DataSet!$T$2:$T$600,0)</f>
        <v>0</v>
      </c>
      <c r="Q486" s="14">
        <f>_xlfn.XLOOKUP(B486,DataSet!$N$2:$N$600,DataSet!$U$2:$U$600,0)</f>
        <v>57.592799999999997</v>
      </c>
      <c r="R486" s="16">
        <f>_xlfn.XLOOKUP(B486,DataSet!$N$2:$N$600,DataSet!$AB$2:$AB$600,0)</f>
        <v>319.95999999999998</v>
      </c>
      <c r="S486" s="9">
        <f>_xlfn.XLOOKUP(B486,DataSet!$N$2:$N$600,DataSet!$AC$2:$AC$600,0)</f>
        <v>319.95999999999998</v>
      </c>
    </row>
    <row r="487" spans="1:19" s="12" customFormat="1" x14ac:dyDescent="0.3">
      <c r="A487" s="27">
        <v>485</v>
      </c>
      <c r="B487" s="10" t="s">
        <v>1670</v>
      </c>
      <c r="C487" s="10" t="str">
        <f>_xlfn.XLOOKUP(B487,DataSet!$N$2:$N$600,DataSet!$AF$2:$AF$600,0)</f>
        <v>140963</v>
      </c>
      <c r="D487" s="10" t="str">
        <f>_xlfn.XLOOKUP(B487,DataSet!$N$2:$N$600,DataSet!$G$2:$G$600,0)</f>
        <v>Michelle Tran</v>
      </c>
      <c r="E487" s="10" t="str">
        <f>_xlfn.XLOOKUP(B487,DataSet!$N$2:$N$600,DataSet!$F$2:$F$600,0)</f>
        <v>MT-18070</v>
      </c>
      <c r="F487" s="10" t="str">
        <f>_xlfn.XLOOKUP(B487,DataSet!$N$2:$N$600,DataSet!$W$2:$W$600,0)</f>
        <v>Home Office</v>
      </c>
      <c r="G487" s="13">
        <f>_xlfn.XLOOKUP(B487,DataSet!$N$2:$N$600,DataSet!$C$2:$C$600,0)</f>
        <v>42896</v>
      </c>
      <c r="H487" s="10" t="str">
        <f>_xlfn.XLOOKUP(B487,DataSet!$N$2:$N$600,DataSet!$I$2:$I$600,0)</f>
        <v>United States</v>
      </c>
      <c r="I487" s="10" t="str">
        <f>_xlfn.XLOOKUP(B487,DataSet!$N$2:$N$600,DataSet!$X$2:$X$600,0)</f>
        <v>Los Angeles - California</v>
      </c>
      <c r="J487" s="10" t="str">
        <f>_xlfn.XLOOKUP(B487,DataSet!$N$2:$N$600,DataSet!$M$2:$M$600,0)</f>
        <v>West</v>
      </c>
      <c r="K487" s="10" t="str">
        <f>_xlfn.XLOOKUP(B487,DataSet!$N$2:$N$600,DataSet!$O$2:$O$600,0)</f>
        <v>Office Supplies</v>
      </c>
      <c r="L487" s="10" t="str">
        <f>_xlfn.XLOOKUP(B487,DataSet!$N$2:$N$600,DataSet!$Y$2:$Y$600,0)</f>
        <v>Labels</v>
      </c>
      <c r="M487" s="10" t="str">
        <f>_xlfn.XLOOKUP(B487,DataSet!$N$2:$N$600,DataSet!$Q$2:$Q$600,0)</f>
        <v>Alphabetical Labels for Top Tab Filing</v>
      </c>
      <c r="N487" s="16">
        <f>_xlfn.XLOOKUP(B487,DataSet!$N$2:$N$600,DataSet!$AA$2:$AA$600,0)</f>
        <v>29.6</v>
      </c>
      <c r="O487" s="10">
        <f>_xlfn.XLOOKUP(B487,DataSet!$N$2:$N$600,DataSet!$S$2:$S$600,0)</f>
        <v>2</v>
      </c>
      <c r="P487" s="15">
        <f>_xlfn.XLOOKUP(B487,DataSet!$N$2:$N$600,DataSet!$T$2:$T$600,0)</f>
        <v>0</v>
      </c>
      <c r="Q487" s="14">
        <f>_xlfn.XLOOKUP(B487,DataSet!$N$2:$N$600,DataSet!$U$2:$U$600,0)</f>
        <v>14.8</v>
      </c>
      <c r="R487" s="16">
        <f>_xlfn.XLOOKUP(B487,DataSet!$N$2:$N$600,DataSet!$AB$2:$AB$600,0)</f>
        <v>59.2</v>
      </c>
      <c r="S487" s="9">
        <f>_xlfn.XLOOKUP(B487,DataSet!$N$2:$N$600,DataSet!$AC$2:$AC$600,0)</f>
        <v>59.2</v>
      </c>
    </row>
    <row r="488" spans="1:19" s="12" customFormat="1" x14ac:dyDescent="0.3">
      <c r="A488" s="27">
        <v>486</v>
      </c>
      <c r="B488" s="10" t="s">
        <v>1672</v>
      </c>
      <c r="C488" s="10" t="str">
        <f>_xlfn.XLOOKUP(B488,DataSet!$N$2:$N$600,DataSet!$AF$2:$AF$600,0)</f>
        <v>140963</v>
      </c>
      <c r="D488" s="10" t="str">
        <f>_xlfn.XLOOKUP(B488,DataSet!$N$2:$N$600,DataSet!$G$2:$G$600,0)</f>
        <v>Michelle Tran</v>
      </c>
      <c r="E488" s="10" t="str">
        <f>_xlfn.XLOOKUP(B488,DataSet!$N$2:$N$600,DataSet!$F$2:$F$600,0)</f>
        <v>MT-18070</v>
      </c>
      <c r="F488" s="10" t="str">
        <f>_xlfn.XLOOKUP(B488,DataSet!$N$2:$N$600,DataSet!$W$2:$W$600,0)</f>
        <v>Home Office</v>
      </c>
      <c r="G488" s="13">
        <f>_xlfn.XLOOKUP(B488,DataSet!$N$2:$N$600,DataSet!$C$2:$C$600,0)</f>
        <v>42896</v>
      </c>
      <c r="H488" s="10" t="str">
        <f>_xlfn.XLOOKUP(B488,DataSet!$N$2:$N$600,DataSet!$I$2:$I$600,0)</f>
        <v>United States</v>
      </c>
      <c r="I488" s="10" t="str">
        <f>_xlfn.XLOOKUP(B488,DataSet!$N$2:$N$600,DataSet!$X$2:$X$600,0)</f>
        <v>Los Angeles - California</v>
      </c>
      <c r="J488" s="10" t="str">
        <f>_xlfn.XLOOKUP(B488,DataSet!$N$2:$N$600,DataSet!$M$2:$M$600,0)</f>
        <v>West</v>
      </c>
      <c r="K488" s="10" t="str">
        <f>_xlfn.XLOOKUP(B488,DataSet!$N$2:$N$600,DataSet!$O$2:$O$600,0)</f>
        <v>Furniture</v>
      </c>
      <c r="L488" s="10" t="str">
        <f>_xlfn.XLOOKUP(B488,DataSet!$N$2:$N$600,DataSet!$Y$2:$Y$600,0)</f>
        <v>Bookcases</v>
      </c>
      <c r="M488" s="10" t="str">
        <f>_xlfn.XLOOKUP(B488,DataSet!$N$2:$N$600,DataSet!$Q$2:$Q$600,0)</f>
        <v>O'Sullivan Living Dimensions 2-Shelf Bookcases</v>
      </c>
      <c r="N488" s="16">
        <f>_xlfn.XLOOKUP(B488,DataSet!$N$2:$N$600,DataSet!$AA$2:$AA$600,0)</f>
        <v>514.16499999999996</v>
      </c>
      <c r="O488" s="10">
        <f>_xlfn.XLOOKUP(B488,DataSet!$N$2:$N$600,DataSet!$S$2:$S$600,0)</f>
        <v>5</v>
      </c>
      <c r="P488" s="15">
        <f>_xlfn.XLOOKUP(B488,DataSet!$N$2:$N$600,DataSet!$T$2:$T$600,0)</f>
        <v>0.15</v>
      </c>
      <c r="Q488" s="14">
        <f>_xlfn.XLOOKUP(B488,DataSet!$N$2:$N$600,DataSet!$U$2:$U$600,0)</f>
        <v>-30.245000000000001</v>
      </c>
      <c r="R488" s="16">
        <f>_xlfn.XLOOKUP(B488,DataSet!$N$2:$N$600,DataSet!$AB$2:$AB$600,0)</f>
        <v>2570.8249999999998</v>
      </c>
      <c r="S488" s="9">
        <f>_xlfn.XLOOKUP(B488,DataSet!$N$2:$N$600,DataSet!$AC$2:$AC$600,0)</f>
        <v>2185.2012499999996</v>
      </c>
    </row>
    <row r="489" spans="1:19" s="12" customFormat="1" x14ac:dyDescent="0.3">
      <c r="A489" s="27">
        <v>487</v>
      </c>
      <c r="B489" s="10" t="s">
        <v>1674</v>
      </c>
      <c r="C489" s="10" t="str">
        <f>_xlfn.XLOOKUP(B489,DataSet!$N$2:$N$600,DataSet!$AF$2:$AF$600,0)</f>
        <v>140963</v>
      </c>
      <c r="D489" s="10" t="str">
        <f>_xlfn.XLOOKUP(B489,DataSet!$N$2:$N$600,DataSet!$G$2:$G$600,0)</f>
        <v>Michelle Tran</v>
      </c>
      <c r="E489" s="10" t="str">
        <f>_xlfn.XLOOKUP(B489,DataSet!$N$2:$N$600,DataSet!$F$2:$F$600,0)</f>
        <v>MT-18070</v>
      </c>
      <c r="F489" s="10" t="str">
        <f>_xlfn.XLOOKUP(B489,DataSet!$N$2:$N$600,DataSet!$W$2:$W$600,0)</f>
        <v>Home Office</v>
      </c>
      <c r="G489" s="13">
        <f>_xlfn.XLOOKUP(B489,DataSet!$N$2:$N$600,DataSet!$C$2:$C$600,0)</f>
        <v>42896</v>
      </c>
      <c r="H489" s="10" t="str">
        <f>_xlfn.XLOOKUP(B489,DataSet!$N$2:$N$600,DataSet!$I$2:$I$600,0)</f>
        <v>United States</v>
      </c>
      <c r="I489" s="10" t="str">
        <f>_xlfn.XLOOKUP(B489,DataSet!$N$2:$N$600,DataSet!$X$2:$X$600,0)</f>
        <v>Los Angeles - California</v>
      </c>
      <c r="J489" s="10" t="str">
        <f>_xlfn.XLOOKUP(B489,DataSet!$N$2:$N$600,DataSet!$M$2:$M$600,0)</f>
        <v>West</v>
      </c>
      <c r="K489" s="10" t="str">
        <f>_xlfn.XLOOKUP(B489,DataSet!$N$2:$N$600,DataSet!$O$2:$O$600,0)</f>
        <v>Technology</v>
      </c>
      <c r="L489" s="10" t="str">
        <f>_xlfn.XLOOKUP(B489,DataSet!$N$2:$N$600,DataSet!$Y$2:$Y$600,0)</f>
        <v>Phones</v>
      </c>
      <c r="M489" s="10" t="str">
        <f>_xlfn.XLOOKUP(B489,DataSet!$N$2:$N$600,DataSet!$Q$2:$Q$600,0)</f>
        <v>iHome FM Clock Radio with Lightning Dock</v>
      </c>
      <c r="N489" s="16">
        <f>_xlfn.XLOOKUP(B489,DataSet!$N$2:$N$600,DataSet!$AA$2:$AA$600,0)</f>
        <v>279.95999999999998</v>
      </c>
      <c r="O489" s="10">
        <f>_xlfn.XLOOKUP(B489,DataSet!$N$2:$N$600,DataSet!$S$2:$S$600,0)</f>
        <v>5</v>
      </c>
      <c r="P489" s="15">
        <f>_xlfn.XLOOKUP(B489,DataSet!$N$2:$N$600,DataSet!$T$2:$T$600,0)</f>
        <v>0.2</v>
      </c>
      <c r="Q489" s="14">
        <f>_xlfn.XLOOKUP(B489,DataSet!$N$2:$N$600,DataSet!$U$2:$U$600,0)</f>
        <v>17.497499999999999</v>
      </c>
      <c r="R489" s="16">
        <f>_xlfn.XLOOKUP(B489,DataSet!$N$2:$N$600,DataSet!$AB$2:$AB$600,0)</f>
        <v>1399.8</v>
      </c>
      <c r="S489" s="9">
        <f>_xlfn.XLOOKUP(B489,DataSet!$N$2:$N$600,DataSet!$AC$2:$AC$600,0)</f>
        <v>1119.8399999999999</v>
      </c>
    </row>
    <row r="490" spans="1:19" s="12" customFormat="1" x14ac:dyDescent="0.3">
      <c r="A490" s="27">
        <v>488</v>
      </c>
      <c r="B490" s="10" t="s">
        <v>1679</v>
      </c>
      <c r="C490" s="10" t="str">
        <f>_xlfn.XLOOKUP(B490,DataSet!$N$2:$N$600,DataSet!$AF$2:$AF$600,0)</f>
        <v>154627</v>
      </c>
      <c r="D490" s="10" t="str">
        <f>_xlfn.XLOOKUP(B490,DataSet!$N$2:$N$600,DataSet!$G$2:$G$600,0)</f>
        <v>Sue Ann Reed</v>
      </c>
      <c r="E490" s="10" t="str">
        <f>_xlfn.XLOOKUP(B490,DataSet!$N$2:$N$600,DataSet!$F$2:$F$600,0)</f>
        <v>SA-20830</v>
      </c>
      <c r="F490" s="10" t="str">
        <f>_xlfn.XLOOKUP(B490,DataSet!$N$2:$N$600,DataSet!$W$2:$W$600,0)</f>
        <v>Consumer</v>
      </c>
      <c r="G490" s="13">
        <f>_xlfn.XLOOKUP(B490,DataSet!$N$2:$N$600,DataSet!$C$2:$C$600,0)</f>
        <v>41941</v>
      </c>
      <c r="H490" s="10" t="str">
        <f>_xlfn.XLOOKUP(B490,DataSet!$N$2:$N$600,DataSet!$I$2:$I$600,0)</f>
        <v>United States</v>
      </c>
      <c r="I490" s="10" t="str">
        <f>_xlfn.XLOOKUP(B490,DataSet!$N$2:$N$600,DataSet!$X$2:$X$600,0)</f>
        <v>Chicago - Illinois</v>
      </c>
      <c r="J490" s="10" t="str">
        <f>_xlfn.XLOOKUP(B490,DataSet!$N$2:$N$600,DataSet!$M$2:$M$600,0)</f>
        <v>Central</v>
      </c>
      <c r="K490" s="10" t="str">
        <f>_xlfn.XLOOKUP(B490,DataSet!$N$2:$N$600,DataSet!$O$2:$O$600,0)</f>
        <v>Technology</v>
      </c>
      <c r="L490" s="10" t="str">
        <f>_xlfn.XLOOKUP(B490,DataSet!$N$2:$N$600,DataSet!$Y$2:$Y$600,0)</f>
        <v>Phones</v>
      </c>
      <c r="M490" s="10" t="str">
        <f>_xlfn.XLOOKUP(B490,DataSet!$N$2:$N$600,DataSet!$Q$2:$Q$600,0)</f>
        <v>Apple iPhone 5S</v>
      </c>
      <c r="N490" s="16">
        <f>_xlfn.XLOOKUP(B490,DataSet!$N$2:$N$600,DataSet!$AA$2:$AA$600,0)</f>
        <v>2735.9520000000002</v>
      </c>
      <c r="O490" s="10">
        <f>_xlfn.XLOOKUP(B490,DataSet!$N$2:$N$600,DataSet!$S$2:$S$600,0)</f>
        <v>6</v>
      </c>
      <c r="P490" s="15">
        <f>_xlfn.XLOOKUP(B490,DataSet!$N$2:$N$600,DataSet!$T$2:$T$600,0)</f>
        <v>0.2</v>
      </c>
      <c r="Q490" s="14">
        <f>_xlfn.XLOOKUP(B490,DataSet!$N$2:$N$600,DataSet!$U$2:$U$600,0)</f>
        <v>341.99400000000003</v>
      </c>
      <c r="R490" s="16">
        <f>_xlfn.XLOOKUP(B490,DataSet!$N$2:$N$600,DataSet!$AB$2:$AB$600,0)</f>
        <v>16415.712</v>
      </c>
      <c r="S490" s="9">
        <f>_xlfn.XLOOKUP(B490,DataSet!$N$2:$N$600,DataSet!$AC$2:$AC$600,0)</f>
        <v>13132.569600000001</v>
      </c>
    </row>
    <row r="491" spans="1:19" s="12" customFormat="1" x14ac:dyDescent="0.3">
      <c r="A491" s="27">
        <v>489</v>
      </c>
      <c r="B491" s="10" t="s">
        <v>1685</v>
      </c>
      <c r="C491" s="10" t="str">
        <f>_xlfn.XLOOKUP(B491,DataSet!$N$2:$N$600,DataSet!$AF$2:$AF$600,0)</f>
        <v>133753</v>
      </c>
      <c r="D491" s="10" t="str">
        <f>_xlfn.XLOOKUP(B491,DataSet!$N$2:$N$600,DataSet!$G$2:$G$600,0)</f>
        <v>Carl Weiss</v>
      </c>
      <c r="E491" s="10" t="str">
        <f>_xlfn.XLOOKUP(B491,DataSet!$N$2:$N$600,DataSet!$F$2:$F$600,0)</f>
        <v>CW-11905</v>
      </c>
      <c r="F491" s="10" t="str">
        <f>_xlfn.XLOOKUP(B491,DataSet!$N$2:$N$600,DataSet!$W$2:$W$600,0)</f>
        <v>Home Office</v>
      </c>
      <c r="G491" s="13">
        <f>_xlfn.XLOOKUP(B491,DataSet!$N$2:$N$600,DataSet!$C$2:$C$600,0)</f>
        <v>41799</v>
      </c>
      <c r="H491" s="10" t="str">
        <f>_xlfn.XLOOKUP(B491,DataSet!$N$2:$N$600,DataSet!$I$2:$I$600,0)</f>
        <v>United States</v>
      </c>
      <c r="I491" s="10" t="str">
        <f>_xlfn.XLOOKUP(B491,DataSet!$N$2:$N$600,DataSet!$X$2:$X$600,0)</f>
        <v>Huntsville - Texas</v>
      </c>
      <c r="J491" s="10" t="str">
        <f>_xlfn.XLOOKUP(B491,DataSet!$N$2:$N$600,DataSet!$M$2:$M$600,0)</f>
        <v>Central</v>
      </c>
      <c r="K491" s="10" t="str">
        <f>_xlfn.XLOOKUP(B491,DataSet!$N$2:$N$600,DataSet!$O$2:$O$600,0)</f>
        <v>Technology</v>
      </c>
      <c r="L491" s="10" t="str">
        <f>_xlfn.XLOOKUP(B491,DataSet!$N$2:$N$600,DataSet!$Y$2:$Y$600,0)</f>
        <v>Phones</v>
      </c>
      <c r="M491" s="10" t="str">
        <f>_xlfn.XLOOKUP(B491,DataSet!$N$2:$N$600,DataSet!$Q$2:$Q$600,0)</f>
        <v>Square Credit Card Reader</v>
      </c>
      <c r="N491" s="16">
        <f>_xlfn.XLOOKUP(B491,DataSet!$N$2:$N$600,DataSet!$AA$2:$AA$600,0)</f>
        <v>7.992</v>
      </c>
      <c r="O491" s="10">
        <f>_xlfn.XLOOKUP(B491,DataSet!$N$2:$N$600,DataSet!$S$2:$S$600,0)</f>
        <v>1</v>
      </c>
      <c r="P491" s="15">
        <f>_xlfn.XLOOKUP(B491,DataSet!$N$2:$N$600,DataSet!$T$2:$T$600,0)</f>
        <v>0.2</v>
      </c>
      <c r="Q491" s="14">
        <f>_xlfn.XLOOKUP(B491,DataSet!$N$2:$N$600,DataSet!$U$2:$U$600,0)</f>
        <v>0.59940000000000004</v>
      </c>
      <c r="R491" s="16">
        <f>_xlfn.XLOOKUP(B491,DataSet!$N$2:$N$600,DataSet!$AB$2:$AB$600,0)</f>
        <v>7.992</v>
      </c>
      <c r="S491" s="9">
        <f>_xlfn.XLOOKUP(B491,DataSet!$N$2:$N$600,DataSet!$AC$2:$AC$600,0)</f>
        <v>6.3936000000000002</v>
      </c>
    </row>
    <row r="492" spans="1:19" s="12" customFormat="1" x14ac:dyDescent="0.3">
      <c r="A492" s="27">
        <v>490</v>
      </c>
      <c r="B492" s="10" t="s">
        <v>1687</v>
      </c>
      <c r="C492" s="10" t="str">
        <f>_xlfn.XLOOKUP(B492,DataSet!$N$2:$N$600,DataSet!$AF$2:$AF$600,0)</f>
        <v>133753</v>
      </c>
      <c r="D492" s="10" t="str">
        <f>_xlfn.XLOOKUP(B492,DataSet!$N$2:$N$600,DataSet!$G$2:$G$600,0)</f>
        <v>Carl Weiss</v>
      </c>
      <c r="E492" s="10" t="str">
        <f>_xlfn.XLOOKUP(B492,DataSet!$N$2:$N$600,DataSet!$F$2:$F$600,0)</f>
        <v>CW-11905</v>
      </c>
      <c r="F492" s="10" t="str">
        <f>_xlfn.XLOOKUP(B492,DataSet!$N$2:$N$600,DataSet!$W$2:$W$600,0)</f>
        <v>Home Office</v>
      </c>
      <c r="G492" s="13">
        <f>_xlfn.XLOOKUP(B492,DataSet!$N$2:$N$600,DataSet!$C$2:$C$600,0)</f>
        <v>41799</v>
      </c>
      <c r="H492" s="10" t="str">
        <f>_xlfn.XLOOKUP(B492,DataSet!$N$2:$N$600,DataSet!$I$2:$I$600,0)</f>
        <v>United States</v>
      </c>
      <c r="I492" s="10" t="str">
        <f>_xlfn.XLOOKUP(B492,DataSet!$N$2:$N$600,DataSet!$X$2:$X$600,0)</f>
        <v>Huntsville - Texas</v>
      </c>
      <c r="J492" s="10" t="str">
        <f>_xlfn.XLOOKUP(B492,DataSet!$N$2:$N$600,DataSet!$M$2:$M$600,0)</f>
        <v>Central</v>
      </c>
      <c r="K492" s="10" t="str">
        <f>_xlfn.XLOOKUP(B492,DataSet!$N$2:$N$600,DataSet!$O$2:$O$600,0)</f>
        <v>Technology</v>
      </c>
      <c r="L492" s="10" t="str">
        <f>_xlfn.XLOOKUP(B492,DataSet!$N$2:$N$600,DataSet!$Y$2:$Y$600,0)</f>
        <v>Accessories</v>
      </c>
      <c r="M492" s="10" t="str">
        <f>_xlfn.XLOOKUP(B492,DataSet!$N$2:$N$600,DataSet!$Q$2:$Q$600,0)</f>
        <v>Logitech M510 Wireless Mouse</v>
      </c>
      <c r="N492" s="16">
        <f>_xlfn.XLOOKUP(B492,DataSet!$N$2:$N$600,DataSet!$AA$2:$AA$600,0)</f>
        <v>63.984000000000002</v>
      </c>
      <c r="O492" s="10">
        <f>_xlfn.XLOOKUP(B492,DataSet!$N$2:$N$600,DataSet!$S$2:$S$600,0)</f>
        <v>2</v>
      </c>
      <c r="P492" s="15">
        <f>_xlfn.XLOOKUP(B492,DataSet!$N$2:$N$600,DataSet!$T$2:$T$600,0)</f>
        <v>0.2</v>
      </c>
      <c r="Q492" s="14">
        <f>_xlfn.XLOOKUP(B492,DataSet!$N$2:$N$600,DataSet!$U$2:$U$600,0)</f>
        <v>10.397399999999999</v>
      </c>
      <c r="R492" s="16">
        <f>_xlfn.XLOOKUP(B492,DataSet!$N$2:$N$600,DataSet!$AB$2:$AB$600,0)</f>
        <v>127.968</v>
      </c>
      <c r="S492" s="9">
        <f>_xlfn.XLOOKUP(B492,DataSet!$N$2:$N$600,DataSet!$AC$2:$AC$600,0)</f>
        <v>102.37440000000001</v>
      </c>
    </row>
    <row r="493" spans="1:19" s="12" customFormat="1" x14ac:dyDescent="0.3">
      <c r="A493" s="27">
        <v>491</v>
      </c>
      <c r="B493" s="10" t="s">
        <v>1568</v>
      </c>
      <c r="C493" s="10" t="str">
        <f>_xlfn.XLOOKUP(B493,DataSet!$N$2:$N$600,DataSet!$AF$2:$AF$600,0)</f>
        <v>166674</v>
      </c>
      <c r="D493" s="10" t="str">
        <f>_xlfn.XLOOKUP(B493,DataSet!$N$2:$N$600,DataSet!$G$2:$G$600,0)</f>
        <v>Raymond Buch</v>
      </c>
      <c r="E493" s="10" t="str">
        <f>_xlfn.XLOOKUP(B493,DataSet!$N$2:$N$600,DataSet!$F$2:$F$600,0)</f>
        <v>RB-19360</v>
      </c>
      <c r="F493" s="10" t="str">
        <f>_xlfn.XLOOKUP(B493,DataSet!$N$2:$N$600,DataSet!$W$2:$W$600,0)</f>
        <v>Consumer</v>
      </c>
      <c r="G493" s="13">
        <f>_xlfn.XLOOKUP(B493,DataSet!$N$2:$N$600,DataSet!$C$2:$C$600,0)</f>
        <v>42461</v>
      </c>
      <c r="H493" s="10" t="str">
        <f>_xlfn.XLOOKUP(B493,DataSet!$N$2:$N$600,DataSet!$I$2:$I$600,0)</f>
        <v>United States</v>
      </c>
      <c r="I493" s="10" t="str">
        <f>_xlfn.XLOOKUP(B493,DataSet!$N$2:$N$600,DataSet!$X$2:$X$600,0)</f>
        <v>Auburn - New York</v>
      </c>
      <c r="J493" s="10" t="str">
        <f>_xlfn.XLOOKUP(B493,DataSet!$N$2:$N$600,DataSet!$M$2:$M$600,0)</f>
        <v>East</v>
      </c>
      <c r="K493" s="10" t="str">
        <f>_xlfn.XLOOKUP(B493,DataSet!$N$2:$N$600,DataSet!$O$2:$O$600,0)</f>
        <v>Office Supplies</v>
      </c>
      <c r="L493" s="10" t="str">
        <f>_xlfn.XLOOKUP(B493,DataSet!$N$2:$N$600,DataSet!$Y$2:$Y$600,0)</f>
        <v>Art</v>
      </c>
      <c r="M493" s="10" t="str">
        <f>_xlfn.XLOOKUP(B493,DataSet!$N$2:$N$600,DataSet!$Q$2:$Q$600,0)</f>
        <v>Boston 1645 Deluxe Heavier-Duty Electric Pencil Sharpener</v>
      </c>
      <c r="N493" s="16">
        <f>_xlfn.XLOOKUP(B493,DataSet!$N$2:$N$600,DataSet!$AA$2:$AA$600,0)</f>
        <v>263.88</v>
      </c>
      <c r="O493" s="10">
        <f>_xlfn.XLOOKUP(B493,DataSet!$N$2:$N$600,DataSet!$S$2:$S$600,0)</f>
        <v>6</v>
      </c>
      <c r="P493" s="15">
        <f>_xlfn.XLOOKUP(B493,DataSet!$N$2:$N$600,DataSet!$T$2:$T$600,0)</f>
        <v>0</v>
      </c>
      <c r="Q493" s="14">
        <f>_xlfn.XLOOKUP(B493,DataSet!$N$2:$N$600,DataSet!$U$2:$U$600,0)</f>
        <v>71.247600000000006</v>
      </c>
      <c r="R493" s="16">
        <f>_xlfn.XLOOKUP(B493,DataSet!$N$2:$N$600,DataSet!$AB$2:$AB$600,0)</f>
        <v>1583.28</v>
      </c>
      <c r="S493" s="9">
        <f>_xlfn.XLOOKUP(B493,DataSet!$N$2:$N$600,DataSet!$AC$2:$AC$600,0)</f>
        <v>1583.28</v>
      </c>
    </row>
    <row r="494" spans="1:19" s="12" customFormat="1" x14ac:dyDescent="0.3">
      <c r="A494" s="27">
        <v>492</v>
      </c>
      <c r="B494" s="10" t="s">
        <v>1692</v>
      </c>
      <c r="C494" s="10" t="str">
        <f>_xlfn.XLOOKUP(B494,DataSet!$N$2:$N$600,DataSet!$AF$2:$AF$600,0)</f>
        <v>113362</v>
      </c>
      <c r="D494" s="10" t="str">
        <f>_xlfn.XLOOKUP(B494,DataSet!$N$2:$N$600,DataSet!$G$2:$G$600,0)</f>
        <v>Astrea Jones</v>
      </c>
      <c r="E494" s="10" t="str">
        <f>_xlfn.XLOOKUP(B494,DataSet!$N$2:$N$600,DataSet!$F$2:$F$600,0)</f>
        <v>AJ-10960</v>
      </c>
      <c r="F494" s="10" t="str">
        <f>_xlfn.XLOOKUP(B494,DataSet!$N$2:$N$600,DataSet!$W$2:$W$600,0)</f>
        <v>Consumer</v>
      </c>
      <c r="G494" s="13">
        <f>_xlfn.XLOOKUP(B494,DataSet!$N$2:$N$600,DataSet!$C$2:$C$600,0)</f>
        <v>41896</v>
      </c>
      <c r="H494" s="10" t="str">
        <f>_xlfn.XLOOKUP(B494,DataSet!$N$2:$N$600,DataSet!$I$2:$I$600,0)</f>
        <v>United States</v>
      </c>
      <c r="I494" s="10" t="str">
        <f>_xlfn.XLOOKUP(B494,DataSet!$N$2:$N$600,DataSet!$X$2:$X$600,0)</f>
        <v>Rochester - New York</v>
      </c>
      <c r="J494" s="10" t="str">
        <f>_xlfn.XLOOKUP(B494,DataSet!$N$2:$N$600,DataSet!$M$2:$M$600,0)</f>
        <v>East</v>
      </c>
      <c r="K494" s="10" t="str">
        <f>_xlfn.XLOOKUP(B494,DataSet!$N$2:$N$600,DataSet!$O$2:$O$600,0)</f>
        <v>Office Supplies</v>
      </c>
      <c r="L494" s="10" t="str">
        <f>_xlfn.XLOOKUP(B494,DataSet!$N$2:$N$600,DataSet!$Y$2:$Y$600,0)</f>
        <v>Storage</v>
      </c>
      <c r="M494" s="10" t="str">
        <f>_xlfn.XLOOKUP(B494,DataSet!$N$2:$N$600,DataSet!$Q$2:$Q$600,0)</f>
        <v>Fellowes Officeware Wire Shelving</v>
      </c>
      <c r="N494" s="16">
        <f>_xlfn.XLOOKUP(B494,DataSet!$N$2:$N$600,DataSet!$AA$2:$AA$600,0)</f>
        <v>449.15</v>
      </c>
      <c r="O494" s="10">
        <f>_xlfn.XLOOKUP(B494,DataSet!$N$2:$N$600,DataSet!$S$2:$S$600,0)</f>
        <v>5</v>
      </c>
      <c r="P494" s="15">
        <f>_xlfn.XLOOKUP(B494,DataSet!$N$2:$N$600,DataSet!$T$2:$T$600,0)</f>
        <v>0</v>
      </c>
      <c r="Q494" s="14">
        <f>_xlfn.XLOOKUP(B494,DataSet!$N$2:$N$600,DataSet!$U$2:$U$600,0)</f>
        <v>8.9830000000000005</v>
      </c>
      <c r="R494" s="16">
        <f>_xlfn.XLOOKUP(B494,DataSet!$N$2:$N$600,DataSet!$AB$2:$AB$600,0)</f>
        <v>2245.75</v>
      </c>
      <c r="S494" s="9">
        <f>_xlfn.XLOOKUP(B494,DataSet!$N$2:$N$600,DataSet!$AC$2:$AC$600,0)</f>
        <v>2245.75</v>
      </c>
    </row>
    <row r="495" spans="1:19" s="12" customFormat="1" x14ac:dyDescent="0.3">
      <c r="A495" s="27">
        <v>493</v>
      </c>
      <c r="B495" s="10" t="s">
        <v>1694</v>
      </c>
      <c r="C495" s="10" t="str">
        <f>_xlfn.XLOOKUP(B495,DataSet!$N$2:$N$600,DataSet!$AF$2:$AF$600,0)</f>
        <v>113362</v>
      </c>
      <c r="D495" s="10" t="str">
        <f>_xlfn.XLOOKUP(B495,DataSet!$N$2:$N$600,DataSet!$G$2:$G$600,0)</f>
        <v>Astrea Jones</v>
      </c>
      <c r="E495" s="10" t="str">
        <f>_xlfn.XLOOKUP(B495,DataSet!$N$2:$N$600,DataSet!$F$2:$F$600,0)</f>
        <v>AJ-10960</v>
      </c>
      <c r="F495" s="10" t="str">
        <f>_xlfn.XLOOKUP(B495,DataSet!$N$2:$N$600,DataSet!$W$2:$W$600,0)</f>
        <v>Consumer</v>
      </c>
      <c r="G495" s="13">
        <f>_xlfn.XLOOKUP(B495,DataSet!$N$2:$N$600,DataSet!$C$2:$C$600,0)</f>
        <v>41896</v>
      </c>
      <c r="H495" s="10" t="str">
        <f>_xlfn.XLOOKUP(B495,DataSet!$N$2:$N$600,DataSet!$I$2:$I$600,0)</f>
        <v>United States</v>
      </c>
      <c r="I495" s="10" t="str">
        <f>_xlfn.XLOOKUP(B495,DataSet!$N$2:$N$600,DataSet!$X$2:$X$600,0)</f>
        <v>Rochester - New York</v>
      </c>
      <c r="J495" s="10" t="str">
        <f>_xlfn.XLOOKUP(B495,DataSet!$N$2:$N$600,DataSet!$M$2:$M$600,0)</f>
        <v>East</v>
      </c>
      <c r="K495" s="10" t="str">
        <f>_xlfn.XLOOKUP(B495,DataSet!$N$2:$N$600,DataSet!$O$2:$O$600,0)</f>
        <v>Office Supplies</v>
      </c>
      <c r="L495" s="10" t="str">
        <f>_xlfn.XLOOKUP(B495,DataSet!$N$2:$N$600,DataSet!$Y$2:$Y$600,0)</f>
        <v>Envelopes</v>
      </c>
      <c r="M495" s="10" t="str">
        <f>_xlfn.XLOOKUP(B495,DataSet!$N$2:$N$600,DataSet!$Q$2:$Q$600,0)</f>
        <v>Colored Envelopes</v>
      </c>
      <c r="N495" s="16">
        <f>_xlfn.XLOOKUP(B495,DataSet!$N$2:$N$600,DataSet!$AA$2:$AA$600,0)</f>
        <v>11.07</v>
      </c>
      <c r="O495" s="10">
        <f>_xlfn.XLOOKUP(B495,DataSet!$N$2:$N$600,DataSet!$S$2:$S$600,0)</f>
        <v>3</v>
      </c>
      <c r="P495" s="15">
        <f>_xlfn.XLOOKUP(B495,DataSet!$N$2:$N$600,DataSet!$T$2:$T$600,0)</f>
        <v>0</v>
      </c>
      <c r="Q495" s="14">
        <f>_xlfn.XLOOKUP(B495,DataSet!$N$2:$N$600,DataSet!$U$2:$U$600,0)</f>
        <v>5.0922000000000001</v>
      </c>
      <c r="R495" s="16">
        <f>_xlfn.XLOOKUP(B495,DataSet!$N$2:$N$600,DataSet!$AB$2:$AB$600,0)</f>
        <v>33.21</v>
      </c>
      <c r="S495" s="9">
        <f>_xlfn.XLOOKUP(B495,DataSet!$N$2:$N$600,DataSet!$AC$2:$AC$600,0)</f>
        <v>33.21</v>
      </c>
    </row>
    <row r="496" spans="1:19" s="12" customFormat="1" x14ac:dyDescent="0.3">
      <c r="A496" s="27">
        <v>494</v>
      </c>
      <c r="B496" s="10" t="s">
        <v>1699</v>
      </c>
      <c r="C496" s="10" t="str">
        <f>_xlfn.XLOOKUP(B496,DataSet!$N$2:$N$600,DataSet!$AF$2:$AF$600,0)</f>
        <v>169166</v>
      </c>
      <c r="D496" s="10" t="str">
        <f>_xlfn.XLOOKUP(B496,DataSet!$N$2:$N$600,DataSet!$G$2:$G$600,0)</f>
        <v>Sonia Sunley</v>
      </c>
      <c r="E496" s="10" t="str">
        <f>_xlfn.XLOOKUP(B496,DataSet!$N$2:$N$600,DataSet!$F$2:$F$600,0)</f>
        <v>SS-20590</v>
      </c>
      <c r="F496" s="10" t="str">
        <f>_xlfn.XLOOKUP(B496,DataSet!$N$2:$N$600,DataSet!$W$2:$W$600,0)</f>
        <v>Consumer</v>
      </c>
      <c r="G496" s="13">
        <f>_xlfn.XLOOKUP(B496,DataSet!$N$2:$N$600,DataSet!$C$2:$C$600,0)</f>
        <v>42499</v>
      </c>
      <c r="H496" s="10" t="str">
        <f>_xlfn.XLOOKUP(B496,DataSet!$N$2:$N$600,DataSet!$I$2:$I$600,0)</f>
        <v>United States</v>
      </c>
      <c r="I496" s="10" t="str">
        <f>_xlfn.XLOOKUP(B496,DataSet!$N$2:$N$600,DataSet!$X$2:$X$600,0)</f>
        <v>Seattle - Washington</v>
      </c>
      <c r="J496" s="10" t="str">
        <f>_xlfn.XLOOKUP(B496,DataSet!$N$2:$N$600,DataSet!$M$2:$M$600,0)</f>
        <v>West</v>
      </c>
      <c r="K496" s="10" t="str">
        <f>_xlfn.XLOOKUP(B496,DataSet!$N$2:$N$600,DataSet!$O$2:$O$600,0)</f>
        <v>Technology</v>
      </c>
      <c r="L496" s="10" t="str">
        <f>_xlfn.XLOOKUP(B496,DataSet!$N$2:$N$600,DataSet!$Y$2:$Y$600,0)</f>
        <v>Accessories</v>
      </c>
      <c r="M496" s="10" t="str">
        <f>_xlfn.XLOOKUP(B496,DataSet!$N$2:$N$600,DataSet!$Q$2:$Q$600,0)</f>
        <v>Sony Micro Vault Click 8 GB USB 2.0 Flash Drive</v>
      </c>
      <c r="N496" s="16">
        <f>_xlfn.XLOOKUP(B496,DataSet!$N$2:$N$600,DataSet!$AA$2:$AA$600,0)</f>
        <v>93.98</v>
      </c>
      <c r="O496" s="10">
        <f>_xlfn.XLOOKUP(B496,DataSet!$N$2:$N$600,DataSet!$S$2:$S$600,0)</f>
        <v>2</v>
      </c>
      <c r="P496" s="15">
        <f>_xlfn.XLOOKUP(B496,DataSet!$N$2:$N$600,DataSet!$T$2:$T$600,0)</f>
        <v>0</v>
      </c>
      <c r="Q496" s="14">
        <f>_xlfn.XLOOKUP(B496,DataSet!$N$2:$N$600,DataSet!$U$2:$U$600,0)</f>
        <v>13.1572</v>
      </c>
      <c r="R496" s="16">
        <f>_xlfn.XLOOKUP(B496,DataSet!$N$2:$N$600,DataSet!$AB$2:$AB$600,0)</f>
        <v>187.96</v>
      </c>
      <c r="S496" s="9">
        <f>_xlfn.XLOOKUP(B496,DataSet!$N$2:$N$600,DataSet!$AC$2:$AC$600,0)</f>
        <v>187.96</v>
      </c>
    </row>
    <row r="497" spans="1:19" s="12" customFormat="1" x14ac:dyDescent="0.3">
      <c r="A497" s="27">
        <v>495</v>
      </c>
      <c r="B497" s="10" t="s">
        <v>1704</v>
      </c>
      <c r="C497" s="10" t="str">
        <f>_xlfn.XLOOKUP(B497,DataSet!$N$2:$N$600,DataSet!$AF$2:$AF$600,0)</f>
        <v>120929</v>
      </c>
      <c r="D497" s="10" t="str">
        <f>_xlfn.XLOOKUP(B497,DataSet!$N$2:$N$600,DataSet!$G$2:$G$600,0)</f>
        <v>Rose O'Brian</v>
      </c>
      <c r="E497" s="10" t="str">
        <f>_xlfn.XLOOKUP(B497,DataSet!$N$2:$N$600,DataSet!$F$2:$F$600,0)</f>
        <v>RO-19780</v>
      </c>
      <c r="F497" s="10" t="str">
        <f>_xlfn.XLOOKUP(B497,DataSet!$N$2:$N$600,DataSet!$W$2:$W$600,0)</f>
        <v>Consumer</v>
      </c>
      <c r="G497" s="13">
        <f>_xlfn.XLOOKUP(B497,DataSet!$N$2:$N$600,DataSet!$C$2:$C$600,0)</f>
        <v>42447</v>
      </c>
      <c r="H497" s="10" t="str">
        <f>_xlfn.XLOOKUP(B497,DataSet!$N$2:$N$600,DataSet!$I$2:$I$600,0)</f>
        <v>United States</v>
      </c>
      <c r="I497" s="10" t="str">
        <f>_xlfn.XLOOKUP(B497,DataSet!$N$2:$N$600,DataSet!$X$2:$X$600,0)</f>
        <v>Memphis - Tennessee</v>
      </c>
      <c r="J497" s="10" t="str">
        <f>_xlfn.XLOOKUP(B497,DataSet!$N$2:$N$600,DataSet!$M$2:$M$600,0)</f>
        <v>South</v>
      </c>
      <c r="K497" s="10" t="str">
        <f>_xlfn.XLOOKUP(B497,DataSet!$N$2:$N$600,DataSet!$O$2:$O$600,0)</f>
        <v>Furniture</v>
      </c>
      <c r="L497" s="10" t="str">
        <f>_xlfn.XLOOKUP(B497,DataSet!$N$2:$N$600,DataSet!$Y$2:$Y$600,0)</f>
        <v>Tables</v>
      </c>
      <c r="M497" s="10" t="str">
        <f>_xlfn.XLOOKUP(B497,DataSet!$N$2:$N$600,DataSet!$Q$2:$Q$600,0)</f>
        <v>Balt Solid Wood Rectangular Table</v>
      </c>
      <c r="N497" s="16">
        <f>_xlfn.XLOOKUP(B497,DataSet!$N$2:$N$600,DataSet!$AA$2:$AA$600,0)</f>
        <v>189.88200000000001</v>
      </c>
      <c r="O497" s="10">
        <f>_xlfn.XLOOKUP(B497,DataSet!$N$2:$N$600,DataSet!$S$2:$S$600,0)</f>
        <v>3</v>
      </c>
      <c r="P497" s="15">
        <f>_xlfn.XLOOKUP(B497,DataSet!$N$2:$N$600,DataSet!$T$2:$T$600,0)</f>
        <v>0.4</v>
      </c>
      <c r="Q497" s="14">
        <f>_xlfn.XLOOKUP(B497,DataSet!$N$2:$N$600,DataSet!$U$2:$U$600,0)</f>
        <v>-94.941000000000003</v>
      </c>
      <c r="R497" s="16">
        <f>_xlfn.XLOOKUP(B497,DataSet!$N$2:$N$600,DataSet!$AB$2:$AB$600,0)</f>
        <v>569.64599999999996</v>
      </c>
      <c r="S497" s="9">
        <f>_xlfn.XLOOKUP(B497,DataSet!$N$2:$N$600,DataSet!$AC$2:$AC$600,0)</f>
        <v>341.78759999999994</v>
      </c>
    </row>
    <row r="498" spans="1:19" s="12" customFormat="1" x14ac:dyDescent="0.3">
      <c r="A498" s="27">
        <v>496</v>
      </c>
      <c r="B498" s="10" t="s">
        <v>1711</v>
      </c>
      <c r="C498" s="10" t="str">
        <f>_xlfn.XLOOKUP(B498,DataSet!$N$2:$N$600,DataSet!$AF$2:$AF$600,0)</f>
        <v>134782</v>
      </c>
      <c r="D498" s="10" t="str">
        <f>_xlfn.XLOOKUP(B498,DataSet!$N$2:$N$600,DataSet!$G$2:$G$600,0)</f>
        <v>Maribeth Dona</v>
      </c>
      <c r="E498" s="10" t="str">
        <f>_xlfn.XLOOKUP(B498,DataSet!$N$2:$N$600,DataSet!$F$2:$F$600,0)</f>
        <v>MD-17350</v>
      </c>
      <c r="F498" s="10" t="str">
        <f>_xlfn.XLOOKUP(B498,DataSet!$N$2:$N$600,DataSet!$W$2:$W$600,0)</f>
        <v>Consumer</v>
      </c>
      <c r="G498" s="13">
        <f>_xlfn.XLOOKUP(B498,DataSet!$N$2:$N$600,DataSet!$C$2:$C$600,0)</f>
        <v>42365</v>
      </c>
      <c r="H498" s="10" t="str">
        <f>_xlfn.XLOOKUP(B498,DataSet!$N$2:$N$600,DataSet!$I$2:$I$600,0)</f>
        <v>United States</v>
      </c>
      <c r="I498" s="10" t="str">
        <f>_xlfn.XLOOKUP(B498,DataSet!$N$2:$N$600,DataSet!$X$2:$X$600,0)</f>
        <v>Fayetteville - Arkansas</v>
      </c>
      <c r="J498" s="10" t="str">
        <f>_xlfn.XLOOKUP(B498,DataSet!$N$2:$N$600,DataSet!$M$2:$M$600,0)</f>
        <v>South</v>
      </c>
      <c r="K498" s="10" t="str">
        <f>_xlfn.XLOOKUP(B498,DataSet!$N$2:$N$600,DataSet!$O$2:$O$600,0)</f>
        <v>Office Supplies</v>
      </c>
      <c r="L498" s="10" t="str">
        <f>_xlfn.XLOOKUP(B498,DataSet!$N$2:$N$600,DataSet!$Y$2:$Y$600,0)</f>
        <v>Envelopes</v>
      </c>
      <c r="M498" s="10" t="str">
        <f>_xlfn.XLOOKUP(B498,DataSet!$N$2:$N$600,DataSet!$Q$2:$Q$600,0)</f>
        <v>Strathmore #10 Envelopes, Ultimate White</v>
      </c>
      <c r="N498" s="16">
        <f>_xlfn.XLOOKUP(B498,DataSet!$N$2:$N$600,DataSet!$AA$2:$AA$600,0)</f>
        <v>105.42</v>
      </c>
      <c r="O498" s="10">
        <f>_xlfn.XLOOKUP(B498,DataSet!$N$2:$N$600,DataSet!$S$2:$S$600,0)</f>
        <v>2</v>
      </c>
      <c r="P498" s="15">
        <f>_xlfn.XLOOKUP(B498,DataSet!$N$2:$N$600,DataSet!$T$2:$T$600,0)</f>
        <v>0</v>
      </c>
      <c r="Q498" s="14">
        <f>_xlfn.XLOOKUP(B498,DataSet!$N$2:$N$600,DataSet!$U$2:$U$600,0)</f>
        <v>51.655799999999999</v>
      </c>
      <c r="R498" s="16">
        <f>_xlfn.XLOOKUP(B498,DataSet!$N$2:$N$600,DataSet!$AB$2:$AB$600,0)</f>
        <v>210.84</v>
      </c>
      <c r="S498" s="9">
        <f>_xlfn.XLOOKUP(B498,DataSet!$N$2:$N$600,DataSet!$AC$2:$AC$600,0)</f>
        <v>210.84</v>
      </c>
    </row>
    <row r="499" spans="1:19" s="12" customFormat="1" x14ac:dyDescent="0.3">
      <c r="A499" s="27">
        <v>497</v>
      </c>
      <c r="B499" s="10" t="s">
        <v>1715</v>
      </c>
      <c r="C499" s="10" t="str">
        <f>_xlfn.XLOOKUP(B499,DataSet!$N$2:$N$600,DataSet!$AF$2:$AF$600,0)</f>
        <v>126158</v>
      </c>
      <c r="D499" s="10" t="str">
        <f>_xlfn.XLOOKUP(B499,DataSet!$N$2:$N$600,DataSet!$G$2:$G$600,0)</f>
        <v>Sanjit Chand</v>
      </c>
      <c r="E499" s="10" t="str">
        <f>_xlfn.XLOOKUP(B499,DataSet!$N$2:$N$600,DataSet!$F$2:$F$600,0)</f>
        <v>SC-20095</v>
      </c>
      <c r="F499" s="10" t="str">
        <f>_xlfn.XLOOKUP(B499,DataSet!$N$2:$N$600,DataSet!$W$2:$W$600,0)</f>
        <v>Consumer</v>
      </c>
      <c r="G499" s="13">
        <f>_xlfn.XLOOKUP(B499,DataSet!$N$2:$N$600,DataSet!$C$2:$C$600,0)</f>
        <v>42576</v>
      </c>
      <c r="H499" s="10" t="str">
        <f>_xlfn.XLOOKUP(B499,DataSet!$N$2:$N$600,DataSet!$I$2:$I$600,0)</f>
        <v>United States</v>
      </c>
      <c r="I499" s="10" t="str">
        <f>_xlfn.XLOOKUP(B499,DataSet!$N$2:$N$600,DataSet!$X$2:$X$600,0)</f>
        <v>Costa Mesa - California</v>
      </c>
      <c r="J499" s="10" t="str">
        <f>_xlfn.XLOOKUP(B499,DataSet!$N$2:$N$600,DataSet!$M$2:$M$600,0)</f>
        <v>West</v>
      </c>
      <c r="K499" s="10" t="str">
        <f>_xlfn.XLOOKUP(B499,DataSet!$N$2:$N$600,DataSet!$O$2:$O$600,0)</f>
        <v>Office Supplies</v>
      </c>
      <c r="L499" s="10" t="str">
        <f>_xlfn.XLOOKUP(B499,DataSet!$N$2:$N$600,DataSet!$Y$2:$Y$600,0)</f>
        <v>Binders</v>
      </c>
      <c r="M499" s="10" t="str">
        <f>_xlfn.XLOOKUP(B499,DataSet!$N$2:$N$600,DataSet!$Q$2:$Q$600,0)</f>
        <v>Clear Mylar Reinforcing Strips</v>
      </c>
      <c r="N499" s="16">
        <f>_xlfn.XLOOKUP(B499,DataSet!$N$2:$N$600,DataSet!$AA$2:$AA$600,0)</f>
        <v>119.616</v>
      </c>
      <c r="O499" s="10">
        <f>_xlfn.XLOOKUP(B499,DataSet!$N$2:$N$600,DataSet!$S$2:$S$600,0)</f>
        <v>8</v>
      </c>
      <c r="P499" s="15">
        <f>_xlfn.XLOOKUP(B499,DataSet!$N$2:$N$600,DataSet!$T$2:$T$600,0)</f>
        <v>0.2</v>
      </c>
      <c r="Q499" s="14">
        <f>_xlfn.XLOOKUP(B499,DataSet!$N$2:$N$600,DataSet!$U$2:$U$600,0)</f>
        <v>40.370399999999997</v>
      </c>
      <c r="R499" s="16">
        <f>_xlfn.XLOOKUP(B499,DataSet!$N$2:$N$600,DataSet!$AB$2:$AB$600,0)</f>
        <v>956.928</v>
      </c>
      <c r="S499" s="9">
        <f>_xlfn.XLOOKUP(B499,DataSet!$N$2:$N$600,DataSet!$AC$2:$AC$600,0)</f>
        <v>765.54240000000004</v>
      </c>
    </row>
    <row r="500" spans="1:19" s="12" customFormat="1" x14ac:dyDescent="0.3">
      <c r="A500" s="27">
        <v>498</v>
      </c>
      <c r="B500" s="10" t="s">
        <v>1717</v>
      </c>
      <c r="C500" s="10" t="str">
        <f>_xlfn.XLOOKUP(B500,DataSet!$N$2:$N$600,DataSet!$AF$2:$AF$600,0)</f>
        <v>126158</v>
      </c>
      <c r="D500" s="10" t="str">
        <f>_xlfn.XLOOKUP(B500,DataSet!$N$2:$N$600,DataSet!$G$2:$G$600,0)</f>
        <v>Sanjit Chand</v>
      </c>
      <c r="E500" s="10" t="str">
        <f>_xlfn.XLOOKUP(B500,DataSet!$N$2:$N$600,DataSet!$F$2:$F$600,0)</f>
        <v>SC-20095</v>
      </c>
      <c r="F500" s="10" t="str">
        <f>_xlfn.XLOOKUP(B500,DataSet!$N$2:$N$600,DataSet!$W$2:$W$600,0)</f>
        <v>Consumer</v>
      </c>
      <c r="G500" s="13">
        <f>_xlfn.XLOOKUP(B500,DataSet!$N$2:$N$600,DataSet!$C$2:$C$600,0)</f>
        <v>42576</v>
      </c>
      <c r="H500" s="10" t="str">
        <f>_xlfn.XLOOKUP(B500,DataSet!$N$2:$N$600,DataSet!$I$2:$I$600,0)</f>
        <v>United States</v>
      </c>
      <c r="I500" s="10" t="str">
        <f>_xlfn.XLOOKUP(B500,DataSet!$N$2:$N$600,DataSet!$X$2:$X$600,0)</f>
        <v>Costa Mesa - California</v>
      </c>
      <c r="J500" s="10" t="str">
        <f>_xlfn.XLOOKUP(B500,DataSet!$N$2:$N$600,DataSet!$M$2:$M$600,0)</f>
        <v>West</v>
      </c>
      <c r="K500" s="10" t="str">
        <f>_xlfn.XLOOKUP(B500,DataSet!$N$2:$N$600,DataSet!$O$2:$O$600,0)</f>
        <v>Furniture</v>
      </c>
      <c r="L500" s="10" t="str">
        <f>_xlfn.XLOOKUP(B500,DataSet!$N$2:$N$600,DataSet!$Y$2:$Y$600,0)</f>
        <v>Furnishings</v>
      </c>
      <c r="M500" s="10" t="str">
        <f>_xlfn.XLOOKUP(B500,DataSet!$N$2:$N$600,DataSet!$Q$2:$Q$600,0)</f>
        <v>Howard Miller 14-1/2" Diameter Chrome Round Wall Clock</v>
      </c>
      <c r="N500" s="16">
        <f>_xlfn.XLOOKUP(B500,DataSet!$N$2:$N$600,DataSet!$AA$2:$AA$600,0)</f>
        <v>255.76</v>
      </c>
      <c r="O500" s="10">
        <f>_xlfn.XLOOKUP(B500,DataSet!$N$2:$N$600,DataSet!$S$2:$S$600,0)</f>
        <v>4</v>
      </c>
      <c r="P500" s="15">
        <f>_xlfn.XLOOKUP(B500,DataSet!$N$2:$N$600,DataSet!$T$2:$T$600,0)</f>
        <v>0</v>
      </c>
      <c r="Q500" s="14">
        <f>_xlfn.XLOOKUP(B500,DataSet!$N$2:$N$600,DataSet!$U$2:$U$600,0)</f>
        <v>81.843199999999996</v>
      </c>
      <c r="R500" s="16">
        <f>_xlfn.XLOOKUP(B500,DataSet!$N$2:$N$600,DataSet!$AB$2:$AB$600,0)</f>
        <v>1023.04</v>
      </c>
      <c r="S500" s="9">
        <f>_xlfn.XLOOKUP(B500,DataSet!$N$2:$N$600,DataSet!$AC$2:$AC$600,0)</f>
        <v>1023.04</v>
      </c>
    </row>
    <row r="501" spans="1:19" s="12" customFormat="1" x14ac:dyDescent="0.3">
      <c r="A501" s="27">
        <v>499</v>
      </c>
      <c r="B501" s="10" t="s">
        <v>1165</v>
      </c>
      <c r="C501" s="10" t="str">
        <f>_xlfn.XLOOKUP(B501,DataSet!$N$2:$N$600,DataSet!$AF$2:$AF$600,0)</f>
        <v>164973</v>
      </c>
      <c r="D501" s="10" t="str">
        <f>_xlfn.XLOOKUP(B501,DataSet!$N$2:$N$600,DataSet!$G$2:$G$600,0)</f>
        <v>Nathan Mautz</v>
      </c>
      <c r="E501" s="10" t="str">
        <f>_xlfn.XLOOKUP(B501,DataSet!$N$2:$N$600,DataSet!$F$2:$F$600,0)</f>
        <v>NM-18445</v>
      </c>
      <c r="F501" s="10" t="str">
        <f>_xlfn.XLOOKUP(B501,DataSet!$N$2:$N$600,DataSet!$W$2:$W$600,0)</f>
        <v>Home Office</v>
      </c>
      <c r="G501" s="13">
        <f>_xlfn.XLOOKUP(B501,DataSet!$N$2:$N$600,DataSet!$C$2:$C$600,0)</f>
        <v>41947</v>
      </c>
      <c r="H501" s="10" t="str">
        <f>_xlfn.XLOOKUP(B501,DataSet!$N$2:$N$600,DataSet!$I$2:$I$600,0)</f>
        <v>United States</v>
      </c>
      <c r="I501" s="10" t="str">
        <f>_xlfn.XLOOKUP(B501,DataSet!$N$2:$N$600,DataSet!$X$2:$X$600,0)</f>
        <v>New York City - New York</v>
      </c>
      <c r="J501" s="10" t="str">
        <f>_xlfn.XLOOKUP(B501,DataSet!$N$2:$N$600,DataSet!$M$2:$M$600,0)</f>
        <v>East</v>
      </c>
      <c r="K501" s="10" t="str">
        <f>_xlfn.XLOOKUP(B501,DataSet!$N$2:$N$600,DataSet!$O$2:$O$600,0)</f>
        <v>Furniture</v>
      </c>
      <c r="L501" s="10" t="str">
        <f>_xlfn.XLOOKUP(B501,DataSet!$N$2:$N$600,DataSet!$Y$2:$Y$600,0)</f>
        <v>Chairs</v>
      </c>
      <c r="M501" s="10" t="str">
        <f>_xlfn.XLOOKUP(B501,DataSet!$N$2:$N$600,DataSet!$Q$2:$Q$600,0)</f>
        <v>DMI Arturo Collection Mission-style Design Wood Chair</v>
      </c>
      <c r="N501" s="16">
        <f>_xlfn.XLOOKUP(B501,DataSet!$N$2:$N$600,DataSet!$AA$2:$AA$600,0)</f>
        <v>135.88200000000001</v>
      </c>
      <c r="O501" s="10">
        <f>_xlfn.XLOOKUP(B501,DataSet!$N$2:$N$600,DataSet!$S$2:$S$600,0)</f>
        <v>1</v>
      </c>
      <c r="P501" s="15">
        <f>_xlfn.XLOOKUP(B501,DataSet!$N$2:$N$600,DataSet!$T$2:$T$600,0)</f>
        <v>0.1</v>
      </c>
      <c r="Q501" s="14">
        <f>_xlfn.XLOOKUP(B501,DataSet!$N$2:$N$600,DataSet!$U$2:$U$600,0)</f>
        <v>24.1568</v>
      </c>
      <c r="R501" s="16">
        <f>_xlfn.XLOOKUP(B501,DataSet!$N$2:$N$600,DataSet!$AB$2:$AB$600,0)</f>
        <v>135.88200000000001</v>
      </c>
      <c r="S501" s="9">
        <f>_xlfn.XLOOKUP(B501,DataSet!$N$2:$N$600,DataSet!$AC$2:$AC$600,0)</f>
        <v>122.2938</v>
      </c>
    </row>
    <row r="502" spans="1:19" s="12" customFormat="1" x14ac:dyDescent="0.3">
      <c r="A502" s="27">
        <v>500</v>
      </c>
      <c r="B502" s="10" t="s">
        <v>1719</v>
      </c>
      <c r="C502" s="10" t="str">
        <f>_xlfn.XLOOKUP(B502,DataSet!$N$2:$N$600,DataSet!$AF$2:$AF$600,0)</f>
        <v>126158</v>
      </c>
      <c r="D502" s="10" t="str">
        <f>_xlfn.XLOOKUP(B502,DataSet!$N$2:$N$600,DataSet!$G$2:$G$600,0)</f>
        <v>Sanjit Chand</v>
      </c>
      <c r="E502" s="10" t="str">
        <f>_xlfn.XLOOKUP(B502,DataSet!$N$2:$N$600,DataSet!$F$2:$F$600,0)</f>
        <v>SC-20095</v>
      </c>
      <c r="F502" s="10" t="str">
        <f>_xlfn.XLOOKUP(B502,DataSet!$N$2:$N$600,DataSet!$W$2:$W$600,0)</f>
        <v>Consumer</v>
      </c>
      <c r="G502" s="13">
        <f>_xlfn.XLOOKUP(B502,DataSet!$N$2:$N$600,DataSet!$C$2:$C$600,0)</f>
        <v>42576</v>
      </c>
      <c r="H502" s="10" t="str">
        <f>_xlfn.XLOOKUP(B502,DataSet!$N$2:$N$600,DataSet!$I$2:$I$600,0)</f>
        <v>United States</v>
      </c>
      <c r="I502" s="10" t="str">
        <f>_xlfn.XLOOKUP(B502,DataSet!$N$2:$N$600,DataSet!$X$2:$X$600,0)</f>
        <v>Costa Mesa - California</v>
      </c>
      <c r="J502" s="10" t="str">
        <f>_xlfn.XLOOKUP(B502,DataSet!$N$2:$N$600,DataSet!$M$2:$M$600,0)</f>
        <v>West</v>
      </c>
      <c r="K502" s="10" t="str">
        <f>_xlfn.XLOOKUP(B502,DataSet!$N$2:$N$600,DataSet!$O$2:$O$600,0)</f>
        <v>Furniture</v>
      </c>
      <c r="L502" s="10" t="str">
        <f>_xlfn.XLOOKUP(B502,DataSet!$N$2:$N$600,DataSet!$Y$2:$Y$600,0)</f>
        <v>Furnishings</v>
      </c>
      <c r="M502" s="10" t="str">
        <f>_xlfn.XLOOKUP(B502,DataSet!$N$2:$N$600,DataSet!$Q$2:$Q$600,0)</f>
        <v>Deflect-O Glasstique Clear Desk Accessories</v>
      </c>
      <c r="N502" s="16">
        <f>_xlfn.XLOOKUP(B502,DataSet!$N$2:$N$600,DataSet!$AA$2:$AA$600,0)</f>
        <v>69.3</v>
      </c>
      <c r="O502" s="10">
        <f>_xlfn.XLOOKUP(B502,DataSet!$N$2:$N$600,DataSet!$S$2:$S$600,0)</f>
        <v>9</v>
      </c>
      <c r="P502" s="15">
        <f>_xlfn.XLOOKUP(B502,DataSet!$N$2:$N$600,DataSet!$T$2:$T$600,0)</f>
        <v>0</v>
      </c>
      <c r="Q502" s="14">
        <f>_xlfn.XLOOKUP(B502,DataSet!$N$2:$N$600,DataSet!$U$2:$U$600,0)</f>
        <v>22.869</v>
      </c>
      <c r="R502" s="16">
        <f>_xlfn.XLOOKUP(B502,DataSet!$N$2:$N$600,DataSet!$AB$2:$AB$600,0)</f>
        <v>623.69999999999993</v>
      </c>
      <c r="S502" s="9">
        <f>_xlfn.XLOOKUP(B502,DataSet!$N$2:$N$600,DataSet!$AC$2:$AC$600,0)</f>
        <v>623.69999999999993</v>
      </c>
    </row>
    <row r="503" spans="1:19" s="12" customFormat="1" x14ac:dyDescent="0.3">
      <c r="A503" s="27">
        <v>501</v>
      </c>
      <c r="B503" s="10" t="s">
        <v>1725</v>
      </c>
      <c r="C503" s="10" t="str">
        <f>_xlfn.XLOOKUP(B503,DataSet!$N$2:$N$600,DataSet!$AF$2:$AF$600,0)</f>
        <v>105578</v>
      </c>
      <c r="D503" s="10" t="str">
        <f>_xlfn.XLOOKUP(B503,DataSet!$N$2:$N$600,DataSet!$G$2:$G$600,0)</f>
        <v>Maribeth Yedwab</v>
      </c>
      <c r="E503" s="10" t="str">
        <f>_xlfn.XLOOKUP(B503,DataSet!$N$2:$N$600,DataSet!$F$2:$F$600,0)</f>
        <v>MY-17380</v>
      </c>
      <c r="F503" s="10" t="str">
        <f>_xlfn.XLOOKUP(B503,DataSet!$N$2:$N$600,DataSet!$W$2:$W$600,0)</f>
        <v>Corporate</v>
      </c>
      <c r="G503" s="13">
        <f>_xlfn.XLOOKUP(B503,DataSet!$N$2:$N$600,DataSet!$C$2:$C$600,0)</f>
        <v>42520</v>
      </c>
      <c r="H503" s="10" t="str">
        <f>_xlfn.XLOOKUP(B503,DataSet!$N$2:$N$600,DataSet!$I$2:$I$600,0)</f>
        <v>United States</v>
      </c>
      <c r="I503" s="10" t="str">
        <f>_xlfn.XLOOKUP(B503,DataSet!$N$2:$N$600,DataSet!$X$2:$X$600,0)</f>
        <v>Parker - Colorado</v>
      </c>
      <c r="J503" s="10" t="str">
        <f>_xlfn.XLOOKUP(B503,DataSet!$N$2:$N$600,DataSet!$M$2:$M$600,0)</f>
        <v>West</v>
      </c>
      <c r="K503" s="10" t="str">
        <f>_xlfn.XLOOKUP(B503,DataSet!$N$2:$N$600,DataSet!$O$2:$O$600,0)</f>
        <v>Office Supplies</v>
      </c>
      <c r="L503" s="10" t="str">
        <f>_xlfn.XLOOKUP(B503,DataSet!$N$2:$N$600,DataSet!$Y$2:$Y$600,0)</f>
        <v>Binders</v>
      </c>
      <c r="M503" s="10" t="str">
        <f>_xlfn.XLOOKUP(B503,DataSet!$N$2:$N$600,DataSet!$Q$2:$Q$600,0)</f>
        <v>Vinyl Sectional Post Binders</v>
      </c>
      <c r="N503" s="16">
        <f>_xlfn.XLOOKUP(B503,DataSet!$N$2:$N$600,DataSet!$AA$2:$AA$600,0)</f>
        <v>22.62</v>
      </c>
      <c r="O503" s="10">
        <f>_xlfn.XLOOKUP(B503,DataSet!$N$2:$N$600,DataSet!$S$2:$S$600,0)</f>
        <v>2</v>
      </c>
      <c r="P503" s="15">
        <f>_xlfn.XLOOKUP(B503,DataSet!$N$2:$N$600,DataSet!$T$2:$T$600,0)</f>
        <v>0.7</v>
      </c>
      <c r="Q503" s="14">
        <f>_xlfn.XLOOKUP(B503,DataSet!$N$2:$N$600,DataSet!$U$2:$U$600,0)</f>
        <v>-15.08</v>
      </c>
      <c r="R503" s="16">
        <f>_xlfn.XLOOKUP(B503,DataSet!$N$2:$N$600,DataSet!$AB$2:$AB$600,0)</f>
        <v>45.24</v>
      </c>
      <c r="S503" s="9">
        <f>_xlfn.XLOOKUP(B503,DataSet!$N$2:$N$600,DataSet!$AC$2:$AC$600,0)</f>
        <v>13.572000000000003</v>
      </c>
    </row>
    <row r="504" spans="1:19" s="12" customFormat="1" x14ac:dyDescent="0.3">
      <c r="A504" s="27">
        <v>502</v>
      </c>
      <c r="B504" s="10" t="s">
        <v>1727</v>
      </c>
      <c r="C504" s="10" t="str">
        <f>_xlfn.XLOOKUP(B504,DataSet!$N$2:$N$600,DataSet!$AF$2:$AF$600,0)</f>
        <v>105578</v>
      </c>
      <c r="D504" s="10" t="str">
        <f>_xlfn.XLOOKUP(B504,DataSet!$N$2:$N$600,DataSet!$G$2:$G$600,0)</f>
        <v>Maribeth Yedwab</v>
      </c>
      <c r="E504" s="10" t="str">
        <f>_xlfn.XLOOKUP(B504,DataSet!$N$2:$N$600,DataSet!$F$2:$F$600,0)</f>
        <v>MY-17380</v>
      </c>
      <c r="F504" s="10" t="str">
        <f>_xlfn.XLOOKUP(B504,DataSet!$N$2:$N$600,DataSet!$W$2:$W$600,0)</f>
        <v>Corporate</v>
      </c>
      <c r="G504" s="13">
        <f>_xlfn.XLOOKUP(B504,DataSet!$N$2:$N$600,DataSet!$C$2:$C$600,0)</f>
        <v>42520</v>
      </c>
      <c r="H504" s="10" t="str">
        <f>_xlfn.XLOOKUP(B504,DataSet!$N$2:$N$600,DataSet!$I$2:$I$600,0)</f>
        <v>United States</v>
      </c>
      <c r="I504" s="10" t="str">
        <f>_xlfn.XLOOKUP(B504,DataSet!$N$2:$N$600,DataSet!$X$2:$X$600,0)</f>
        <v>Parker - Colorado</v>
      </c>
      <c r="J504" s="10" t="str">
        <f>_xlfn.XLOOKUP(B504,DataSet!$N$2:$N$600,DataSet!$M$2:$M$600,0)</f>
        <v>West</v>
      </c>
      <c r="K504" s="10" t="str">
        <f>_xlfn.XLOOKUP(B504,DataSet!$N$2:$N$600,DataSet!$O$2:$O$600,0)</f>
        <v>Office Supplies</v>
      </c>
      <c r="L504" s="10" t="str">
        <f>_xlfn.XLOOKUP(B504,DataSet!$N$2:$N$600,DataSet!$Y$2:$Y$600,0)</f>
        <v>Binders</v>
      </c>
      <c r="M504" s="10" t="str">
        <f>_xlfn.XLOOKUP(B504,DataSet!$N$2:$N$600,DataSet!$Q$2:$Q$600,0)</f>
        <v>GBC Standard Therm-A-Bind Covers</v>
      </c>
      <c r="N504" s="16">
        <f>_xlfn.XLOOKUP(B504,DataSet!$N$2:$N$600,DataSet!$AA$2:$AA$600,0)</f>
        <v>14.952</v>
      </c>
      <c r="O504" s="10">
        <f>_xlfn.XLOOKUP(B504,DataSet!$N$2:$N$600,DataSet!$S$2:$S$600,0)</f>
        <v>2</v>
      </c>
      <c r="P504" s="15">
        <f>_xlfn.XLOOKUP(B504,DataSet!$N$2:$N$600,DataSet!$T$2:$T$600,0)</f>
        <v>0.7</v>
      </c>
      <c r="Q504" s="14">
        <f>_xlfn.XLOOKUP(B504,DataSet!$N$2:$N$600,DataSet!$U$2:$U$600,0)</f>
        <v>-11.961600000000001</v>
      </c>
      <c r="R504" s="16">
        <f>_xlfn.XLOOKUP(B504,DataSet!$N$2:$N$600,DataSet!$AB$2:$AB$600,0)</f>
        <v>29.904</v>
      </c>
      <c r="S504" s="9">
        <f>_xlfn.XLOOKUP(B504,DataSet!$N$2:$N$600,DataSet!$AC$2:$AC$600,0)</f>
        <v>8.9712000000000014</v>
      </c>
    </row>
    <row r="505" spans="1:19" s="12" customFormat="1" x14ac:dyDescent="0.3">
      <c r="A505" s="27">
        <v>503</v>
      </c>
      <c r="B505" s="10" t="s">
        <v>1729</v>
      </c>
      <c r="C505" s="10" t="str">
        <f>_xlfn.XLOOKUP(B505,DataSet!$N$2:$N$600,DataSet!$AF$2:$AF$600,0)</f>
        <v>105578</v>
      </c>
      <c r="D505" s="10" t="str">
        <f>_xlfn.XLOOKUP(B505,DataSet!$N$2:$N$600,DataSet!$G$2:$G$600,0)</f>
        <v>Maribeth Yedwab</v>
      </c>
      <c r="E505" s="10" t="str">
        <f>_xlfn.XLOOKUP(B505,DataSet!$N$2:$N$600,DataSet!$F$2:$F$600,0)</f>
        <v>MY-17380</v>
      </c>
      <c r="F505" s="10" t="str">
        <f>_xlfn.XLOOKUP(B505,DataSet!$N$2:$N$600,DataSet!$W$2:$W$600,0)</f>
        <v>Corporate</v>
      </c>
      <c r="G505" s="13">
        <f>_xlfn.XLOOKUP(B505,DataSet!$N$2:$N$600,DataSet!$C$2:$C$600,0)</f>
        <v>42520</v>
      </c>
      <c r="H505" s="10" t="str">
        <f>_xlfn.XLOOKUP(B505,DataSet!$N$2:$N$600,DataSet!$I$2:$I$600,0)</f>
        <v>United States</v>
      </c>
      <c r="I505" s="10" t="str">
        <f>_xlfn.XLOOKUP(B505,DataSet!$N$2:$N$600,DataSet!$X$2:$X$600,0)</f>
        <v>Parker - Colorado</v>
      </c>
      <c r="J505" s="10" t="str">
        <f>_xlfn.XLOOKUP(B505,DataSet!$N$2:$N$600,DataSet!$M$2:$M$600,0)</f>
        <v>West</v>
      </c>
      <c r="K505" s="10" t="str">
        <f>_xlfn.XLOOKUP(B505,DataSet!$N$2:$N$600,DataSet!$O$2:$O$600,0)</f>
        <v>Furniture</v>
      </c>
      <c r="L505" s="10" t="str">
        <f>_xlfn.XLOOKUP(B505,DataSet!$N$2:$N$600,DataSet!$Y$2:$Y$600,0)</f>
        <v>Chairs</v>
      </c>
      <c r="M505" s="10" t="str">
        <f>_xlfn.XLOOKUP(B505,DataSet!$N$2:$N$600,DataSet!$Q$2:$Q$600,0)</f>
        <v>Global Troy Executive Leather Low-Back Tilter</v>
      </c>
      <c r="N505" s="16">
        <f>_xlfn.XLOOKUP(B505,DataSet!$N$2:$N$600,DataSet!$AA$2:$AA$600,0)</f>
        <v>801.56799999999998</v>
      </c>
      <c r="O505" s="10">
        <f>_xlfn.XLOOKUP(B505,DataSet!$N$2:$N$600,DataSet!$S$2:$S$600,0)</f>
        <v>2</v>
      </c>
      <c r="P505" s="15">
        <f>_xlfn.XLOOKUP(B505,DataSet!$N$2:$N$600,DataSet!$T$2:$T$600,0)</f>
        <v>0.2</v>
      </c>
      <c r="Q505" s="14">
        <f>_xlfn.XLOOKUP(B505,DataSet!$N$2:$N$600,DataSet!$U$2:$U$600,0)</f>
        <v>50.097999999999999</v>
      </c>
      <c r="R505" s="16">
        <f>_xlfn.XLOOKUP(B505,DataSet!$N$2:$N$600,DataSet!$AB$2:$AB$600,0)</f>
        <v>1603.136</v>
      </c>
      <c r="S505" s="9">
        <f>_xlfn.XLOOKUP(B505,DataSet!$N$2:$N$600,DataSet!$AC$2:$AC$600,0)</f>
        <v>1282.5088000000001</v>
      </c>
    </row>
    <row r="506" spans="1:19" s="12" customFormat="1" x14ac:dyDescent="0.3">
      <c r="A506" s="27">
        <v>504</v>
      </c>
      <c r="B506" s="10" t="s">
        <v>1731</v>
      </c>
      <c r="C506" s="10" t="str">
        <f>_xlfn.XLOOKUP(B506,DataSet!$N$2:$N$600,DataSet!$AF$2:$AF$600,0)</f>
        <v>105578</v>
      </c>
      <c r="D506" s="10" t="str">
        <f>_xlfn.XLOOKUP(B506,DataSet!$N$2:$N$600,DataSet!$G$2:$G$600,0)</f>
        <v>Maribeth Yedwab</v>
      </c>
      <c r="E506" s="10" t="str">
        <f>_xlfn.XLOOKUP(B506,DataSet!$N$2:$N$600,DataSet!$F$2:$F$600,0)</f>
        <v>MY-17380</v>
      </c>
      <c r="F506" s="10" t="str">
        <f>_xlfn.XLOOKUP(B506,DataSet!$N$2:$N$600,DataSet!$W$2:$W$600,0)</f>
        <v>Corporate</v>
      </c>
      <c r="G506" s="13">
        <f>_xlfn.XLOOKUP(B506,DataSet!$N$2:$N$600,DataSet!$C$2:$C$600,0)</f>
        <v>42520</v>
      </c>
      <c r="H506" s="10" t="str">
        <f>_xlfn.XLOOKUP(B506,DataSet!$N$2:$N$600,DataSet!$I$2:$I$600,0)</f>
        <v>United States</v>
      </c>
      <c r="I506" s="10" t="str">
        <f>_xlfn.XLOOKUP(B506,DataSet!$N$2:$N$600,DataSet!$X$2:$X$600,0)</f>
        <v>Parker - Colorado</v>
      </c>
      <c r="J506" s="10" t="str">
        <f>_xlfn.XLOOKUP(B506,DataSet!$N$2:$N$600,DataSet!$M$2:$M$600,0)</f>
        <v>West</v>
      </c>
      <c r="K506" s="10" t="str">
        <f>_xlfn.XLOOKUP(B506,DataSet!$N$2:$N$600,DataSet!$O$2:$O$600,0)</f>
        <v>Office Supplies</v>
      </c>
      <c r="L506" s="10" t="str">
        <f>_xlfn.XLOOKUP(B506,DataSet!$N$2:$N$600,DataSet!$Y$2:$Y$600,0)</f>
        <v>Binders</v>
      </c>
      <c r="M506" s="10" t="str">
        <f>_xlfn.XLOOKUP(B506,DataSet!$N$2:$N$600,DataSet!$Q$2:$Q$600,0)</f>
        <v>Storex Flexible Poly Binders with Double Pockets</v>
      </c>
      <c r="N506" s="16">
        <f>_xlfn.XLOOKUP(B506,DataSet!$N$2:$N$600,DataSet!$AA$2:$AA$600,0)</f>
        <v>2.3759999999999999</v>
      </c>
      <c r="O506" s="10">
        <f>_xlfn.XLOOKUP(B506,DataSet!$N$2:$N$600,DataSet!$S$2:$S$600,0)</f>
        <v>3</v>
      </c>
      <c r="P506" s="15">
        <f>_xlfn.XLOOKUP(B506,DataSet!$N$2:$N$600,DataSet!$T$2:$T$600,0)</f>
        <v>0.7</v>
      </c>
      <c r="Q506" s="14">
        <f>_xlfn.XLOOKUP(B506,DataSet!$N$2:$N$600,DataSet!$U$2:$U$600,0)</f>
        <v>-1.9008</v>
      </c>
      <c r="R506" s="16">
        <f>_xlfn.XLOOKUP(B506,DataSet!$N$2:$N$600,DataSet!$AB$2:$AB$600,0)</f>
        <v>7.1280000000000001</v>
      </c>
      <c r="S506" s="9">
        <f>_xlfn.XLOOKUP(B506,DataSet!$N$2:$N$600,DataSet!$AC$2:$AC$600,0)</f>
        <v>2.1384000000000003</v>
      </c>
    </row>
    <row r="507" spans="1:19" s="12" customFormat="1" x14ac:dyDescent="0.3">
      <c r="A507" s="27">
        <v>505</v>
      </c>
      <c r="B507" s="10" t="s">
        <v>1733</v>
      </c>
      <c r="C507" s="10" t="str">
        <f>_xlfn.XLOOKUP(B507,DataSet!$N$2:$N$600,DataSet!$AF$2:$AF$600,0)</f>
        <v>105578</v>
      </c>
      <c r="D507" s="10" t="str">
        <f>_xlfn.XLOOKUP(B507,DataSet!$N$2:$N$600,DataSet!$G$2:$G$600,0)</f>
        <v>Maribeth Yedwab</v>
      </c>
      <c r="E507" s="10" t="str">
        <f>_xlfn.XLOOKUP(B507,DataSet!$N$2:$N$600,DataSet!$F$2:$F$600,0)</f>
        <v>MY-17380</v>
      </c>
      <c r="F507" s="10" t="str">
        <f>_xlfn.XLOOKUP(B507,DataSet!$N$2:$N$600,DataSet!$W$2:$W$600,0)</f>
        <v>Corporate</v>
      </c>
      <c r="G507" s="13">
        <f>_xlfn.XLOOKUP(B507,DataSet!$N$2:$N$600,DataSet!$C$2:$C$600,0)</f>
        <v>42520</v>
      </c>
      <c r="H507" s="10" t="str">
        <f>_xlfn.XLOOKUP(B507,DataSet!$N$2:$N$600,DataSet!$I$2:$I$600,0)</f>
        <v>United States</v>
      </c>
      <c r="I507" s="10" t="str">
        <f>_xlfn.XLOOKUP(B507,DataSet!$N$2:$N$600,DataSet!$X$2:$X$600,0)</f>
        <v>Parker - Colorado</v>
      </c>
      <c r="J507" s="10" t="str">
        <f>_xlfn.XLOOKUP(B507,DataSet!$N$2:$N$600,DataSet!$M$2:$M$600,0)</f>
        <v>West</v>
      </c>
      <c r="K507" s="10" t="str">
        <f>_xlfn.XLOOKUP(B507,DataSet!$N$2:$N$600,DataSet!$O$2:$O$600,0)</f>
        <v>Office Supplies</v>
      </c>
      <c r="L507" s="10" t="str">
        <f>_xlfn.XLOOKUP(B507,DataSet!$N$2:$N$600,DataSet!$Y$2:$Y$600,0)</f>
        <v>Paper</v>
      </c>
      <c r="M507" s="10" t="str">
        <f>_xlfn.XLOOKUP(B507,DataSet!$N$2:$N$600,DataSet!$Q$2:$Q$600,0)</f>
        <v>White Dual Perf Computer Printout Paper, 2700 Sheets, 1 Part, Heavyweight, 20 lbs., 14 7/8 x 11</v>
      </c>
      <c r="N507" s="16">
        <f>_xlfn.XLOOKUP(B507,DataSet!$N$2:$N$600,DataSet!$AA$2:$AA$600,0)</f>
        <v>32.792000000000002</v>
      </c>
      <c r="O507" s="10">
        <f>_xlfn.XLOOKUP(B507,DataSet!$N$2:$N$600,DataSet!$S$2:$S$600,0)</f>
        <v>1</v>
      </c>
      <c r="P507" s="15">
        <f>_xlfn.XLOOKUP(B507,DataSet!$N$2:$N$600,DataSet!$T$2:$T$600,0)</f>
        <v>0.2</v>
      </c>
      <c r="Q507" s="14">
        <f>_xlfn.XLOOKUP(B507,DataSet!$N$2:$N$600,DataSet!$U$2:$U$600,0)</f>
        <v>11.8871</v>
      </c>
      <c r="R507" s="16">
        <f>_xlfn.XLOOKUP(B507,DataSet!$N$2:$N$600,DataSet!$AB$2:$AB$600,0)</f>
        <v>32.792000000000002</v>
      </c>
      <c r="S507" s="9">
        <f>_xlfn.XLOOKUP(B507,DataSet!$N$2:$N$600,DataSet!$AC$2:$AC$600,0)</f>
        <v>26.233600000000003</v>
      </c>
    </row>
    <row r="508" spans="1:19" s="12" customFormat="1" x14ac:dyDescent="0.3">
      <c r="A508" s="27">
        <v>506</v>
      </c>
      <c r="B508" s="10" t="s">
        <v>543</v>
      </c>
      <c r="C508" s="10" t="str">
        <f>_xlfn.XLOOKUP(B508,DataSet!$N$2:$N$600,DataSet!$AF$2:$AF$600,0)</f>
        <v>107272</v>
      </c>
      <c r="D508" s="10" t="str">
        <f>_xlfn.XLOOKUP(B508,DataSet!$N$2:$N$600,DataSet!$G$2:$G$600,0)</f>
        <v>Troy Staebel</v>
      </c>
      <c r="E508" s="10" t="str">
        <f>_xlfn.XLOOKUP(B508,DataSet!$N$2:$N$600,DataSet!$F$2:$F$600,0)</f>
        <v>TS-21610</v>
      </c>
      <c r="F508" s="10" t="str">
        <f>_xlfn.XLOOKUP(B508,DataSet!$N$2:$N$600,DataSet!$W$2:$W$600,0)</f>
        <v>Consumer</v>
      </c>
      <c r="G508" s="13">
        <f>_xlfn.XLOOKUP(B508,DataSet!$N$2:$N$600,DataSet!$C$2:$C$600,0)</f>
        <v>43044</v>
      </c>
      <c r="H508" s="10" t="str">
        <f>_xlfn.XLOOKUP(B508,DataSet!$N$2:$N$600,DataSet!$I$2:$I$600,0)</f>
        <v>United States</v>
      </c>
      <c r="I508" s="10" t="str">
        <f>_xlfn.XLOOKUP(B508,DataSet!$N$2:$N$600,DataSet!$X$2:$X$600,0)</f>
        <v>Phoenix - Arizona</v>
      </c>
      <c r="J508" s="10" t="str">
        <f>_xlfn.XLOOKUP(B508,DataSet!$N$2:$N$600,DataSet!$M$2:$M$600,0)</f>
        <v>West</v>
      </c>
      <c r="K508" s="10" t="str">
        <f>_xlfn.XLOOKUP(B508,DataSet!$N$2:$N$600,DataSet!$O$2:$O$600,0)</f>
        <v>Office Supplies</v>
      </c>
      <c r="L508" s="10" t="str">
        <f>_xlfn.XLOOKUP(B508,DataSet!$N$2:$N$600,DataSet!$Y$2:$Y$600,0)</f>
        <v>Binders</v>
      </c>
      <c r="M508" s="10" t="str">
        <f>_xlfn.XLOOKUP(B508,DataSet!$N$2:$N$600,DataSet!$Q$2:$Q$600,0)</f>
        <v>Avery Durable Slant Ring Binders, No Labels</v>
      </c>
      <c r="N508" s="16">
        <f>_xlfn.XLOOKUP(B508,DataSet!$N$2:$N$600,DataSet!$AA$2:$AA$600,0)</f>
        <v>2.3879999999999999</v>
      </c>
      <c r="O508" s="10">
        <f>_xlfn.XLOOKUP(B508,DataSet!$N$2:$N$600,DataSet!$S$2:$S$600,0)</f>
        <v>2</v>
      </c>
      <c r="P508" s="15">
        <f>_xlfn.XLOOKUP(B508,DataSet!$N$2:$N$600,DataSet!$T$2:$T$600,0)</f>
        <v>0.7</v>
      </c>
      <c r="Q508" s="14">
        <f>_xlfn.XLOOKUP(B508,DataSet!$N$2:$N$600,DataSet!$U$2:$U$600,0)</f>
        <v>-1.8308</v>
      </c>
      <c r="R508" s="16">
        <f>_xlfn.XLOOKUP(B508,DataSet!$N$2:$N$600,DataSet!$AB$2:$AB$600,0)</f>
        <v>4.7759999999999998</v>
      </c>
      <c r="S508" s="9">
        <f>_xlfn.XLOOKUP(B508,DataSet!$N$2:$N$600,DataSet!$AC$2:$AC$600,0)</f>
        <v>1.4328000000000001</v>
      </c>
    </row>
    <row r="509" spans="1:19" s="12" customFormat="1" x14ac:dyDescent="0.3">
      <c r="A509" s="27">
        <v>507</v>
      </c>
      <c r="B509" s="10" t="s">
        <v>1740</v>
      </c>
      <c r="C509" s="10" t="str">
        <f>_xlfn.XLOOKUP(B509,DataSet!$N$2:$N$600,DataSet!$AF$2:$AF$600,0)</f>
        <v>145352</v>
      </c>
      <c r="D509" s="10" t="str">
        <f>_xlfn.XLOOKUP(B509,DataSet!$N$2:$N$600,DataSet!$G$2:$G$600,0)</f>
        <v>Christopher Martinez</v>
      </c>
      <c r="E509" s="10" t="str">
        <f>_xlfn.XLOOKUP(B509,DataSet!$N$2:$N$600,DataSet!$F$2:$F$600,0)</f>
        <v>CM-12385</v>
      </c>
      <c r="F509" s="10" t="str">
        <f>_xlfn.XLOOKUP(B509,DataSet!$N$2:$N$600,DataSet!$W$2:$W$600,0)</f>
        <v>Consumer</v>
      </c>
      <c r="G509" s="13">
        <f>_xlfn.XLOOKUP(B509,DataSet!$N$2:$N$600,DataSet!$C$2:$C$600,0)</f>
        <v>42079</v>
      </c>
      <c r="H509" s="10" t="str">
        <f>_xlfn.XLOOKUP(B509,DataSet!$N$2:$N$600,DataSet!$I$2:$I$600,0)</f>
        <v>United States</v>
      </c>
      <c r="I509" s="10" t="str">
        <f>_xlfn.XLOOKUP(B509,DataSet!$N$2:$N$600,DataSet!$X$2:$X$600,0)</f>
        <v>Atlanta - Georgia</v>
      </c>
      <c r="J509" s="10" t="str">
        <f>_xlfn.XLOOKUP(B509,DataSet!$N$2:$N$600,DataSet!$M$2:$M$600,0)</f>
        <v>South</v>
      </c>
      <c r="K509" s="10" t="str">
        <f>_xlfn.XLOOKUP(B509,DataSet!$N$2:$N$600,DataSet!$O$2:$O$600,0)</f>
        <v>Office Supplies</v>
      </c>
      <c r="L509" s="10" t="str">
        <f>_xlfn.XLOOKUP(B509,DataSet!$N$2:$N$600,DataSet!$Y$2:$Y$600,0)</f>
        <v>Art</v>
      </c>
      <c r="M509" s="10" t="str">
        <f>_xlfn.XLOOKUP(B509,DataSet!$N$2:$N$600,DataSet!$Q$2:$Q$600,0)</f>
        <v>Rogers Handheld Barrel Pencil Sharpener</v>
      </c>
      <c r="N509" s="16">
        <f>_xlfn.XLOOKUP(B509,DataSet!$N$2:$N$600,DataSet!$AA$2:$AA$600,0)</f>
        <v>2.74</v>
      </c>
      <c r="O509" s="10">
        <f>_xlfn.XLOOKUP(B509,DataSet!$N$2:$N$600,DataSet!$S$2:$S$600,0)</f>
        <v>1</v>
      </c>
      <c r="P509" s="15">
        <f>_xlfn.XLOOKUP(B509,DataSet!$N$2:$N$600,DataSet!$T$2:$T$600,0)</f>
        <v>0</v>
      </c>
      <c r="Q509" s="14">
        <f>_xlfn.XLOOKUP(B509,DataSet!$N$2:$N$600,DataSet!$U$2:$U$600,0)</f>
        <v>0.73980000000000001</v>
      </c>
      <c r="R509" s="16">
        <f>_xlfn.XLOOKUP(B509,DataSet!$N$2:$N$600,DataSet!$AB$2:$AB$600,0)</f>
        <v>2.74</v>
      </c>
      <c r="S509" s="9">
        <f>_xlfn.XLOOKUP(B509,DataSet!$N$2:$N$600,DataSet!$AC$2:$AC$600,0)</f>
        <v>2.74</v>
      </c>
    </row>
    <row r="510" spans="1:19" s="12" customFormat="1" x14ac:dyDescent="0.3">
      <c r="A510" s="27">
        <v>508</v>
      </c>
      <c r="B510" s="10" t="s">
        <v>1742</v>
      </c>
      <c r="C510" s="10" t="str">
        <f>_xlfn.XLOOKUP(B510,DataSet!$N$2:$N$600,DataSet!$AF$2:$AF$600,0)</f>
        <v>145352</v>
      </c>
      <c r="D510" s="10" t="str">
        <f>_xlfn.XLOOKUP(B510,DataSet!$N$2:$N$600,DataSet!$G$2:$G$600,0)</f>
        <v>Christopher Martinez</v>
      </c>
      <c r="E510" s="10" t="str">
        <f>_xlfn.XLOOKUP(B510,DataSet!$N$2:$N$600,DataSet!$F$2:$F$600,0)</f>
        <v>CM-12385</v>
      </c>
      <c r="F510" s="10" t="str">
        <f>_xlfn.XLOOKUP(B510,DataSet!$N$2:$N$600,DataSet!$W$2:$W$600,0)</f>
        <v>Consumer</v>
      </c>
      <c r="G510" s="13">
        <f>_xlfn.XLOOKUP(B510,DataSet!$N$2:$N$600,DataSet!$C$2:$C$600,0)</f>
        <v>42079</v>
      </c>
      <c r="H510" s="10" t="str">
        <f>_xlfn.XLOOKUP(B510,DataSet!$N$2:$N$600,DataSet!$I$2:$I$600,0)</f>
        <v>United States</v>
      </c>
      <c r="I510" s="10" t="str">
        <f>_xlfn.XLOOKUP(B510,DataSet!$N$2:$N$600,DataSet!$X$2:$X$600,0)</f>
        <v>Atlanta - Georgia</v>
      </c>
      <c r="J510" s="10" t="str">
        <f>_xlfn.XLOOKUP(B510,DataSet!$N$2:$N$600,DataSet!$M$2:$M$600,0)</f>
        <v>South</v>
      </c>
      <c r="K510" s="10" t="str">
        <f>_xlfn.XLOOKUP(B510,DataSet!$N$2:$N$600,DataSet!$O$2:$O$600,0)</f>
        <v>Office Supplies</v>
      </c>
      <c r="L510" s="10" t="str">
        <f>_xlfn.XLOOKUP(B510,DataSet!$N$2:$N$600,DataSet!$Y$2:$Y$600,0)</f>
        <v>Art</v>
      </c>
      <c r="M510" s="10" t="str">
        <f>_xlfn.XLOOKUP(B510,DataSet!$N$2:$N$600,DataSet!$Q$2:$Q$600,0)</f>
        <v>Newell 344</v>
      </c>
      <c r="N510" s="16">
        <f>_xlfn.XLOOKUP(B510,DataSet!$N$2:$N$600,DataSet!$AA$2:$AA$600,0)</f>
        <v>8.34</v>
      </c>
      <c r="O510" s="10">
        <f>_xlfn.XLOOKUP(B510,DataSet!$N$2:$N$600,DataSet!$S$2:$S$600,0)</f>
        <v>3</v>
      </c>
      <c r="P510" s="15">
        <f>_xlfn.XLOOKUP(B510,DataSet!$N$2:$N$600,DataSet!$T$2:$T$600,0)</f>
        <v>0</v>
      </c>
      <c r="Q510" s="14">
        <f>_xlfn.XLOOKUP(B510,DataSet!$N$2:$N$600,DataSet!$U$2:$U$600,0)</f>
        <v>2.1684000000000001</v>
      </c>
      <c r="R510" s="16">
        <f>_xlfn.XLOOKUP(B510,DataSet!$N$2:$N$600,DataSet!$AB$2:$AB$600,0)</f>
        <v>25.02</v>
      </c>
      <c r="S510" s="9">
        <f>_xlfn.XLOOKUP(B510,DataSet!$N$2:$N$600,DataSet!$AC$2:$AC$600,0)</f>
        <v>25.02</v>
      </c>
    </row>
    <row r="511" spans="1:19" s="12" customFormat="1" x14ac:dyDescent="0.3">
      <c r="A511" s="27">
        <v>509</v>
      </c>
      <c r="B511" s="10" t="s">
        <v>954</v>
      </c>
      <c r="C511" s="10" t="str">
        <f>_xlfn.XLOOKUP(B511,DataSet!$N$2:$N$600,DataSet!$AF$2:$AF$600,0)</f>
        <v>146941</v>
      </c>
      <c r="D511" s="10" t="str">
        <f>_xlfn.XLOOKUP(B511,DataSet!$N$2:$N$600,DataSet!$G$2:$G$600,0)</f>
        <v>Delfina Latchford</v>
      </c>
      <c r="E511" s="10" t="str">
        <f>_xlfn.XLOOKUP(B511,DataSet!$N$2:$N$600,DataSet!$F$2:$F$600,0)</f>
        <v>DL-13315</v>
      </c>
      <c r="F511" s="10" t="str">
        <f>_xlfn.XLOOKUP(B511,DataSet!$N$2:$N$600,DataSet!$W$2:$W$600,0)</f>
        <v>Consumer</v>
      </c>
      <c r="G511" s="13">
        <f>_xlfn.XLOOKUP(B511,DataSet!$N$2:$N$600,DataSet!$C$2:$C$600,0)</f>
        <v>42714</v>
      </c>
      <c r="H511" s="10" t="str">
        <f>_xlfn.XLOOKUP(B511,DataSet!$N$2:$N$600,DataSet!$I$2:$I$600,0)</f>
        <v>United States</v>
      </c>
      <c r="I511" s="10" t="str">
        <f>_xlfn.XLOOKUP(B511,DataSet!$N$2:$N$600,DataSet!$X$2:$X$600,0)</f>
        <v>New York City - New York</v>
      </c>
      <c r="J511" s="10" t="str">
        <f>_xlfn.XLOOKUP(B511,DataSet!$N$2:$N$600,DataSet!$M$2:$M$600,0)</f>
        <v>East</v>
      </c>
      <c r="K511" s="10" t="str">
        <f>_xlfn.XLOOKUP(B511,DataSet!$N$2:$N$600,DataSet!$O$2:$O$600,0)</f>
        <v>Office Supplies</v>
      </c>
      <c r="L511" s="10" t="str">
        <f>_xlfn.XLOOKUP(B511,DataSet!$N$2:$N$600,DataSet!$Y$2:$Y$600,0)</f>
        <v>Storage</v>
      </c>
      <c r="M511" s="10" t="str">
        <f>_xlfn.XLOOKUP(B511,DataSet!$N$2:$N$600,DataSet!$Q$2:$Q$600,0)</f>
        <v>Fellowes Personal Hanging Folder Files, Navy</v>
      </c>
      <c r="N511" s="16">
        <f>_xlfn.XLOOKUP(B511,DataSet!$N$2:$N$600,DataSet!$AA$2:$AA$600,0)</f>
        <v>80.58</v>
      </c>
      <c r="O511" s="10">
        <f>_xlfn.XLOOKUP(B511,DataSet!$N$2:$N$600,DataSet!$S$2:$S$600,0)</f>
        <v>6</v>
      </c>
      <c r="P511" s="15">
        <f>_xlfn.XLOOKUP(B511,DataSet!$N$2:$N$600,DataSet!$T$2:$T$600,0)</f>
        <v>0</v>
      </c>
      <c r="Q511" s="14">
        <f>_xlfn.XLOOKUP(B511,DataSet!$N$2:$N$600,DataSet!$U$2:$U$600,0)</f>
        <v>22.5624</v>
      </c>
      <c r="R511" s="16">
        <f>_xlfn.XLOOKUP(B511,DataSet!$N$2:$N$600,DataSet!$AB$2:$AB$600,0)</f>
        <v>483.48</v>
      </c>
      <c r="S511" s="9">
        <f>_xlfn.XLOOKUP(B511,DataSet!$N$2:$N$600,DataSet!$AC$2:$AC$600,0)</f>
        <v>483.48</v>
      </c>
    </row>
    <row r="512" spans="1:19" s="12" customFormat="1" x14ac:dyDescent="0.3">
      <c r="A512" s="27">
        <v>510</v>
      </c>
      <c r="B512" s="10" t="s">
        <v>1745</v>
      </c>
      <c r="C512" s="10" t="str">
        <f>_xlfn.XLOOKUP(B512,DataSet!$N$2:$N$600,DataSet!$AF$2:$AF$600,0)</f>
        <v>145352</v>
      </c>
      <c r="D512" s="10" t="str">
        <f>_xlfn.XLOOKUP(B512,DataSet!$N$2:$N$600,DataSet!$G$2:$G$600,0)</f>
        <v>Christopher Martinez</v>
      </c>
      <c r="E512" s="10" t="str">
        <f>_xlfn.XLOOKUP(B512,DataSet!$N$2:$N$600,DataSet!$F$2:$F$600,0)</f>
        <v>CM-12385</v>
      </c>
      <c r="F512" s="10" t="str">
        <f>_xlfn.XLOOKUP(B512,DataSet!$N$2:$N$600,DataSet!$W$2:$W$600,0)</f>
        <v>Consumer</v>
      </c>
      <c r="G512" s="13">
        <f>_xlfn.XLOOKUP(B512,DataSet!$N$2:$N$600,DataSet!$C$2:$C$600,0)</f>
        <v>42079</v>
      </c>
      <c r="H512" s="10" t="str">
        <f>_xlfn.XLOOKUP(B512,DataSet!$N$2:$N$600,DataSet!$I$2:$I$600,0)</f>
        <v>United States</v>
      </c>
      <c r="I512" s="10" t="str">
        <f>_xlfn.XLOOKUP(B512,DataSet!$N$2:$N$600,DataSet!$X$2:$X$600,0)</f>
        <v>Atlanta - Georgia</v>
      </c>
      <c r="J512" s="10" t="str">
        <f>_xlfn.XLOOKUP(B512,DataSet!$N$2:$N$600,DataSet!$M$2:$M$600,0)</f>
        <v>South</v>
      </c>
      <c r="K512" s="10" t="str">
        <f>_xlfn.XLOOKUP(B512,DataSet!$N$2:$N$600,DataSet!$O$2:$O$600,0)</f>
        <v>Office Supplies</v>
      </c>
      <c r="L512" s="10" t="str">
        <f>_xlfn.XLOOKUP(B512,DataSet!$N$2:$N$600,DataSet!$Y$2:$Y$600,0)</f>
        <v>Binders</v>
      </c>
      <c r="M512" s="10" t="str">
        <f>_xlfn.XLOOKUP(B512,DataSet!$N$2:$N$600,DataSet!$Q$2:$Q$600,0)</f>
        <v>Fellowes PB500 Electric Punch Plastic Comb Binding Machine with Manual Bind</v>
      </c>
      <c r="N512" s="16">
        <f>_xlfn.XLOOKUP(B512,DataSet!$N$2:$N$600,DataSet!$AA$2:$AA$600,0)</f>
        <v>6354.95</v>
      </c>
      <c r="O512" s="10">
        <f>_xlfn.XLOOKUP(B512,DataSet!$N$2:$N$600,DataSet!$S$2:$S$600,0)</f>
        <v>5</v>
      </c>
      <c r="P512" s="15">
        <f>_xlfn.XLOOKUP(B512,DataSet!$N$2:$N$600,DataSet!$T$2:$T$600,0)</f>
        <v>0</v>
      </c>
      <c r="Q512" s="14">
        <f>_xlfn.XLOOKUP(B512,DataSet!$N$2:$N$600,DataSet!$U$2:$U$600,0)</f>
        <v>3177.4749999999999</v>
      </c>
      <c r="R512" s="16">
        <f>_xlfn.XLOOKUP(B512,DataSet!$N$2:$N$600,DataSet!$AB$2:$AB$600,0)</f>
        <v>31774.75</v>
      </c>
      <c r="S512" s="9">
        <f>_xlfn.XLOOKUP(B512,DataSet!$N$2:$N$600,DataSet!$AC$2:$AC$600,0)</f>
        <v>31774.75</v>
      </c>
    </row>
    <row r="513" spans="1:19" s="12" customFormat="1" x14ac:dyDescent="0.3">
      <c r="A513" s="27">
        <v>511</v>
      </c>
      <c r="B513" s="10" t="s">
        <v>1751</v>
      </c>
      <c r="C513" s="10" t="str">
        <f>_xlfn.XLOOKUP(B513,DataSet!$N$2:$N$600,DataSet!$AF$2:$AF$600,0)</f>
        <v>135307</v>
      </c>
      <c r="D513" s="10" t="str">
        <f>_xlfn.XLOOKUP(B513,DataSet!$N$2:$N$600,DataSet!$G$2:$G$600,0)</f>
        <v>Lynn Smith</v>
      </c>
      <c r="E513" s="10" t="str">
        <f>_xlfn.XLOOKUP(B513,DataSet!$N$2:$N$600,DataSet!$F$2:$F$600,0)</f>
        <v>LS-17245</v>
      </c>
      <c r="F513" s="10" t="str">
        <f>_xlfn.XLOOKUP(B513,DataSet!$N$2:$N$600,DataSet!$W$2:$W$600,0)</f>
        <v>Consumer</v>
      </c>
      <c r="G513" s="13">
        <f>_xlfn.XLOOKUP(B513,DataSet!$N$2:$N$600,DataSet!$C$2:$C$600,0)</f>
        <v>43065</v>
      </c>
      <c r="H513" s="10" t="str">
        <f>_xlfn.XLOOKUP(B513,DataSet!$N$2:$N$600,DataSet!$I$2:$I$600,0)</f>
        <v>United States</v>
      </c>
      <c r="I513" s="10" t="str">
        <f>_xlfn.XLOOKUP(B513,DataSet!$N$2:$N$600,DataSet!$X$2:$X$600,0)</f>
        <v>Gladstone - Missouri</v>
      </c>
      <c r="J513" s="10" t="str">
        <f>_xlfn.XLOOKUP(B513,DataSet!$N$2:$N$600,DataSet!$M$2:$M$600,0)</f>
        <v>Central</v>
      </c>
      <c r="K513" s="10" t="str">
        <f>_xlfn.XLOOKUP(B513,DataSet!$N$2:$N$600,DataSet!$O$2:$O$600,0)</f>
        <v>Furniture</v>
      </c>
      <c r="L513" s="10" t="str">
        <f>_xlfn.XLOOKUP(B513,DataSet!$N$2:$N$600,DataSet!$Y$2:$Y$600,0)</f>
        <v>Furnishings</v>
      </c>
      <c r="M513" s="10" t="str">
        <f>_xlfn.XLOOKUP(B513,DataSet!$N$2:$N$600,DataSet!$Q$2:$Q$600,0)</f>
        <v>Executive Impressions Supervisor Wall Clock</v>
      </c>
      <c r="N513" s="16">
        <f>_xlfn.XLOOKUP(B513,DataSet!$N$2:$N$600,DataSet!$AA$2:$AA$600,0)</f>
        <v>126.3</v>
      </c>
      <c r="O513" s="10">
        <f>_xlfn.XLOOKUP(B513,DataSet!$N$2:$N$600,DataSet!$S$2:$S$600,0)</f>
        <v>3</v>
      </c>
      <c r="P513" s="15">
        <f>_xlfn.XLOOKUP(B513,DataSet!$N$2:$N$600,DataSet!$T$2:$T$600,0)</f>
        <v>0</v>
      </c>
      <c r="Q513" s="14">
        <f>_xlfn.XLOOKUP(B513,DataSet!$N$2:$N$600,DataSet!$U$2:$U$600,0)</f>
        <v>40.415999999999997</v>
      </c>
      <c r="R513" s="16">
        <f>_xlfn.XLOOKUP(B513,DataSet!$N$2:$N$600,DataSet!$AB$2:$AB$600,0)</f>
        <v>378.9</v>
      </c>
      <c r="S513" s="9">
        <f>_xlfn.XLOOKUP(B513,DataSet!$N$2:$N$600,DataSet!$AC$2:$AC$600,0)</f>
        <v>378.9</v>
      </c>
    </row>
    <row r="514" spans="1:19" s="12" customFormat="1" x14ac:dyDescent="0.3">
      <c r="A514" s="27">
        <v>512</v>
      </c>
      <c r="B514" s="10" t="s">
        <v>1753</v>
      </c>
      <c r="C514" s="10" t="str">
        <f>_xlfn.XLOOKUP(B514,DataSet!$N$2:$N$600,DataSet!$AF$2:$AF$600,0)</f>
        <v>135307</v>
      </c>
      <c r="D514" s="10" t="str">
        <f>_xlfn.XLOOKUP(B514,DataSet!$N$2:$N$600,DataSet!$G$2:$G$600,0)</f>
        <v>Lynn Smith</v>
      </c>
      <c r="E514" s="10" t="str">
        <f>_xlfn.XLOOKUP(B514,DataSet!$N$2:$N$600,DataSet!$F$2:$F$600,0)</f>
        <v>LS-17245</v>
      </c>
      <c r="F514" s="10" t="str">
        <f>_xlfn.XLOOKUP(B514,DataSet!$N$2:$N$600,DataSet!$W$2:$W$600,0)</f>
        <v>Consumer</v>
      </c>
      <c r="G514" s="13">
        <f>_xlfn.XLOOKUP(B514,DataSet!$N$2:$N$600,DataSet!$C$2:$C$600,0)</f>
        <v>43065</v>
      </c>
      <c r="H514" s="10" t="str">
        <f>_xlfn.XLOOKUP(B514,DataSet!$N$2:$N$600,DataSet!$I$2:$I$600,0)</f>
        <v>United States</v>
      </c>
      <c r="I514" s="10" t="str">
        <f>_xlfn.XLOOKUP(B514,DataSet!$N$2:$N$600,DataSet!$X$2:$X$600,0)</f>
        <v>Gladstone - Missouri</v>
      </c>
      <c r="J514" s="10" t="str">
        <f>_xlfn.XLOOKUP(B514,DataSet!$N$2:$N$600,DataSet!$M$2:$M$600,0)</f>
        <v>Central</v>
      </c>
      <c r="K514" s="10" t="str">
        <f>_xlfn.XLOOKUP(B514,DataSet!$N$2:$N$600,DataSet!$O$2:$O$600,0)</f>
        <v>Technology</v>
      </c>
      <c r="L514" s="10" t="str">
        <f>_xlfn.XLOOKUP(B514,DataSet!$N$2:$N$600,DataSet!$Y$2:$Y$600,0)</f>
        <v>Accessories</v>
      </c>
      <c r="M514" s="10" t="str">
        <f>_xlfn.XLOOKUP(B514,DataSet!$N$2:$N$600,DataSet!$Q$2:$Q$600,0)</f>
        <v>SanDisk Cruzer 32 GB USB Flash Drive</v>
      </c>
      <c r="N514" s="16">
        <f>_xlfn.XLOOKUP(B514,DataSet!$N$2:$N$600,DataSet!$AA$2:$AA$600,0)</f>
        <v>38.04</v>
      </c>
      <c r="O514" s="10">
        <f>_xlfn.XLOOKUP(B514,DataSet!$N$2:$N$600,DataSet!$S$2:$S$600,0)</f>
        <v>2</v>
      </c>
      <c r="P514" s="15">
        <f>_xlfn.XLOOKUP(B514,DataSet!$N$2:$N$600,DataSet!$T$2:$T$600,0)</f>
        <v>0</v>
      </c>
      <c r="Q514" s="14">
        <f>_xlfn.XLOOKUP(B514,DataSet!$N$2:$N$600,DataSet!$U$2:$U$600,0)</f>
        <v>12.172800000000001</v>
      </c>
      <c r="R514" s="16">
        <f>_xlfn.XLOOKUP(B514,DataSet!$N$2:$N$600,DataSet!$AB$2:$AB$600,0)</f>
        <v>76.08</v>
      </c>
      <c r="S514" s="9">
        <f>_xlfn.XLOOKUP(B514,DataSet!$N$2:$N$600,DataSet!$AC$2:$AC$600,0)</f>
        <v>76.08</v>
      </c>
    </row>
    <row r="515" spans="1:19" s="12" customFormat="1" x14ac:dyDescent="0.3">
      <c r="A515" s="27">
        <v>513</v>
      </c>
      <c r="B515" s="10" t="s">
        <v>364</v>
      </c>
      <c r="C515" s="10" t="str">
        <f>_xlfn.XLOOKUP(B515,DataSet!$N$2:$N$600,DataSet!$AF$2:$AF$600,0)</f>
        <v>139451</v>
      </c>
      <c r="D515" s="10" t="str">
        <f>_xlfn.XLOOKUP(B515,DataSet!$N$2:$N$600,DataSet!$G$2:$G$600,0)</f>
        <v>Duane Noonan</v>
      </c>
      <c r="E515" s="10" t="str">
        <f>_xlfn.XLOOKUP(B515,DataSet!$N$2:$N$600,DataSet!$F$2:$F$600,0)</f>
        <v>DN-13690</v>
      </c>
      <c r="F515" s="10" t="str">
        <f>_xlfn.XLOOKUP(B515,DataSet!$N$2:$N$600,DataSet!$W$2:$W$600,0)</f>
        <v>Consumer</v>
      </c>
      <c r="G515" s="13">
        <f>_xlfn.XLOOKUP(B515,DataSet!$N$2:$N$600,DataSet!$C$2:$C$600,0)</f>
        <v>41924</v>
      </c>
      <c r="H515" s="10" t="str">
        <f>_xlfn.XLOOKUP(B515,DataSet!$N$2:$N$600,DataSet!$I$2:$I$600,0)</f>
        <v>United States</v>
      </c>
      <c r="I515" s="10" t="str">
        <f>_xlfn.XLOOKUP(B515,DataSet!$N$2:$N$600,DataSet!$X$2:$X$600,0)</f>
        <v>San Francisco - California</v>
      </c>
      <c r="J515" s="10" t="str">
        <f>_xlfn.XLOOKUP(B515,DataSet!$N$2:$N$600,DataSet!$M$2:$M$600,0)</f>
        <v>West</v>
      </c>
      <c r="K515" s="10" t="str">
        <f>_xlfn.XLOOKUP(B515,DataSet!$N$2:$N$600,DataSet!$O$2:$O$600,0)</f>
        <v>Office Supplies</v>
      </c>
      <c r="L515" s="10" t="str">
        <f>_xlfn.XLOOKUP(B515,DataSet!$N$2:$N$600,DataSet!$Y$2:$Y$600,0)</f>
        <v>Art</v>
      </c>
      <c r="M515" s="10" t="str">
        <f>_xlfn.XLOOKUP(B515,DataSet!$N$2:$N$600,DataSet!$Q$2:$Q$600,0)</f>
        <v>Premium Writing Pencils, Soft, #2 by Central Association for the Blind</v>
      </c>
      <c r="N515" s="16">
        <f>_xlfn.XLOOKUP(B515,DataSet!$N$2:$N$600,DataSet!$AA$2:$AA$600,0)</f>
        <v>14.9</v>
      </c>
      <c r="O515" s="10">
        <f>_xlfn.XLOOKUP(B515,DataSet!$N$2:$N$600,DataSet!$S$2:$S$600,0)</f>
        <v>5</v>
      </c>
      <c r="P515" s="15">
        <f>_xlfn.XLOOKUP(B515,DataSet!$N$2:$N$600,DataSet!$T$2:$T$600,0)</f>
        <v>0</v>
      </c>
      <c r="Q515" s="14">
        <f>_xlfn.XLOOKUP(B515,DataSet!$N$2:$N$600,DataSet!$U$2:$U$600,0)</f>
        <v>4.1719999999999997</v>
      </c>
      <c r="R515" s="16">
        <f>_xlfn.XLOOKUP(B515,DataSet!$N$2:$N$600,DataSet!$AB$2:$AB$600,0)</f>
        <v>74.5</v>
      </c>
      <c r="S515" s="9">
        <f>_xlfn.XLOOKUP(B515,DataSet!$N$2:$N$600,DataSet!$AC$2:$AC$600,0)</f>
        <v>74.5</v>
      </c>
    </row>
    <row r="516" spans="1:19" s="12" customFormat="1" x14ac:dyDescent="0.3">
      <c r="A516" s="27">
        <v>514</v>
      </c>
      <c r="B516" s="10" t="s">
        <v>1759</v>
      </c>
      <c r="C516" s="10" t="str">
        <f>_xlfn.XLOOKUP(B516,DataSet!$N$2:$N$600,DataSet!$AF$2:$AF$600,0)</f>
        <v>163405</v>
      </c>
      <c r="D516" s="10" t="str">
        <f>_xlfn.XLOOKUP(B516,DataSet!$N$2:$N$600,DataSet!$G$2:$G$600,0)</f>
        <v>Bradley Nguyen</v>
      </c>
      <c r="E516" s="10" t="str">
        <f>_xlfn.XLOOKUP(B516,DataSet!$N$2:$N$600,DataSet!$F$2:$F$600,0)</f>
        <v>BN-11515</v>
      </c>
      <c r="F516" s="10" t="str">
        <f>_xlfn.XLOOKUP(B516,DataSet!$N$2:$N$600,DataSet!$W$2:$W$600,0)</f>
        <v>Consumer</v>
      </c>
      <c r="G516" s="13">
        <f>_xlfn.XLOOKUP(B516,DataSet!$N$2:$N$600,DataSet!$C$2:$C$600,0)</f>
        <v>43090</v>
      </c>
      <c r="H516" s="10" t="str">
        <f>_xlfn.XLOOKUP(B516,DataSet!$N$2:$N$600,DataSet!$I$2:$I$600,0)</f>
        <v>United States</v>
      </c>
      <c r="I516" s="10" t="str">
        <f>_xlfn.XLOOKUP(B516,DataSet!$N$2:$N$600,DataSet!$X$2:$X$600,0)</f>
        <v>Los Angeles - California</v>
      </c>
      <c r="J516" s="10" t="str">
        <f>_xlfn.XLOOKUP(B516,DataSet!$N$2:$N$600,DataSet!$M$2:$M$600,0)</f>
        <v>West</v>
      </c>
      <c r="K516" s="10" t="str">
        <f>_xlfn.XLOOKUP(B516,DataSet!$N$2:$N$600,DataSet!$O$2:$O$600,0)</f>
        <v>Office Supplies</v>
      </c>
      <c r="L516" s="10" t="str">
        <f>_xlfn.XLOOKUP(B516,DataSet!$N$2:$N$600,DataSet!$Y$2:$Y$600,0)</f>
        <v>Art</v>
      </c>
      <c r="M516" s="10" t="str">
        <f>_xlfn.XLOOKUP(B516,DataSet!$N$2:$N$600,DataSet!$Q$2:$Q$600,0)</f>
        <v>Newell 327</v>
      </c>
      <c r="N516" s="16">
        <f>_xlfn.XLOOKUP(B516,DataSet!$N$2:$N$600,DataSet!$AA$2:$AA$600,0)</f>
        <v>6.63</v>
      </c>
      <c r="O516" s="10">
        <f>_xlfn.XLOOKUP(B516,DataSet!$N$2:$N$600,DataSet!$S$2:$S$600,0)</f>
        <v>3</v>
      </c>
      <c r="P516" s="15">
        <f>_xlfn.XLOOKUP(B516,DataSet!$N$2:$N$600,DataSet!$T$2:$T$600,0)</f>
        <v>0</v>
      </c>
      <c r="Q516" s="14">
        <f>_xlfn.XLOOKUP(B516,DataSet!$N$2:$N$600,DataSet!$U$2:$U$600,0)</f>
        <v>1.7901</v>
      </c>
      <c r="R516" s="16">
        <f>_xlfn.XLOOKUP(B516,DataSet!$N$2:$N$600,DataSet!$AB$2:$AB$600,0)</f>
        <v>19.89</v>
      </c>
      <c r="S516" s="9">
        <f>_xlfn.XLOOKUP(B516,DataSet!$N$2:$N$600,DataSet!$AC$2:$AC$600,0)</f>
        <v>19.89</v>
      </c>
    </row>
    <row r="517" spans="1:19" s="12" customFormat="1" x14ac:dyDescent="0.3">
      <c r="A517" s="27">
        <v>515</v>
      </c>
      <c r="B517" s="10" t="s">
        <v>1761</v>
      </c>
      <c r="C517" s="10" t="str">
        <f>_xlfn.XLOOKUP(B517,DataSet!$N$2:$N$600,DataSet!$AF$2:$AF$600,0)</f>
        <v>163405</v>
      </c>
      <c r="D517" s="10" t="str">
        <f>_xlfn.XLOOKUP(B517,DataSet!$N$2:$N$600,DataSet!$G$2:$G$600,0)</f>
        <v>Bradley Nguyen</v>
      </c>
      <c r="E517" s="10" t="str">
        <f>_xlfn.XLOOKUP(B517,DataSet!$N$2:$N$600,DataSet!$F$2:$F$600,0)</f>
        <v>BN-11515</v>
      </c>
      <c r="F517" s="10" t="str">
        <f>_xlfn.XLOOKUP(B517,DataSet!$N$2:$N$600,DataSet!$W$2:$W$600,0)</f>
        <v>Consumer</v>
      </c>
      <c r="G517" s="13">
        <f>_xlfn.XLOOKUP(B517,DataSet!$N$2:$N$600,DataSet!$C$2:$C$600,0)</f>
        <v>43090</v>
      </c>
      <c r="H517" s="10" t="str">
        <f>_xlfn.XLOOKUP(B517,DataSet!$N$2:$N$600,DataSet!$I$2:$I$600,0)</f>
        <v>United States</v>
      </c>
      <c r="I517" s="10" t="str">
        <f>_xlfn.XLOOKUP(B517,DataSet!$N$2:$N$600,DataSet!$X$2:$X$600,0)</f>
        <v>Los Angeles - California</v>
      </c>
      <c r="J517" s="10" t="str">
        <f>_xlfn.XLOOKUP(B517,DataSet!$N$2:$N$600,DataSet!$M$2:$M$600,0)</f>
        <v>West</v>
      </c>
      <c r="K517" s="10" t="str">
        <f>_xlfn.XLOOKUP(B517,DataSet!$N$2:$N$600,DataSet!$O$2:$O$600,0)</f>
        <v>Office Supplies</v>
      </c>
      <c r="L517" s="10" t="str">
        <f>_xlfn.XLOOKUP(B517,DataSet!$N$2:$N$600,DataSet!$Y$2:$Y$600,0)</f>
        <v>Art</v>
      </c>
      <c r="M517" s="10" t="str">
        <f>_xlfn.XLOOKUP(B517,DataSet!$N$2:$N$600,DataSet!$Q$2:$Q$600,0)</f>
        <v>Newell 317</v>
      </c>
      <c r="N517" s="16">
        <f>_xlfn.XLOOKUP(B517,DataSet!$N$2:$N$600,DataSet!$AA$2:$AA$600,0)</f>
        <v>5.88</v>
      </c>
      <c r="O517" s="10">
        <f>_xlfn.XLOOKUP(B517,DataSet!$N$2:$N$600,DataSet!$S$2:$S$600,0)</f>
        <v>2</v>
      </c>
      <c r="P517" s="15">
        <f>_xlfn.XLOOKUP(B517,DataSet!$N$2:$N$600,DataSet!$T$2:$T$600,0)</f>
        <v>0</v>
      </c>
      <c r="Q517" s="14">
        <f>_xlfn.XLOOKUP(B517,DataSet!$N$2:$N$600,DataSet!$U$2:$U$600,0)</f>
        <v>1.7052</v>
      </c>
      <c r="R517" s="16">
        <f>_xlfn.XLOOKUP(B517,DataSet!$N$2:$N$600,DataSet!$AB$2:$AB$600,0)</f>
        <v>11.76</v>
      </c>
      <c r="S517" s="9">
        <f>_xlfn.XLOOKUP(B517,DataSet!$N$2:$N$600,DataSet!$AC$2:$AC$600,0)</f>
        <v>11.76</v>
      </c>
    </row>
    <row r="518" spans="1:19" s="12" customFormat="1" x14ac:dyDescent="0.3">
      <c r="A518" s="27">
        <v>516</v>
      </c>
      <c r="B518" s="10" t="s">
        <v>1766</v>
      </c>
      <c r="C518" s="10" t="str">
        <f>_xlfn.XLOOKUP(B518,DataSet!$N$2:$N$600,DataSet!$AF$2:$AF$600,0)</f>
        <v>127432</v>
      </c>
      <c r="D518" s="10" t="str">
        <f>_xlfn.XLOOKUP(B518,DataSet!$N$2:$N$600,DataSet!$G$2:$G$600,0)</f>
        <v>Alan Dominguez</v>
      </c>
      <c r="E518" s="10" t="str">
        <f>_xlfn.XLOOKUP(B518,DataSet!$N$2:$N$600,DataSet!$F$2:$F$600,0)</f>
        <v>AD-10180</v>
      </c>
      <c r="F518" s="10" t="str">
        <f>_xlfn.XLOOKUP(B518,DataSet!$N$2:$N$600,DataSet!$W$2:$W$600,0)</f>
        <v>Home Office</v>
      </c>
      <c r="G518" s="13">
        <f>_xlfn.XLOOKUP(B518,DataSet!$N$2:$N$600,DataSet!$C$2:$C$600,0)</f>
        <v>42757</v>
      </c>
      <c r="H518" s="10" t="str">
        <f>_xlfn.XLOOKUP(B518,DataSet!$N$2:$N$600,DataSet!$I$2:$I$600,0)</f>
        <v>United States</v>
      </c>
      <c r="I518" s="10" t="str">
        <f>_xlfn.XLOOKUP(B518,DataSet!$N$2:$N$600,DataSet!$X$2:$X$600,0)</f>
        <v>Great Falls - Montana</v>
      </c>
      <c r="J518" s="10" t="str">
        <f>_xlfn.XLOOKUP(B518,DataSet!$N$2:$N$600,DataSet!$M$2:$M$600,0)</f>
        <v>West</v>
      </c>
      <c r="K518" s="10" t="str">
        <f>_xlfn.XLOOKUP(B518,DataSet!$N$2:$N$600,DataSet!$O$2:$O$600,0)</f>
        <v>Technology</v>
      </c>
      <c r="L518" s="10" t="str">
        <f>_xlfn.XLOOKUP(B518,DataSet!$N$2:$N$600,DataSet!$Y$2:$Y$600,0)</f>
        <v>Copiers</v>
      </c>
      <c r="M518" s="10" t="str">
        <f>_xlfn.XLOOKUP(B518,DataSet!$N$2:$N$600,DataSet!$Q$2:$Q$600,0)</f>
        <v>Canon Image Class D660 Copier</v>
      </c>
      <c r="N518" s="16">
        <f>_xlfn.XLOOKUP(B518,DataSet!$N$2:$N$600,DataSet!$AA$2:$AA$600,0)</f>
        <v>2999.95</v>
      </c>
      <c r="O518" s="10">
        <f>_xlfn.XLOOKUP(B518,DataSet!$N$2:$N$600,DataSet!$S$2:$S$600,0)</f>
        <v>5</v>
      </c>
      <c r="P518" s="15">
        <f>_xlfn.XLOOKUP(B518,DataSet!$N$2:$N$600,DataSet!$T$2:$T$600,0)</f>
        <v>0</v>
      </c>
      <c r="Q518" s="14">
        <f>_xlfn.XLOOKUP(B518,DataSet!$N$2:$N$600,DataSet!$U$2:$U$600,0)</f>
        <v>1379.9770000000001</v>
      </c>
      <c r="R518" s="16">
        <f>_xlfn.XLOOKUP(B518,DataSet!$N$2:$N$600,DataSet!$AB$2:$AB$600,0)</f>
        <v>14999.75</v>
      </c>
      <c r="S518" s="9">
        <f>_xlfn.XLOOKUP(B518,DataSet!$N$2:$N$600,DataSet!$AC$2:$AC$600,0)</f>
        <v>14999.75</v>
      </c>
    </row>
    <row r="519" spans="1:19" s="12" customFormat="1" x14ac:dyDescent="0.3">
      <c r="A519" s="27">
        <v>517</v>
      </c>
      <c r="B519" s="10" t="s">
        <v>1768</v>
      </c>
      <c r="C519" s="10" t="str">
        <f>_xlfn.XLOOKUP(B519,DataSet!$N$2:$N$600,DataSet!$AF$2:$AF$600,0)</f>
        <v>127432</v>
      </c>
      <c r="D519" s="10" t="str">
        <f>_xlfn.XLOOKUP(B519,DataSet!$N$2:$N$600,DataSet!$G$2:$G$600,0)</f>
        <v>Alan Dominguez</v>
      </c>
      <c r="E519" s="10" t="str">
        <f>_xlfn.XLOOKUP(B519,DataSet!$N$2:$N$600,DataSet!$F$2:$F$600,0)</f>
        <v>AD-10180</v>
      </c>
      <c r="F519" s="10" t="str">
        <f>_xlfn.XLOOKUP(B519,DataSet!$N$2:$N$600,DataSet!$W$2:$W$600,0)</f>
        <v>Home Office</v>
      </c>
      <c r="G519" s="13">
        <f>_xlfn.XLOOKUP(B519,DataSet!$N$2:$N$600,DataSet!$C$2:$C$600,0)</f>
        <v>42757</v>
      </c>
      <c r="H519" s="10" t="str">
        <f>_xlfn.XLOOKUP(B519,DataSet!$N$2:$N$600,DataSet!$I$2:$I$600,0)</f>
        <v>United States</v>
      </c>
      <c r="I519" s="10" t="str">
        <f>_xlfn.XLOOKUP(B519,DataSet!$N$2:$N$600,DataSet!$X$2:$X$600,0)</f>
        <v>Great Falls - Montana</v>
      </c>
      <c r="J519" s="10" t="str">
        <f>_xlfn.XLOOKUP(B519,DataSet!$N$2:$N$600,DataSet!$M$2:$M$600,0)</f>
        <v>West</v>
      </c>
      <c r="K519" s="10" t="str">
        <f>_xlfn.XLOOKUP(B519,DataSet!$N$2:$N$600,DataSet!$O$2:$O$600,0)</f>
        <v>Office Supplies</v>
      </c>
      <c r="L519" s="10" t="str">
        <f>_xlfn.XLOOKUP(B519,DataSet!$N$2:$N$600,DataSet!$Y$2:$Y$600,0)</f>
        <v>Storage</v>
      </c>
      <c r="M519" s="10" t="str">
        <f>_xlfn.XLOOKUP(B519,DataSet!$N$2:$N$600,DataSet!$Q$2:$Q$600,0)</f>
        <v>Advantus Rolling Storage Box</v>
      </c>
      <c r="N519" s="16">
        <f>_xlfn.XLOOKUP(B519,DataSet!$N$2:$N$600,DataSet!$AA$2:$AA$600,0)</f>
        <v>51.45</v>
      </c>
      <c r="O519" s="10">
        <f>_xlfn.XLOOKUP(B519,DataSet!$N$2:$N$600,DataSet!$S$2:$S$600,0)</f>
        <v>3</v>
      </c>
      <c r="P519" s="15">
        <f>_xlfn.XLOOKUP(B519,DataSet!$N$2:$N$600,DataSet!$T$2:$T$600,0)</f>
        <v>0</v>
      </c>
      <c r="Q519" s="14">
        <f>_xlfn.XLOOKUP(B519,DataSet!$N$2:$N$600,DataSet!$U$2:$U$600,0)</f>
        <v>13.891500000000001</v>
      </c>
      <c r="R519" s="16">
        <f>_xlfn.XLOOKUP(B519,DataSet!$N$2:$N$600,DataSet!$AB$2:$AB$600,0)</f>
        <v>154.35000000000002</v>
      </c>
      <c r="S519" s="9">
        <f>_xlfn.XLOOKUP(B519,DataSet!$N$2:$N$600,DataSet!$AC$2:$AC$600,0)</f>
        <v>154.35000000000002</v>
      </c>
    </row>
    <row r="520" spans="1:19" s="12" customFormat="1" x14ac:dyDescent="0.3">
      <c r="A520" s="27">
        <v>518</v>
      </c>
      <c r="B520" s="10" t="s">
        <v>1770</v>
      </c>
      <c r="C520" s="10" t="str">
        <f>_xlfn.XLOOKUP(B520,DataSet!$N$2:$N$600,DataSet!$AF$2:$AF$600,0)</f>
        <v>127432</v>
      </c>
      <c r="D520" s="10" t="str">
        <f>_xlfn.XLOOKUP(B520,DataSet!$N$2:$N$600,DataSet!$G$2:$G$600,0)</f>
        <v>Alan Dominguez</v>
      </c>
      <c r="E520" s="10" t="str">
        <f>_xlfn.XLOOKUP(B520,DataSet!$N$2:$N$600,DataSet!$F$2:$F$600,0)</f>
        <v>AD-10180</v>
      </c>
      <c r="F520" s="10" t="str">
        <f>_xlfn.XLOOKUP(B520,DataSet!$N$2:$N$600,DataSet!$W$2:$W$600,0)</f>
        <v>Home Office</v>
      </c>
      <c r="G520" s="13">
        <f>_xlfn.XLOOKUP(B520,DataSet!$N$2:$N$600,DataSet!$C$2:$C$600,0)</f>
        <v>42757</v>
      </c>
      <c r="H520" s="10" t="str">
        <f>_xlfn.XLOOKUP(B520,DataSet!$N$2:$N$600,DataSet!$I$2:$I$600,0)</f>
        <v>United States</v>
      </c>
      <c r="I520" s="10" t="str">
        <f>_xlfn.XLOOKUP(B520,DataSet!$N$2:$N$600,DataSet!$X$2:$X$600,0)</f>
        <v>Great Falls - Montana</v>
      </c>
      <c r="J520" s="10" t="str">
        <f>_xlfn.XLOOKUP(B520,DataSet!$N$2:$N$600,DataSet!$M$2:$M$600,0)</f>
        <v>West</v>
      </c>
      <c r="K520" s="10" t="str">
        <f>_xlfn.XLOOKUP(B520,DataSet!$N$2:$N$600,DataSet!$O$2:$O$600,0)</f>
        <v>Office Supplies</v>
      </c>
      <c r="L520" s="10" t="str">
        <f>_xlfn.XLOOKUP(B520,DataSet!$N$2:$N$600,DataSet!$Y$2:$Y$600,0)</f>
        <v>Paper</v>
      </c>
      <c r="M520" s="10" t="str">
        <f>_xlfn.XLOOKUP(B520,DataSet!$N$2:$N$600,DataSet!$Q$2:$Q$600,0)</f>
        <v>Great White Multi-Use Recycled Paper (20Lb. and 84 Bright)</v>
      </c>
      <c r="N520" s="16">
        <f>_xlfn.XLOOKUP(B520,DataSet!$N$2:$N$600,DataSet!$AA$2:$AA$600,0)</f>
        <v>11.96</v>
      </c>
      <c r="O520" s="10">
        <f>_xlfn.XLOOKUP(B520,DataSet!$N$2:$N$600,DataSet!$S$2:$S$600,0)</f>
        <v>2</v>
      </c>
      <c r="P520" s="15">
        <f>_xlfn.XLOOKUP(B520,DataSet!$N$2:$N$600,DataSet!$T$2:$T$600,0)</f>
        <v>0</v>
      </c>
      <c r="Q520" s="14">
        <f>_xlfn.XLOOKUP(B520,DataSet!$N$2:$N$600,DataSet!$U$2:$U$600,0)</f>
        <v>5.3819999999999997</v>
      </c>
      <c r="R520" s="16">
        <f>_xlfn.XLOOKUP(B520,DataSet!$N$2:$N$600,DataSet!$AB$2:$AB$600,0)</f>
        <v>23.92</v>
      </c>
      <c r="S520" s="9">
        <f>_xlfn.XLOOKUP(B520,DataSet!$N$2:$N$600,DataSet!$AC$2:$AC$600,0)</f>
        <v>23.92</v>
      </c>
    </row>
    <row r="521" spans="1:19" s="12" customFormat="1" x14ac:dyDescent="0.3">
      <c r="A521" s="27">
        <v>519</v>
      </c>
      <c r="B521" s="10" t="s">
        <v>1772</v>
      </c>
      <c r="C521" s="10" t="str">
        <f>_xlfn.XLOOKUP(B521,DataSet!$N$2:$N$600,DataSet!$AF$2:$AF$600,0)</f>
        <v>127432</v>
      </c>
      <c r="D521" s="10" t="str">
        <f>_xlfn.XLOOKUP(B521,DataSet!$N$2:$N$600,DataSet!$G$2:$G$600,0)</f>
        <v>Alan Dominguez</v>
      </c>
      <c r="E521" s="10" t="str">
        <f>_xlfn.XLOOKUP(B521,DataSet!$N$2:$N$600,DataSet!$F$2:$F$600,0)</f>
        <v>AD-10180</v>
      </c>
      <c r="F521" s="10" t="str">
        <f>_xlfn.XLOOKUP(B521,DataSet!$N$2:$N$600,DataSet!$W$2:$W$600,0)</f>
        <v>Home Office</v>
      </c>
      <c r="G521" s="13">
        <f>_xlfn.XLOOKUP(B521,DataSet!$N$2:$N$600,DataSet!$C$2:$C$600,0)</f>
        <v>42757</v>
      </c>
      <c r="H521" s="10" t="str">
        <f>_xlfn.XLOOKUP(B521,DataSet!$N$2:$N$600,DataSet!$I$2:$I$600,0)</f>
        <v>United States</v>
      </c>
      <c r="I521" s="10" t="str">
        <f>_xlfn.XLOOKUP(B521,DataSet!$N$2:$N$600,DataSet!$X$2:$X$600,0)</f>
        <v>Great Falls - Montana</v>
      </c>
      <c r="J521" s="10" t="str">
        <f>_xlfn.XLOOKUP(B521,DataSet!$N$2:$N$600,DataSet!$M$2:$M$600,0)</f>
        <v>West</v>
      </c>
      <c r="K521" s="10" t="str">
        <f>_xlfn.XLOOKUP(B521,DataSet!$N$2:$N$600,DataSet!$O$2:$O$600,0)</f>
        <v>Office Supplies</v>
      </c>
      <c r="L521" s="10" t="str">
        <f>_xlfn.XLOOKUP(B521,DataSet!$N$2:$N$600,DataSet!$Y$2:$Y$600,0)</f>
        <v>Storage</v>
      </c>
      <c r="M521" s="10" t="str">
        <f>_xlfn.XLOOKUP(B521,DataSet!$N$2:$N$600,DataSet!$Q$2:$Q$600,0)</f>
        <v>Tennsco Single-Tier Lockers</v>
      </c>
      <c r="N521" s="16">
        <f>_xlfn.XLOOKUP(B521,DataSet!$N$2:$N$600,DataSet!$AA$2:$AA$600,0)</f>
        <v>1126.02</v>
      </c>
      <c r="O521" s="10">
        <f>_xlfn.XLOOKUP(B521,DataSet!$N$2:$N$600,DataSet!$S$2:$S$600,0)</f>
        <v>3</v>
      </c>
      <c r="P521" s="15">
        <f>_xlfn.XLOOKUP(B521,DataSet!$N$2:$N$600,DataSet!$T$2:$T$600,0)</f>
        <v>0</v>
      </c>
      <c r="Q521" s="14">
        <f>_xlfn.XLOOKUP(B521,DataSet!$N$2:$N$600,DataSet!$U$2:$U$600,0)</f>
        <v>56.301000000000002</v>
      </c>
      <c r="R521" s="16">
        <f>_xlfn.XLOOKUP(B521,DataSet!$N$2:$N$600,DataSet!$AB$2:$AB$600,0)</f>
        <v>3378.06</v>
      </c>
      <c r="S521" s="9">
        <f>_xlfn.XLOOKUP(B521,DataSet!$N$2:$N$600,DataSet!$AC$2:$AC$600,0)</f>
        <v>3378.06</v>
      </c>
    </row>
    <row r="522" spans="1:19" s="12" customFormat="1" x14ac:dyDescent="0.3">
      <c r="A522" s="27">
        <v>520</v>
      </c>
      <c r="B522" s="10" t="s">
        <v>228</v>
      </c>
      <c r="C522" s="10" t="str">
        <f>_xlfn.XLOOKUP(B522,DataSet!$N$2:$N$600,DataSet!$AF$2:$AF$600,0)</f>
        <v>118255</v>
      </c>
      <c r="D522" s="10" t="str">
        <f>_xlfn.XLOOKUP(B522,DataSet!$N$2:$N$600,DataSet!$G$2:$G$600,0)</f>
        <v>Odella Nelson</v>
      </c>
      <c r="E522" s="10" t="str">
        <f>_xlfn.XLOOKUP(B522,DataSet!$N$2:$N$600,DataSet!$F$2:$F$600,0)</f>
        <v>ON-18715</v>
      </c>
      <c r="F522" s="10" t="str">
        <f>_xlfn.XLOOKUP(B522,DataSet!$N$2:$N$600,DataSet!$W$2:$W$600,0)</f>
        <v>Corporate</v>
      </c>
      <c r="G522" s="13">
        <f>_xlfn.XLOOKUP(B522,DataSet!$N$2:$N$600,DataSet!$C$2:$C$600,0)</f>
        <v>42440</v>
      </c>
      <c r="H522" s="10" t="str">
        <f>_xlfn.XLOOKUP(B522,DataSet!$N$2:$N$600,DataSet!$I$2:$I$600,0)</f>
        <v>United States</v>
      </c>
      <c r="I522" s="10" t="str">
        <f>_xlfn.XLOOKUP(B522,DataSet!$N$2:$N$600,DataSet!$X$2:$X$600,0)</f>
        <v>Eagan - Minnesota</v>
      </c>
      <c r="J522" s="10" t="str">
        <f>_xlfn.XLOOKUP(B522,DataSet!$N$2:$N$600,DataSet!$M$2:$M$600,0)</f>
        <v>Central</v>
      </c>
      <c r="K522" s="10" t="str">
        <f>_xlfn.XLOOKUP(B522,DataSet!$N$2:$N$600,DataSet!$O$2:$O$600,0)</f>
        <v>Technology</v>
      </c>
      <c r="L522" s="10" t="str">
        <f>_xlfn.XLOOKUP(B522,DataSet!$N$2:$N$600,DataSet!$Y$2:$Y$600,0)</f>
        <v>Accessories</v>
      </c>
      <c r="M522" s="10" t="str">
        <f>_xlfn.XLOOKUP(B522,DataSet!$N$2:$N$600,DataSet!$Q$2:$Q$600,0)</f>
        <v>Verbatim 25 GB 6x Blu-ray Single Layer Recordable Disc, 25/Pack</v>
      </c>
      <c r="N522" s="16">
        <f>_xlfn.XLOOKUP(B522,DataSet!$N$2:$N$600,DataSet!$AA$2:$AA$600,0)</f>
        <v>45.98</v>
      </c>
      <c r="O522" s="10">
        <f>_xlfn.XLOOKUP(B522,DataSet!$N$2:$N$600,DataSet!$S$2:$S$600,0)</f>
        <v>2</v>
      </c>
      <c r="P522" s="15">
        <f>_xlfn.XLOOKUP(B522,DataSet!$N$2:$N$600,DataSet!$T$2:$T$600,0)</f>
        <v>0</v>
      </c>
      <c r="Q522" s="14">
        <f>_xlfn.XLOOKUP(B522,DataSet!$N$2:$N$600,DataSet!$U$2:$U$600,0)</f>
        <v>19.7714</v>
      </c>
      <c r="R522" s="16">
        <f>_xlfn.XLOOKUP(B522,DataSet!$N$2:$N$600,DataSet!$AB$2:$AB$600,0)</f>
        <v>91.96</v>
      </c>
      <c r="S522" s="9">
        <f>_xlfn.XLOOKUP(B522,DataSet!$N$2:$N$600,DataSet!$AC$2:$AC$600,0)</f>
        <v>91.96</v>
      </c>
    </row>
    <row r="523" spans="1:19" s="12" customFormat="1" x14ac:dyDescent="0.3">
      <c r="A523" s="27">
        <v>521</v>
      </c>
      <c r="B523" s="10" t="s">
        <v>1777</v>
      </c>
      <c r="C523" s="10" t="str">
        <f>_xlfn.XLOOKUP(B523,DataSet!$N$2:$N$600,DataSet!$AF$2:$AF$600,0)</f>
        <v>157812</v>
      </c>
      <c r="D523" s="10" t="str">
        <f>_xlfn.XLOOKUP(B523,DataSet!$N$2:$N$600,DataSet!$G$2:$G$600,0)</f>
        <v>Dean Braden</v>
      </c>
      <c r="E523" s="10" t="str">
        <f>_xlfn.XLOOKUP(B523,DataSet!$N$2:$N$600,DataSet!$F$2:$F$600,0)</f>
        <v>DB-13210</v>
      </c>
      <c r="F523" s="10" t="str">
        <f>_xlfn.XLOOKUP(B523,DataSet!$N$2:$N$600,DataSet!$W$2:$W$600,0)</f>
        <v>Consumer</v>
      </c>
      <c r="G523" s="13">
        <f>_xlfn.XLOOKUP(B523,DataSet!$N$2:$N$600,DataSet!$C$2:$C$600,0)</f>
        <v>42085</v>
      </c>
      <c r="H523" s="10" t="str">
        <f>_xlfn.XLOOKUP(B523,DataSet!$N$2:$N$600,DataSet!$I$2:$I$600,0)</f>
        <v>United States</v>
      </c>
      <c r="I523" s="10" t="str">
        <f>_xlfn.XLOOKUP(B523,DataSet!$N$2:$N$600,DataSet!$X$2:$X$600,0)</f>
        <v>Houston - Texas</v>
      </c>
      <c r="J523" s="10" t="str">
        <f>_xlfn.XLOOKUP(B523,DataSet!$N$2:$N$600,DataSet!$M$2:$M$600,0)</f>
        <v>Central</v>
      </c>
      <c r="K523" s="10" t="str">
        <f>_xlfn.XLOOKUP(B523,DataSet!$N$2:$N$600,DataSet!$O$2:$O$600,0)</f>
        <v>Office Supplies</v>
      </c>
      <c r="L523" s="10" t="str">
        <f>_xlfn.XLOOKUP(B523,DataSet!$N$2:$N$600,DataSet!$Y$2:$Y$600,0)</f>
        <v>Storage</v>
      </c>
      <c r="M523" s="10" t="str">
        <f>_xlfn.XLOOKUP(B523,DataSet!$N$2:$N$600,DataSet!$Q$2:$Q$600,0)</f>
        <v>Carina Double Wide Media Storage Towers in Natural &amp; Black</v>
      </c>
      <c r="N523" s="16">
        <f>_xlfn.XLOOKUP(B523,DataSet!$N$2:$N$600,DataSet!$AA$2:$AA$600,0)</f>
        <v>129.56800000000001</v>
      </c>
      <c r="O523" s="10">
        <f>_xlfn.XLOOKUP(B523,DataSet!$N$2:$N$600,DataSet!$S$2:$S$600,0)</f>
        <v>2</v>
      </c>
      <c r="P523" s="15">
        <f>_xlfn.XLOOKUP(B523,DataSet!$N$2:$N$600,DataSet!$T$2:$T$600,0)</f>
        <v>0.2</v>
      </c>
      <c r="Q523" s="14">
        <f>_xlfn.XLOOKUP(B523,DataSet!$N$2:$N$600,DataSet!$U$2:$U$600,0)</f>
        <v>-25.913599999999999</v>
      </c>
      <c r="R523" s="16">
        <f>_xlfn.XLOOKUP(B523,DataSet!$N$2:$N$600,DataSet!$AB$2:$AB$600,0)</f>
        <v>259.13600000000002</v>
      </c>
      <c r="S523" s="9">
        <f>_xlfn.XLOOKUP(B523,DataSet!$N$2:$N$600,DataSet!$AC$2:$AC$600,0)</f>
        <v>207.30880000000002</v>
      </c>
    </row>
    <row r="524" spans="1:19" s="12" customFormat="1" x14ac:dyDescent="0.3">
      <c r="A524" s="27">
        <v>522</v>
      </c>
      <c r="B524" s="10" t="s">
        <v>1779</v>
      </c>
      <c r="C524" s="10" t="str">
        <f>_xlfn.XLOOKUP(B524,DataSet!$N$2:$N$600,DataSet!$AF$2:$AF$600,0)</f>
        <v>157812</v>
      </c>
      <c r="D524" s="10" t="str">
        <f>_xlfn.XLOOKUP(B524,DataSet!$N$2:$N$600,DataSet!$G$2:$G$600,0)</f>
        <v>Dean Braden</v>
      </c>
      <c r="E524" s="10" t="str">
        <f>_xlfn.XLOOKUP(B524,DataSet!$N$2:$N$600,DataSet!$F$2:$F$600,0)</f>
        <v>DB-13210</v>
      </c>
      <c r="F524" s="10" t="str">
        <f>_xlfn.XLOOKUP(B524,DataSet!$N$2:$N$600,DataSet!$W$2:$W$600,0)</f>
        <v>Consumer</v>
      </c>
      <c r="G524" s="13">
        <f>_xlfn.XLOOKUP(B524,DataSet!$N$2:$N$600,DataSet!$C$2:$C$600,0)</f>
        <v>42085</v>
      </c>
      <c r="H524" s="10" t="str">
        <f>_xlfn.XLOOKUP(B524,DataSet!$N$2:$N$600,DataSet!$I$2:$I$600,0)</f>
        <v>United States</v>
      </c>
      <c r="I524" s="10" t="str">
        <f>_xlfn.XLOOKUP(B524,DataSet!$N$2:$N$600,DataSet!$X$2:$X$600,0)</f>
        <v>Houston - Texas</v>
      </c>
      <c r="J524" s="10" t="str">
        <f>_xlfn.XLOOKUP(B524,DataSet!$N$2:$N$600,DataSet!$M$2:$M$600,0)</f>
        <v>Central</v>
      </c>
      <c r="K524" s="10" t="str">
        <f>_xlfn.XLOOKUP(B524,DataSet!$N$2:$N$600,DataSet!$O$2:$O$600,0)</f>
        <v>Office Supplies</v>
      </c>
      <c r="L524" s="10" t="str">
        <f>_xlfn.XLOOKUP(B524,DataSet!$N$2:$N$600,DataSet!$Y$2:$Y$600,0)</f>
        <v>Binders</v>
      </c>
      <c r="M524" s="10" t="str">
        <f>_xlfn.XLOOKUP(B524,DataSet!$N$2:$N$600,DataSet!$Q$2:$Q$600,0)</f>
        <v>XtraLife ClearVue Slant-D Ring Binders by Cardinal</v>
      </c>
      <c r="N524" s="16">
        <f>_xlfn.XLOOKUP(B524,DataSet!$N$2:$N$600,DataSet!$AA$2:$AA$600,0)</f>
        <v>14.112</v>
      </c>
      <c r="O524" s="10">
        <f>_xlfn.XLOOKUP(B524,DataSet!$N$2:$N$600,DataSet!$S$2:$S$600,0)</f>
        <v>9</v>
      </c>
      <c r="P524" s="15">
        <f>_xlfn.XLOOKUP(B524,DataSet!$N$2:$N$600,DataSet!$T$2:$T$600,0)</f>
        <v>0.8</v>
      </c>
      <c r="Q524" s="14">
        <f>_xlfn.XLOOKUP(B524,DataSet!$N$2:$N$600,DataSet!$U$2:$U$600,0)</f>
        <v>-21.167999999999999</v>
      </c>
      <c r="R524" s="16">
        <f>_xlfn.XLOOKUP(B524,DataSet!$N$2:$N$600,DataSet!$AB$2:$AB$600,0)</f>
        <v>127.008</v>
      </c>
      <c r="S524" s="9">
        <f>_xlfn.XLOOKUP(B524,DataSet!$N$2:$N$600,DataSet!$AC$2:$AC$600,0)</f>
        <v>25.401599999999995</v>
      </c>
    </row>
    <row r="525" spans="1:19" s="12" customFormat="1" x14ac:dyDescent="0.3">
      <c r="A525" s="27">
        <v>523</v>
      </c>
      <c r="B525" s="10" t="s">
        <v>1704</v>
      </c>
      <c r="C525" s="10" t="str">
        <f>_xlfn.XLOOKUP(B525,DataSet!$N$2:$N$600,DataSet!$AF$2:$AF$600,0)</f>
        <v>120929</v>
      </c>
      <c r="D525" s="10" t="str">
        <f>_xlfn.XLOOKUP(B525,DataSet!$N$2:$N$600,DataSet!$G$2:$G$600,0)</f>
        <v>Rose O'Brian</v>
      </c>
      <c r="E525" s="10" t="str">
        <f>_xlfn.XLOOKUP(B525,DataSet!$N$2:$N$600,DataSet!$F$2:$F$600,0)</f>
        <v>RO-19780</v>
      </c>
      <c r="F525" s="10" t="str">
        <f>_xlfn.XLOOKUP(B525,DataSet!$N$2:$N$600,DataSet!$W$2:$W$600,0)</f>
        <v>Consumer</v>
      </c>
      <c r="G525" s="13">
        <f>_xlfn.XLOOKUP(B525,DataSet!$N$2:$N$600,DataSet!$C$2:$C$600,0)</f>
        <v>42447</v>
      </c>
      <c r="H525" s="10" t="str">
        <f>_xlfn.XLOOKUP(B525,DataSet!$N$2:$N$600,DataSet!$I$2:$I$600,0)</f>
        <v>United States</v>
      </c>
      <c r="I525" s="10" t="str">
        <f>_xlfn.XLOOKUP(B525,DataSet!$N$2:$N$600,DataSet!$X$2:$X$600,0)</f>
        <v>Memphis - Tennessee</v>
      </c>
      <c r="J525" s="10" t="str">
        <f>_xlfn.XLOOKUP(B525,DataSet!$N$2:$N$600,DataSet!$M$2:$M$600,0)</f>
        <v>South</v>
      </c>
      <c r="K525" s="10" t="str">
        <f>_xlfn.XLOOKUP(B525,DataSet!$N$2:$N$600,DataSet!$O$2:$O$600,0)</f>
        <v>Furniture</v>
      </c>
      <c r="L525" s="10" t="str">
        <f>_xlfn.XLOOKUP(B525,DataSet!$N$2:$N$600,DataSet!$Y$2:$Y$600,0)</f>
        <v>Tables</v>
      </c>
      <c r="M525" s="10" t="str">
        <f>_xlfn.XLOOKUP(B525,DataSet!$N$2:$N$600,DataSet!$Q$2:$Q$600,0)</f>
        <v>Balt Solid Wood Rectangular Table</v>
      </c>
      <c r="N525" s="16">
        <f>_xlfn.XLOOKUP(B525,DataSet!$N$2:$N$600,DataSet!$AA$2:$AA$600,0)</f>
        <v>189.88200000000001</v>
      </c>
      <c r="O525" s="10">
        <f>_xlfn.XLOOKUP(B525,DataSet!$N$2:$N$600,DataSet!$S$2:$S$600,0)</f>
        <v>3</v>
      </c>
      <c r="P525" s="15">
        <f>_xlfn.XLOOKUP(B525,DataSet!$N$2:$N$600,DataSet!$T$2:$T$600,0)</f>
        <v>0.4</v>
      </c>
      <c r="Q525" s="14">
        <f>_xlfn.XLOOKUP(B525,DataSet!$N$2:$N$600,DataSet!$U$2:$U$600,0)</f>
        <v>-94.941000000000003</v>
      </c>
      <c r="R525" s="16">
        <f>_xlfn.XLOOKUP(B525,DataSet!$N$2:$N$600,DataSet!$AB$2:$AB$600,0)</f>
        <v>569.64599999999996</v>
      </c>
      <c r="S525" s="9">
        <f>_xlfn.XLOOKUP(B525,DataSet!$N$2:$N$600,DataSet!$AC$2:$AC$600,0)</f>
        <v>341.78759999999994</v>
      </c>
    </row>
    <row r="526" spans="1:19" s="12" customFormat="1" x14ac:dyDescent="0.3">
      <c r="A526" s="27">
        <v>524</v>
      </c>
      <c r="B526" s="10" t="s">
        <v>1785</v>
      </c>
      <c r="C526" s="10" t="str">
        <f>_xlfn.XLOOKUP(B526,DataSet!$N$2:$N$600,DataSet!$AF$2:$AF$600,0)</f>
        <v>139486</v>
      </c>
      <c r="D526" s="10" t="str">
        <f>_xlfn.XLOOKUP(B526,DataSet!$N$2:$N$600,DataSet!$G$2:$G$600,0)</f>
        <v>Logan Haushalter</v>
      </c>
      <c r="E526" s="10" t="str">
        <f>_xlfn.XLOOKUP(B526,DataSet!$N$2:$N$600,DataSet!$F$2:$F$600,0)</f>
        <v>LH-17155</v>
      </c>
      <c r="F526" s="10" t="str">
        <f>_xlfn.XLOOKUP(B526,DataSet!$N$2:$N$600,DataSet!$W$2:$W$600,0)</f>
        <v>Consumer</v>
      </c>
      <c r="G526" s="13">
        <f>_xlfn.XLOOKUP(B526,DataSet!$N$2:$N$600,DataSet!$C$2:$C$600,0)</f>
        <v>42511</v>
      </c>
      <c r="H526" s="10" t="str">
        <f>_xlfn.XLOOKUP(B526,DataSet!$N$2:$N$600,DataSet!$I$2:$I$600,0)</f>
        <v>United States</v>
      </c>
      <c r="I526" s="10" t="str">
        <f>_xlfn.XLOOKUP(B526,DataSet!$N$2:$N$600,DataSet!$X$2:$X$600,0)</f>
        <v>Los Angeles - California</v>
      </c>
      <c r="J526" s="10" t="str">
        <f>_xlfn.XLOOKUP(B526,DataSet!$N$2:$N$600,DataSet!$M$2:$M$600,0)</f>
        <v>West</v>
      </c>
      <c r="K526" s="10" t="str">
        <f>_xlfn.XLOOKUP(B526,DataSet!$N$2:$N$600,DataSet!$O$2:$O$600,0)</f>
        <v>Technology</v>
      </c>
      <c r="L526" s="10" t="str">
        <f>_xlfn.XLOOKUP(B526,DataSet!$N$2:$N$600,DataSet!$Y$2:$Y$600,0)</f>
        <v>Phones</v>
      </c>
      <c r="M526" s="10" t="str">
        <f>_xlfn.XLOOKUP(B526,DataSet!$N$2:$N$600,DataSet!$Q$2:$Q$600,0)</f>
        <v>Motorola HK250 Universal Bluetooth Headset</v>
      </c>
      <c r="N526" s="16">
        <f>_xlfn.XLOOKUP(B526,DataSet!$N$2:$N$600,DataSet!$AA$2:$AA$600,0)</f>
        <v>55.176000000000002</v>
      </c>
      <c r="O526" s="10">
        <f>_xlfn.XLOOKUP(B526,DataSet!$N$2:$N$600,DataSet!$S$2:$S$600,0)</f>
        <v>3</v>
      </c>
      <c r="P526" s="15">
        <f>_xlfn.XLOOKUP(B526,DataSet!$N$2:$N$600,DataSet!$T$2:$T$600,0)</f>
        <v>0.2</v>
      </c>
      <c r="Q526" s="14">
        <f>_xlfn.XLOOKUP(B526,DataSet!$N$2:$N$600,DataSet!$U$2:$U$600,0)</f>
        <v>-12.4146</v>
      </c>
      <c r="R526" s="16">
        <f>_xlfn.XLOOKUP(B526,DataSet!$N$2:$N$600,DataSet!$AB$2:$AB$600,0)</f>
        <v>165.52800000000002</v>
      </c>
      <c r="S526" s="9">
        <f>_xlfn.XLOOKUP(B526,DataSet!$N$2:$N$600,DataSet!$AC$2:$AC$600,0)</f>
        <v>132.42240000000001</v>
      </c>
    </row>
    <row r="527" spans="1:19" s="12" customFormat="1" x14ac:dyDescent="0.3">
      <c r="A527" s="27">
        <v>525</v>
      </c>
      <c r="B527" s="10" t="s">
        <v>907</v>
      </c>
      <c r="C527" s="10" t="str">
        <f>_xlfn.XLOOKUP(B527,DataSet!$N$2:$N$600,DataSet!$AF$2:$AF$600,0)</f>
        <v>100930</v>
      </c>
      <c r="D527" s="10" t="str">
        <f>_xlfn.XLOOKUP(B527,DataSet!$N$2:$N$600,DataSet!$G$2:$G$600,0)</f>
        <v>Christopher Schild</v>
      </c>
      <c r="E527" s="10" t="str">
        <f>_xlfn.XLOOKUP(B527,DataSet!$N$2:$N$600,DataSet!$F$2:$F$600,0)</f>
        <v>CS-12400</v>
      </c>
      <c r="F527" s="10" t="str">
        <f>_xlfn.XLOOKUP(B527,DataSet!$N$2:$N$600,DataSet!$W$2:$W$600,0)</f>
        <v>Home Office</v>
      </c>
      <c r="G527" s="13">
        <f>_xlfn.XLOOKUP(B527,DataSet!$N$2:$N$600,DataSet!$C$2:$C$600,0)</f>
        <v>42832</v>
      </c>
      <c r="H527" s="10" t="str">
        <f>_xlfn.XLOOKUP(B527,DataSet!$N$2:$N$600,DataSet!$I$2:$I$600,0)</f>
        <v>United States</v>
      </c>
      <c r="I527" s="10" t="str">
        <f>_xlfn.XLOOKUP(B527,DataSet!$N$2:$N$600,DataSet!$X$2:$X$600,0)</f>
        <v>Tampa - Florida</v>
      </c>
      <c r="J527" s="10" t="str">
        <f>_xlfn.XLOOKUP(B527,DataSet!$N$2:$N$600,DataSet!$M$2:$M$600,0)</f>
        <v>South</v>
      </c>
      <c r="K527" s="10" t="str">
        <f>_xlfn.XLOOKUP(B527,DataSet!$N$2:$N$600,DataSet!$O$2:$O$600,0)</f>
        <v>Technology</v>
      </c>
      <c r="L527" s="10" t="str">
        <f>_xlfn.XLOOKUP(B527,DataSet!$N$2:$N$600,DataSet!$Y$2:$Y$600,0)</f>
        <v>Accessories</v>
      </c>
      <c r="M527" s="10" t="str">
        <f>_xlfn.XLOOKUP(B527,DataSet!$N$2:$N$600,DataSet!$Q$2:$Q$600,0)</f>
        <v>Logitech P710e Mobile Speakerphone</v>
      </c>
      <c r="N527" s="16">
        <f>_xlfn.XLOOKUP(B527,DataSet!$N$2:$N$600,DataSet!$AA$2:$AA$600,0)</f>
        <v>617.976</v>
      </c>
      <c r="O527" s="10">
        <f>_xlfn.XLOOKUP(B527,DataSet!$N$2:$N$600,DataSet!$S$2:$S$600,0)</f>
        <v>3</v>
      </c>
      <c r="P527" s="15">
        <f>_xlfn.XLOOKUP(B527,DataSet!$N$2:$N$600,DataSet!$T$2:$T$600,0)</f>
        <v>0.2</v>
      </c>
      <c r="Q527" s="14">
        <f>_xlfn.XLOOKUP(B527,DataSet!$N$2:$N$600,DataSet!$U$2:$U$600,0)</f>
        <v>-7.7247000000000003</v>
      </c>
      <c r="R527" s="16">
        <f>_xlfn.XLOOKUP(B527,DataSet!$N$2:$N$600,DataSet!$AB$2:$AB$600,0)</f>
        <v>1853.9279999999999</v>
      </c>
      <c r="S527" s="9">
        <f>_xlfn.XLOOKUP(B527,DataSet!$N$2:$N$600,DataSet!$AC$2:$AC$600,0)</f>
        <v>1483.1424</v>
      </c>
    </row>
    <row r="528" spans="1:19" s="12" customFormat="1" x14ac:dyDescent="0.3">
      <c r="A528" s="27">
        <v>526</v>
      </c>
      <c r="B528" s="10" t="s">
        <v>1791</v>
      </c>
      <c r="C528" s="10" t="str">
        <f>_xlfn.XLOOKUP(B528,DataSet!$N$2:$N$600,DataSet!$AF$2:$AF$600,0)</f>
        <v>158792</v>
      </c>
      <c r="D528" s="10" t="str">
        <f>_xlfn.XLOOKUP(B528,DataSet!$N$2:$N$600,DataSet!$G$2:$G$600,0)</f>
        <v>Brian Dahlen</v>
      </c>
      <c r="E528" s="10" t="str">
        <f>_xlfn.XLOOKUP(B528,DataSet!$N$2:$N$600,DataSet!$F$2:$F$600,0)</f>
        <v>BD-11605</v>
      </c>
      <c r="F528" s="10" t="str">
        <f>_xlfn.XLOOKUP(B528,DataSet!$N$2:$N$600,DataSet!$W$2:$W$600,0)</f>
        <v>Consumer</v>
      </c>
      <c r="G528" s="13">
        <f>_xlfn.XLOOKUP(B528,DataSet!$N$2:$N$600,DataSet!$C$2:$C$600,0)</f>
        <v>42364</v>
      </c>
      <c r="H528" s="10" t="str">
        <f>_xlfn.XLOOKUP(B528,DataSet!$N$2:$N$600,DataSet!$I$2:$I$600,0)</f>
        <v>United States</v>
      </c>
      <c r="I528" s="10" t="str">
        <f>_xlfn.XLOOKUP(B528,DataSet!$N$2:$N$600,DataSet!$X$2:$X$600,0)</f>
        <v>Lawrence - Massachusetts</v>
      </c>
      <c r="J528" s="10" t="str">
        <f>_xlfn.XLOOKUP(B528,DataSet!$N$2:$N$600,DataSet!$M$2:$M$600,0)</f>
        <v>East</v>
      </c>
      <c r="K528" s="10" t="str">
        <f>_xlfn.XLOOKUP(B528,DataSet!$N$2:$N$600,DataSet!$O$2:$O$600,0)</f>
        <v>Office Supplies</v>
      </c>
      <c r="L528" s="10" t="str">
        <f>_xlfn.XLOOKUP(B528,DataSet!$N$2:$N$600,DataSet!$Y$2:$Y$600,0)</f>
        <v>Fasteners</v>
      </c>
      <c r="M528" s="10" t="str">
        <f>_xlfn.XLOOKUP(B528,DataSet!$N$2:$N$600,DataSet!$Q$2:$Q$600,0)</f>
        <v>Staples</v>
      </c>
      <c r="N528" s="16">
        <f>_xlfn.XLOOKUP(B528,DataSet!$N$2:$N$600,DataSet!$AA$2:$AA$600,0)</f>
        <v>22.2</v>
      </c>
      <c r="O528" s="10">
        <f>_xlfn.XLOOKUP(B528,DataSet!$N$2:$N$600,DataSet!$S$2:$S$600,0)</f>
        <v>5</v>
      </c>
      <c r="P528" s="15">
        <f>_xlfn.XLOOKUP(B528,DataSet!$N$2:$N$600,DataSet!$T$2:$T$600,0)</f>
        <v>0</v>
      </c>
      <c r="Q528" s="14">
        <f>_xlfn.XLOOKUP(B528,DataSet!$N$2:$N$600,DataSet!$U$2:$U$600,0)</f>
        <v>10.433999999999999</v>
      </c>
      <c r="R528" s="16">
        <f>_xlfn.XLOOKUP(B528,DataSet!$N$2:$N$600,DataSet!$AB$2:$AB$600,0)</f>
        <v>111</v>
      </c>
      <c r="S528" s="9">
        <f>_xlfn.XLOOKUP(B528,DataSet!$N$2:$N$600,DataSet!$AC$2:$AC$600,0)</f>
        <v>111</v>
      </c>
    </row>
    <row r="529" spans="1:19" s="12" customFormat="1" x14ac:dyDescent="0.3">
      <c r="A529" s="27">
        <v>527</v>
      </c>
      <c r="B529" s="10" t="s">
        <v>1796</v>
      </c>
      <c r="C529" s="10" t="str">
        <f>_xlfn.XLOOKUP(B529,DataSet!$N$2:$N$600,DataSet!$AF$2:$AF$600,0)</f>
        <v>113558</v>
      </c>
      <c r="D529" s="10" t="str">
        <f>_xlfn.XLOOKUP(B529,DataSet!$N$2:$N$600,DataSet!$G$2:$G$600,0)</f>
        <v>Patricia Hirasaki</v>
      </c>
      <c r="E529" s="10" t="str">
        <f>_xlfn.XLOOKUP(B529,DataSet!$N$2:$N$600,DataSet!$F$2:$F$600,0)</f>
        <v>PH-18790</v>
      </c>
      <c r="F529" s="10" t="str">
        <f>_xlfn.XLOOKUP(B529,DataSet!$N$2:$N$600,DataSet!$W$2:$W$600,0)</f>
        <v>Home Office</v>
      </c>
      <c r="G529" s="13">
        <f>_xlfn.XLOOKUP(B529,DataSet!$N$2:$N$600,DataSet!$C$2:$C$600,0)</f>
        <v>43029</v>
      </c>
      <c r="H529" s="10" t="str">
        <f>_xlfn.XLOOKUP(B529,DataSet!$N$2:$N$600,DataSet!$I$2:$I$600,0)</f>
        <v>United States</v>
      </c>
      <c r="I529" s="10" t="str">
        <f>_xlfn.XLOOKUP(B529,DataSet!$N$2:$N$600,DataSet!$X$2:$X$600,0)</f>
        <v>Lakeland - Florida</v>
      </c>
      <c r="J529" s="10" t="str">
        <f>_xlfn.XLOOKUP(B529,DataSet!$N$2:$N$600,DataSet!$M$2:$M$600,0)</f>
        <v>South</v>
      </c>
      <c r="K529" s="10" t="str">
        <f>_xlfn.XLOOKUP(B529,DataSet!$N$2:$N$600,DataSet!$O$2:$O$600,0)</f>
        <v>Furniture</v>
      </c>
      <c r="L529" s="10" t="str">
        <f>_xlfn.XLOOKUP(B529,DataSet!$N$2:$N$600,DataSet!$Y$2:$Y$600,0)</f>
        <v>Chairs</v>
      </c>
      <c r="M529" s="10" t="str">
        <f>_xlfn.XLOOKUP(B529,DataSet!$N$2:$N$600,DataSet!$Q$2:$Q$600,0)</f>
        <v>Global Commerce Series High-Back Swivel/Tilt Chairs</v>
      </c>
      <c r="N529" s="16">
        <f>_xlfn.XLOOKUP(B529,DataSet!$N$2:$N$600,DataSet!$AA$2:$AA$600,0)</f>
        <v>683.952</v>
      </c>
      <c r="O529" s="10">
        <f>_xlfn.XLOOKUP(B529,DataSet!$N$2:$N$600,DataSet!$S$2:$S$600,0)</f>
        <v>3</v>
      </c>
      <c r="P529" s="15">
        <f>_xlfn.XLOOKUP(B529,DataSet!$N$2:$N$600,DataSet!$T$2:$T$600,0)</f>
        <v>0.2</v>
      </c>
      <c r="Q529" s="14">
        <f>_xlfn.XLOOKUP(B529,DataSet!$N$2:$N$600,DataSet!$U$2:$U$600,0)</f>
        <v>42.747</v>
      </c>
      <c r="R529" s="16">
        <f>_xlfn.XLOOKUP(B529,DataSet!$N$2:$N$600,DataSet!$AB$2:$AB$600,0)</f>
        <v>2051.8559999999998</v>
      </c>
      <c r="S529" s="9">
        <f>_xlfn.XLOOKUP(B529,DataSet!$N$2:$N$600,DataSet!$AC$2:$AC$600,0)</f>
        <v>1641.4848</v>
      </c>
    </row>
    <row r="530" spans="1:19" s="12" customFormat="1" x14ac:dyDescent="0.3">
      <c r="A530" s="27">
        <v>528</v>
      </c>
      <c r="B530" s="10" t="s">
        <v>1139</v>
      </c>
      <c r="C530" s="10" t="str">
        <f>_xlfn.XLOOKUP(B530,DataSet!$N$2:$N$600,DataSet!$AF$2:$AF$600,0)</f>
        <v>142902</v>
      </c>
      <c r="D530" s="10" t="str">
        <f>_xlfn.XLOOKUP(B530,DataSet!$N$2:$N$600,DataSet!$G$2:$G$600,0)</f>
        <v>Ben Peterman</v>
      </c>
      <c r="E530" s="10" t="str">
        <f>_xlfn.XLOOKUP(B530,DataSet!$N$2:$N$600,DataSet!$F$2:$F$600,0)</f>
        <v>BP-11185</v>
      </c>
      <c r="F530" s="10" t="str">
        <f>_xlfn.XLOOKUP(B530,DataSet!$N$2:$N$600,DataSet!$W$2:$W$600,0)</f>
        <v>Corporate</v>
      </c>
      <c r="G530" s="13">
        <f>_xlfn.XLOOKUP(B530,DataSet!$N$2:$N$600,DataSet!$C$2:$C$600,0)</f>
        <v>42625</v>
      </c>
      <c r="H530" s="10" t="str">
        <f>_xlfn.XLOOKUP(B530,DataSet!$N$2:$N$600,DataSet!$I$2:$I$600,0)</f>
        <v>United States</v>
      </c>
      <c r="I530" s="10" t="str">
        <f>_xlfn.XLOOKUP(B530,DataSet!$N$2:$N$600,DataSet!$X$2:$X$600,0)</f>
        <v>Arvada - Colorado</v>
      </c>
      <c r="J530" s="10" t="str">
        <f>_xlfn.XLOOKUP(B530,DataSet!$N$2:$N$600,DataSet!$M$2:$M$600,0)</f>
        <v>West</v>
      </c>
      <c r="K530" s="10" t="str">
        <f>_xlfn.XLOOKUP(B530,DataSet!$N$2:$N$600,DataSet!$O$2:$O$600,0)</f>
        <v>Furniture</v>
      </c>
      <c r="L530" s="10" t="str">
        <f>_xlfn.XLOOKUP(B530,DataSet!$N$2:$N$600,DataSet!$Y$2:$Y$600,0)</f>
        <v>Furnishings</v>
      </c>
      <c r="M530" s="10" t="str">
        <f>_xlfn.XLOOKUP(B530,DataSet!$N$2:$N$600,DataSet!$Q$2:$Q$600,0)</f>
        <v>Eldon Expressions Desk Accessory, Wood Photo Frame, Mahogany</v>
      </c>
      <c r="N530" s="16">
        <f>_xlfn.XLOOKUP(B530,DataSet!$N$2:$N$600,DataSet!$AA$2:$AA$600,0)</f>
        <v>15.231999999999999</v>
      </c>
      <c r="O530" s="10">
        <f>_xlfn.XLOOKUP(B530,DataSet!$N$2:$N$600,DataSet!$S$2:$S$600,0)</f>
        <v>1</v>
      </c>
      <c r="P530" s="15">
        <f>_xlfn.XLOOKUP(B530,DataSet!$N$2:$N$600,DataSet!$T$2:$T$600,0)</f>
        <v>0.2</v>
      </c>
      <c r="Q530" s="14">
        <f>_xlfn.XLOOKUP(B530,DataSet!$N$2:$N$600,DataSet!$U$2:$U$600,0)</f>
        <v>1.7136</v>
      </c>
      <c r="R530" s="16">
        <f>_xlfn.XLOOKUP(B530,DataSet!$N$2:$N$600,DataSet!$AB$2:$AB$600,0)</f>
        <v>15.231999999999999</v>
      </c>
      <c r="S530" s="9">
        <f>_xlfn.XLOOKUP(B530,DataSet!$N$2:$N$600,DataSet!$AC$2:$AC$600,0)</f>
        <v>12.185600000000001</v>
      </c>
    </row>
    <row r="531" spans="1:19" s="12" customFormat="1" x14ac:dyDescent="0.3">
      <c r="A531" s="27">
        <v>529</v>
      </c>
      <c r="B531" s="10" t="s">
        <v>1801</v>
      </c>
      <c r="C531" s="10" t="str">
        <f>_xlfn.XLOOKUP(B531,DataSet!$N$2:$N$600,DataSet!$AF$2:$AF$600,0)</f>
        <v>138303</v>
      </c>
      <c r="D531" s="10" t="str">
        <f>_xlfn.XLOOKUP(B531,DataSet!$N$2:$N$600,DataSet!$G$2:$G$600,0)</f>
        <v>Mike Gockenbach</v>
      </c>
      <c r="E531" s="10" t="str">
        <f>_xlfn.XLOOKUP(B531,DataSet!$N$2:$N$600,DataSet!$F$2:$F$600,0)</f>
        <v>MG-18145</v>
      </c>
      <c r="F531" s="10" t="str">
        <f>_xlfn.XLOOKUP(B531,DataSet!$N$2:$N$600,DataSet!$W$2:$W$600,0)</f>
        <v>Consumer</v>
      </c>
      <c r="G531" s="13">
        <f>_xlfn.XLOOKUP(B531,DataSet!$N$2:$N$600,DataSet!$C$2:$C$600,0)</f>
        <v>42250</v>
      </c>
      <c r="H531" s="10" t="str">
        <f>_xlfn.XLOOKUP(B531,DataSet!$N$2:$N$600,DataSet!$I$2:$I$600,0)</f>
        <v>United States</v>
      </c>
      <c r="I531" s="10" t="str">
        <f>_xlfn.XLOOKUP(B531,DataSet!$N$2:$N$600,DataSet!$X$2:$X$600,0)</f>
        <v>Philadelphia - Pennsylvania</v>
      </c>
      <c r="J531" s="10" t="str">
        <f>_xlfn.XLOOKUP(B531,DataSet!$N$2:$N$600,DataSet!$M$2:$M$600,0)</f>
        <v>East</v>
      </c>
      <c r="K531" s="10" t="str">
        <f>_xlfn.XLOOKUP(B531,DataSet!$N$2:$N$600,DataSet!$O$2:$O$600,0)</f>
        <v>Office Supplies</v>
      </c>
      <c r="L531" s="10" t="str">
        <f>_xlfn.XLOOKUP(B531,DataSet!$N$2:$N$600,DataSet!$Y$2:$Y$600,0)</f>
        <v>Storage</v>
      </c>
      <c r="M531" s="10" t="str">
        <f>_xlfn.XLOOKUP(B531,DataSet!$N$2:$N$600,DataSet!$Q$2:$Q$600,0)</f>
        <v>Eldon Gobal File Keepers</v>
      </c>
      <c r="N531" s="16">
        <f>_xlfn.XLOOKUP(B531,DataSet!$N$2:$N$600,DataSet!$AA$2:$AA$600,0)</f>
        <v>36.335999999999999</v>
      </c>
      <c r="O531" s="10">
        <f>_xlfn.XLOOKUP(B531,DataSet!$N$2:$N$600,DataSet!$S$2:$S$600,0)</f>
        <v>3</v>
      </c>
      <c r="P531" s="15">
        <f>_xlfn.XLOOKUP(B531,DataSet!$N$2:$N$600,DataSet!$T$2:$T$600,0)</f>
        <v>0.2</v>
      </c>
      <c r="Q531" s="14">
        <f>_xlfn.XLOOKUP(B531,DataSet!$N$2:$N$600,DataSet!$U$2:$U$600,0)</f>
        <v>-7.2671999999999999</v>
      </c>
      <c r="R531" s="16">
        <f>_xlfn.XLOOKUP(B531,DataSet!$N$2:$N$600,DataSet!$AB$2:$AB$600,0)</f>
        <v>109.008</v>
      </c>
      <c r="S531" s="9">
        <f>_xlfn.XLOOKUP(B531,DataSet!$N$2:$N$600,DataSet!$AC$2:$AC$600,0)</f>
        <v>87.206400000000002</v>
      </c>
    </row>
    <row r="532" spans="1:19" s="12" customFormat="1" x14ac:dyDescent="0.3">
      <c r="A532" s="27">
        <v>530</v>
      </c>
      <c r="B532" s="10" t="s">
        <v>1803</v>
      </c>
      <c r="C532" s="10" t="str">
        <f>_xlfn.XLOOKUP(B532,DataSet!$N$2:$N$600,DataSet!$AF$2:$AF$600,0)</f>
        <v>138303</v>
      </c>
      <c r="D532" s="10" t="str">
        <f>_xlfn.XLOOKUP(B532,DataSet!$N$2:$N$600,DataSet!$G$2:$G$600,0)</f>
        <v>Mike Gockenbach</v>
      </c>
      <c r="E532" s="10" t="str">
        <f>_xlfn.XLOOKUP(B532,DataSet!$N$2:$N$600,DataSet!$F$2:$F$600,0)</f>
        <v>MG-18145</v>
      </c>
      <c r="F532" s="10" t="str">
        <f>_xlfn.XLOOKUP(B532,DataSet!$N$2:$N$600,DataSet!$W$2:$W$600,0)</f>
        <v>Consumer</v>
      </c>
      <c r="G532" s="13">
        <f>_xlfn.XLOOKUP(B532,DataSet!$N$2:$N$600,DataSet!$C$2:$C$600,0)</f>
        <v>42250</v>
      </c>
      <c r="H532" s="10" t="str">
        <f>_xlfn.XLOOKUP(B532,DataSet!$N$2:$N$600,DataSet!$I$2:$I$600,0)</f>
        <v>United States</v>
      </c>
      <c r="I532" s="10" t="str">
        <f>_xlfn.XLOOKUP(B532,DataSet!$N$2:$N$600,DataSet!$X$2:$X$600,0)</f>
        <v>Philadelphia - Pennsylvania</v>
      </c>
      <c r="J532" s="10" t="str">
        <f>_xlfn.XLOOKUP(B532,DataSet!$N$2:$N$600,DataSet!$M$2:$M$600,0)</f>
        <v>East</v>
      </c>
      <c r="K532" s="10" t="str">
        <f>_xlfn.XLOOKUP(B532,DataSet!$N$2:$N$600,DataSet!$O$2:$O$600,0)</f>
        <v>Office Supplies</v>
      </c>
      <c r="L532" s="10" t="str">
        <f>_xlfn.XLOOKUP(B532,DataSet!$N$2:$N$600,DataSet!$Y$2:$Y$600,0)</f>
        <v>Supplies</v>
      </c>
      <c r="M532" s="10" t="str">
        <f>_xlfn.XLOOKUP(B532,DataSet!$N$2:$N$600,DataSet!$Q$2:$Q$600,0)</f>
        <v>Martin Yale Chadless Opener Electric Letter Opener</v>
      </c>
      <c r="N532" s="16">
        <f>_xlfn.XLOOKUP(B532,DataSet!$N$2:$N$600,DataSet!$AA$2:$AA$600,0)</f>
        <v>666.24800000000005</v>
      </c>
      <c r="O532" s="10">
        <f>_xlfn.XLOOKUP(B532,DataSet!$N$2:$N$600,DataSet!$S$2:$S$600,0)</f>
        <v>1</v>
      </c>
      <c r="P532" s="15">
        <f>_xlfn.XLOOKUP(B532,DataSet!$N$2:$N$600,DataSet!$T$2:$T$600,0)</f>
        <v>0.2</v>
      </c>
      <c r="Q532" s="14">
        <f>_xlfn.XLOOKUP(B532,DataSet!$N$2:$N$600,DataSet!$U$2:$U$600,0)</f>
        <v>-149.9058</v>
      </c>
      <c r="R532" s="16">
        <f>_xlfn.XLOOKUP(B532,DataSet!$N$2:$N$600,DataSet!$AB$2:$AB$600,0)</f>
        <v>666.24800000000005</v>
      </c>
      <c r="S532" s="9">
        <f>_xlfn.XLOOKUP(B532,DataSet!$N$2:$N$600,DataSet!$AC$2:$AC$600,0)</f>
        <v>532.99840000000006</v>
      </c>
    </row>
    <row r="533" spans="1:19" s="12" customFormat="1" x14ac:dyDescent="0.3">
      <c r="A533" s="27">
        <v>531</v>
      </c>
      <c r="B533" s="10" t="s">
        <v>1805</v>
      </c>
      <c r="C533" s="10" t="str">
        <f>_xlfn.XLOOKUP(B533,DataSet!$N$2:$N$600,DataSet!$AF$2:$AF$600,0)</f>
        <v>138303</v>
      </c>
      <c r="D533" s="10" t="str">
        <f>_xlfn.XLOOKUP(B533,DataSet!$N$2:$N$600,DataSet!$G$2:$G$600,0)</f>
        <v>Mike Gockenbach</v>
      </c>
      <c r="E533" s="10" t="str">
        <f>_xlfn.XLOOKUP(B533,DataSet!$N$2:$N$600,DataSet!$F$2:$F$600,0)</f>
        <v>MG-18145</v>
      </c>
      <c r="F533" s="10" t="str">
        <f>_xlfn.XLOOKUP(B533,DataSet!$N$2:$N$600,DataSet!$W$2:$W$600,0)</f>
        <v>Consumer</v>
      </c>
      <c r="G533" s="13">
        <f>_xlfn.XLOOKUP(B533,DataSet!$N$2:$N$600,DataSet!$C$2:$C$600,0)</f>
        <v>42250</v>
      </c>
      <c r="H533" s="10" t="str">
        <f>_xlfn.XLOOKUP(B533,DataSet!$N$2:$N$600,DataSet!$I$2:$I$600,0)</f>
        <v>United States</v>
      </c>
      <c r="I533" s="10" t="str">
        <f>_xlfn.XLOOKUP(B533,DataSet!$N$2:$N$600,DataSet!$X$2:$X$600,0)</f>
        <v>Philadelphia - Pennsylvania</v>
      </c>
      <c r="J533" s="10" t="str">
        <f>_xlfn.XLOOKUP(B533,DataSet!$N$2:$N$600,DataSet!$M$2:$M$600,0)</f>
        <v>East</v>
      </c>
      <c r="K533" s="10" t="str">
        <f>_xlfn.XLOOKUP(B533,DataSet!$N$2:$N$600,DataSet!$O$2:$O$600,0)</f>
        <v>Office Supplies</v>
      </c>
      <c r="L533" s="10" t="str">
        <f>_xlfn.XLOOKUP(B533,DataSet!$N$2:$N$600,DataSet!$Y$2:$Y$600,0)</f>
        <v>Envelopes</v>
      </c>
      <c r="M533" s="10" t="str">
        <f>_xlfn.XLOOKUP(B533,DataSet!$N$2:$N$600,DataSet!$Q$2:$Q$600,0)</f>
        <v>White Business Envelopes with Contemporary Seam, Recycled White Business Envelopes</v>
      </c>
      <c r="N533" s="16">
        <f>_xlfn.XLOOKUP(B533,DataSet!$N$2:$N$600,DataSet!$AA$2:$AA$600,0)</f>
        <v>52.512</v>
      </c>
      <c r="O533" s="10">
        <f>_xlfn.XLOOKUP(B533,DataSet!$N$2:$N$600,DataSet!$S$2:$S$600,0)</f>
        <v>6</v>
      </c>
      <c r="P533" s="15">
        <f>_xlfn.XLOOKUP(B533,DataSet!$N$2:$N$600,DataSet!$T$2:$T$600,0)</f>
        <v>0.2</v>
      </c>
      <c r="Q533" s="14">
        <f>_xlfn.XLOOKUP(B533,DataSet!$N$2:$N$600,DataSet!$U$2:$U$600,0)</f>
        <v>19.692</v>
      </c>
      <c r="R533" s="16">
        <f>_xlfn.XLOOKUP(B533,DataSet!$N$2:$N$600,DataSet!$AB$2:$AB$600,0)</f>
        <v>315.072</v>
      </c>
      <c r="S533" s="9">
        <f>_xlfn.XLOOKUP(B533,DataSet!$N$2:$N$600,DataSet!$AC$2:$AC$600,0)</f>
        <v>252.05760000000001</v>
      </c>
    </row>
    <row r="534" spans="1:19" s="12" customFormat="1" x14ac:dyDescent="0.3">
      <c r="A534" s="27">
        <v>532</v>
      </c>
      <c r="B534" s="10" t="s">
        <v>1810</v>
      </c>
      <c r="C534" s="10" t="str">
        <f>_xlfn.XLOOKUP(B534,DataSet!$N$2:$N$600,DataSet!$AF$2:$AF$600,0)</f>
        <v>102848</v>
      </c>
      <c r="D534" s="10" t="str">
        <f>_xlfn.XLOOKUP(B534,DataSet!$N$2:$N$600,DataSet!$G$2:$G$600,0)</f>
        <v>Karen Bern</v>
      </c>
      <c r="E534" s="10" t="str">
        <f>_xlfn.XLOOKUP(B534,DataSet!$N$2:$N$600,DataSet!$F$2:$F$600,0)</f>
        <v>KB-16240</v>
      </c>
      <c r="F534" s="10" t="str">
        <f>_xlfn.XLOOKUP(B534,DataSet!$N$2:$N$600,DataSet!$W$2:$W$600,0)</f>
        <v>Corporate</v>
      </c>
      <c r="G534" s="13">
        <f>_xlfn.XLOOKUP(B534,DataSet!$N$2:$N$600,DataSet!$C$2:$C$600,0)</f>
        <v>42315</v>
      </c>
      <c r="H534" s="10" t="str">
        <f>_xlfn.XLOOKUP(B534,DataSet!$N$2:$N$600,DataSet!$I$2:$I$600,0)</f>
        <v>United States</v>
      </c>
      <c r="I534" s="10" t="str">
        <f>_xlfn.XLOOKUP(B534,DataSet!$N$2:$N$600,DataSet!$X$2:$X$600,0)</f>
        <v>Los Angeles - California</v>
      </c>
      <c r="J534" s="10" t="str">
        <f>_xlfn.XLOOKUP(B534,DataSet!$N$2:$N$600,DataSet!$M$2:$M$600,0)</f>
        <v>West</v>
      </c>
      <c r="K534" s="10" t="str">
        <f>_xlfn.XLOOKUP(B534,DataSet!$N$2:$N$600,DataSet!$O$2:$O$600,0)</f>
        <v>Furniture</v>
      </c>
      <c r="L534" s="10" t="str">
        <f>_xlfn.XLOOKUP(B534,DataSet!$N$2:$N$600,DataSet!$Y$2:$Y$600,0)</f>
        <v>Chairs</v>
      </c>
      <c r="M534" s="10" t="str">
        <f>_xlfn.XLOOKUP(B534,DataSet!$N$2:$N$600,DataSet!$Q$2:$Q$600,0)</f>
        <v>Safco Contoured Stacking Chairs</v>
      </c>
      <c r="N534" s="16">
        <f>_xlfn.XLOOKUP(B534,DataSet!$N$2:$N$600,DataSet!$AA$2:$AA$600,0)</f>
        <v>190.72</v>
      </c>
      <c r="O534" s="10">
        <f>_xlfn.XLOOKUP(B534,DataSet!$N$2:$N$600,DataSet!$S$2:$S$600,0)</f>
        <v>1</v>
      </c>
      <c r="P534" s="15">
        <f>_xlfn.XLOOKUP(B534,DataSet!$N$2:$N$600,DataSet!$T$2:$T$600,0)</f>
        <v>0.2</v>
      </c>
      <c r="Q534" s="14">
        <f>_xlfn.XLOOKUP(B534,DataSet!$N$2:$N$600,DataSet!$U$2:$U$600,0)</f>
        <v>11.92</v>
      </c>
      <c r="R534" s="16">
        <f>_xlfn.XLOOKUP(B534,DataSet!$N$2:$N$600,DataSet!$AB$2:$AB$600,0)</f>
        <v>190.72</v>
      </c>
      <c r="S534" s="9">
        <f>_xlfn.XLOOKUP(B534,DataSet!$N$2:$N$600,DataSet!$AC$2:$AC$600,0)</f>
        <v>152.57599999999999</v>
      </c>
    </row>
    <row r="535" spans="1:19" s="12" customFormat="1" x14ac:dyDescent="0.3">
      <c r="A535" s="27">
        <v>533</v>
      </c>
      <c r="B535" s="10" t="s">
        <v>1815</v>
      </c>
      <c r="C535" s="10" t="str">
        <f>_xlfn.XLOOKUP(B535,DataSet!$N$2:$N$600,DataSet!$AF$2:$AF$600,0)</f>
        <v>129441</v>
      </c>
      <c r="D535" s="10" t="str">
        <f>_xlfn.XLOOKUP(B535,DataSet!$N$2:$N$600,DataSet!$G$2:$G$600,0)</f>
        <v>Jasper Cacioppo</v>
      </c>
      <c r="E535" s="10" t="str">
        <f>_xlfn.XLOOKUP(B535,DataSet!$N$2:$N$600,DataSet!$F$2:$F$600,0)</f>
        <v>JC-15340</v>
      </c>
      <c r="F535" s="10" t="str">
        <f>_xlfn.XLOOKUP(B535,DataSet!$N$2:$N$600,DataSet!$W$2:$W$600,0)</f>
        <v>Consumer</v>
      </c>
      <c r="G535" s="13">
        <f>_xlfn.XLOOKUP(B535,DataSet!$N$2:$N$600,DataSet!$C$2:$C$600,0)</f>
        <v>42985</v>
      </c>
      <c r="H535" s="10" t="str">
        <f>_xlfn.XLOOKUP(B535,DataSet!$N$2:$N$600,DataSet!$I$2:$I$600,0)</f>
        <v>United States</v>
      </c>
      <c r="I535" s="10" t="str">
        <f>_xlfn.XLOOKUP(B535,DataSet!$N$2:$N$600,DataSet!$X$2:$X$600,0)</f>
        <v>Los Angeles - California</v>
      </c>
      <c r="J535" s="10" t="str">
        <f>_xlfn.XLOOKUP(B535,DataSet!$N$2:$N$600,DataSet!$M$2:$M$600,0)</f>
        <v>West</v>
      </c>
      <c r="K535" s="10" t="str">
        <f>_xlfn.XLOOKUP(B535,DataSet!$N$2:$N$600,DataSet!$O$2:$O$600,0)</f>
        <v>Furniture</v>
      </c>
      <c r="L535" s="10" t="str">
        <f>_xlfn.XLOOKUP(B535,DataSet!$N$2:$N$600,DataSet!$Y$2:$Y$600,0)</f>
        <v>Furnishings</v>
      </c>
      <c r="M535" s="10" t="str">
        <f>_xlfn.XLOOKUP(B535,DataSet!$N$2:$N$600,DataSet!$Q$2:$Q$600,0)</f>
        <v>Tenex Chairmats For Use With Carpeted Floors</v>
      </c>
      <c r="N535" s="16">
        <f>_xlfn.XLOOKUP(B535,DataSet!$N$2:$N$600,DataSet!$AA$2:$AA$600,0)</f>
        <v>47.94</v>
      </c>
      <c r="O535" s="10">
        <f>_xlfn.XLOOKUP(B535,DataSet!$N$2:$N$600,DataSet!$S$2:$S$600,0)</f>
        <v>3</v>
      </c>
      <c r="P535" s="15">
        <f>_xlfn.XLOOKUP(B535,DataSet!$N$2:$N$600,DataSet!$T$2:$T$600,0)</f>
        <v>0</v>
      </c>
      <c r="Q535" s="14">
        <f>_xlfn.XLOOKUP(B535,DataSet!$N$2:$N$600,DataSet!$U$2:$U$600,0)</f>
        <v>2.3969999999999998</v>
      </c>
      <c r="R535" s="16">
        <f>_xlfn.XLOOKUP(B535,DataSet!$N$2:$N$600,DataSet!$AB$2:$AB$600,0)</f>
        <v>143.82</v>
      </c>
      <c r="S535" s="9">
        <f>_xlfn.XLOOKUP(B535,DataSet!$N$2:$N$600,DataSet!$AC$2:$AC$600,0)</f>
        <v>143.82</v>
      </c>
    </row>
    <row r="536" spans="1:19" s="12" customFormat="1" x14ac:dyDescent="0.3">
      <c r="A536" s="27">
        <v>534</v>
      </c>
      <c r="B536" s="10" t="s">
        <v>1821</v>
      </c>
      <c r="C536" s="10" t="str">
        <f>_xlfn.XLOOKUP(B536,DataSet!$N$2:$N$600,DataSet!$AF$2:$AF$600,0)</f>
        <v>168753</v>
      </c>
      <c r="D536" s="10" t="str">
        <f>_xlfn.XLOOKUP(B536,DataSet!$N$2:$N$600,DataSet!$G$2:$G$600,0)</f>
        <v>Rob Lucas</v>
      </c>
      <c r="E536" s="10" t="str">
        <f>_xlfn.XLOOKUP(B536,DataSet!$N$2:$N$600,DataSet!$F$2:$F$600,0)</f>
        <v>RL-19615</v>
      </c>
      <c r="F536" s="10" t="str">
        <f>_xlfn.XLOOKUP(B536,DataSet!$N$2:$N$600,DataSet!$W$2:$W$600,0)</f>
        <v>Consumer</v>
      </c>
      <c r="G536" s="13">
        <f>_xlfn.XLOOKUP(B536,DataSet!$N$2:$N$600,DataSet!$C$2:$C$600,0)</f>
        <v>42519</v>
      </c>
      <c r="H536" s="10" t="str">
        <f>_xlfn.XLOOKUP(B536,DataSet!$N$2:$N$600,DataSet!$I$2:$I$600,0)</f>
        <v>United States</v>
      </c>
      <c r="I536" s="10" t="str">
        <f>_xlfn.XLOOKUP(B536,DataSet!$N$2:$N$600,DataSet!$X$2:$X$600,0)</f>
        <v>Montgomery - Alabama</v>
      </c>
      <c r="J536" s="10" t="str">
        <f>_xlfn.XLOOKUP(B536,DataSet!$N$2:$N$600,DataSet!$M$2:$M$600,0)</f>
        <v>South</v>
      </c>
      <c r="K536" s="10" t="str">
        <f>_xlfn.XLOOKUP(B536,DataSet!$N$2:$N$600,DataSet!$O$2:$O$600,0)</f>
        <v>Technology</v>
      </c>
      <c r="L536" s="10" t="str">
        <f>_xlfn.XLOOKUP(B536,DataSet!$N$2:$N$600,DataSet!$Y$2:$Y$600,0)</f>
        <v>Phones</v>
      </c>
      <c r="M536" s="10" t="str">
        <f>_xlfn.XLOOKUP(B536,DataSet!$N$2:$N$600,DataSet!$Q$2:$Q$600,0)</f>
        <v>Panasonic KX-TG9471B</v>
      </c>
      <c r="N536" s="16">
        <f>_xlfn.XLOOKUP(B536,DataSet!$N$2:$N$600,DataSet!$AA$2:$AA$600,0)</f>
        <v>979.95</v>
      </c>
      <c r="O536" s="10">
        <f>_xlfn.XLOOKUP(B536,DataSet!$N$2:$N$600,DataSet!$S$2:$S$600,0)</f>
        <v>5</v>
      </c>
      <c r="P536" s="15">
        <f>_xlfn.XLOOKUP(B536,DataSet!$N$2:$N$600,DataSet!$T$2:$T$600,0)</f>
        <v>0</v>
      </c>
      <c r="Q536" s="14">
        <f>_xlfn.XLOOKUP(B536,DataSet!$N$2:$N$600,DataSet!$U$2:$U$600,0)</f>
        <v>274.38600000000002</v>
      </c>
      <c r="R536" s="16">
        <f>_xlfn.XLOOKUP(B536,DataSet!$N$2:$N$600,DataSet!$AB$2:$AB$600,0)</f>
        <v>4899.75</v>
      </c>
      <c r="S536" s="9">
        <f>_xlfn.XLOOKUP(B536,DataSet!$N$2:$N$600,DataSet!$AC$2:$AC$600,0)</f>
        <v>4899.75</v>
      </c>
    </row>
    <row r="537" spans="1:19" s="12" customFormat="1" x14ac:dyDescent="0.3">
      <c r="A537" s="27">
        <v>535</v>
      </c>
      <c r="B537" s="10" t="s">
        <v>1023</v>
      </c>
      <c r="C537" s="10" t="str">
        <f>_xlfn.XLOOKUP(B537,DataSet!$N$2:$N$600,DataSet!$AF$2:$AF$600,0)</f>
        <v>155334</v>
      </c>
      <c r="D537" s="10" t="str">
        <f>_xlfn.XLOOKUP(B537,DataSet!$N$2:$N$600,DataSet!$G$2:$G$600,0)</f>
        <v>Helen Andreada</v>
      </c>
      <c r="E537" s="10" t="str">
        <f>_xlfn.XLOOKUP(B537,DataSet!$N$2:$N$600,DataSet!$F$2:$F$600,0)</f>
        <v>HA-14920</v>
      </c>
      <c r="F537" s="10" t="str">
        <f>_xlfn.XLOOKUP(B537,DataSet!$N$2:$N$600,DataSet!$W$2:$W$600,0)</f>
        <v>Consumer</v>
      </c>
      <c r="G537" s="13">
        <f>_xlfn.XLOOKUP(B537,DataSet!$N$2:$N$600,DataSet!$C$2:$C$600,0)</f>
        <v>42215</v>
      </c>
      <c r="H537" s="10" t="str">
        <f>_xlfn.XLOOKUP(B537,DataSet!$N$2:$N$600,DataSet!$I$2:$I$600,0)</f>
        <v>United States</v>
      </c>
      <c r="I537" s="10" t="str">
        <f>_xlfn.XLOOKUP(B537,DataSet!$N$2:$N$600,DataSet!$X$2:$X$600,0)</f>
        <v>San Francisco - California</v>
      </c>
      <c r="J537" s="10" t="str">
        <f>_xlfn.XLOOKUP(B537,DataSet!$N$2:$N$600,DataSet!$M$2:$M$600,0)</f>
        <v>West</v>
      </c>
      <c r="K537" s="10" t="str">
        <f>_xlfn.XLOOKUP(B537,DataSet!$N$2:$N$600,DataSet!$O$2:$O$600,0)</f>
        <v>Office Supplies</v>
      </c>
      <c r="L537" s="10" t="str">
        <f>_xlfn.XLOOKUP(B537,DataSet!$N$2:$N$600,DataSet!$Y$2:$Y$600,0)</f>
        <v>Binders</v>
      </c>
      <c r="M537" s="10" t="str">
        <f>_xlfn.XLOOKUP(B537,DataSet!$N$2:$N$600,DataSet!$Q$2:$Q$600,0)</f>
        <v>Presstex Flexible Ring Binders</v>
      </c>
      <c r="N537" s="16">
        <f>_xlfn.XLOOKUP(B537,DataSet!$N$2:$N$600,DataSet!$AA$2:$AA$600,0)</f>
        <v>10.92</v>
      </c>
      <c r="O537" s="10">
        <f>_xlfn.XLOOKUP(B537,DataSet!$N$2:$N$600,DataSet!$S$2:$S$600,0)</f>
        <v>3</v>
      </c>
      <c r="P537" s="15">
        <f>_xlfn.XLOOKUP(B537,DataSet!$N$2:$N$600,DataSet!$T$2:$T$600,0)</f>
        <v>0.2</v>
      </c>
      <c r="Q537" s="14">
        <f>_xlfn.XLOOKUP(B537,DataSet!$N$2:$N$600,DataSet!$U$2:$U$600,0)</f>
        <v>4.0949999999999998</v>
      </c>
      <c r="R537" s="16">
        <f>_xlfn.XLOOKUP(B537,DataSet!$N$2:$N$600,DataSet!$AB$2:$AB$600,0)</f>
        <v>32.76</v>
      </c>
      <c r="S537" s="9">
        <f>_xlfn.XLOOKUP(B537,DataSet!$N$2:$N$600,DataSet!$AC$2:$AC$600,0)</f>
        <v>26.207999999999998</v>
      </c>
    </row>
    <row r="538" spans="1:19" s="12" customFormat="1" x14ac:dyDescent="0.3">
      <c r="A538" s="27">
        <v>536</v>
      </c>
      <c r="B538" s="10" t="s">
        <v>1827</v>
      </c>
      <c r="C538" s="10" t="str">
        <f>_xlfn.XLOOKUP(B538,DataSet!$N$2:$N$600,DataSet!$AF$2:$AF$600,0)</f>
        <v>126613</v>
      </c>
      <c r="D538" s="10" t="str">
        <f>_xlfn.XLOOKUP(B538,DataSet!$N$2:$N$600,DataSet!$G$2:$G$600,0)</f>
        <v>Allen Armold</v>
      </c>
      <c r="E538" s="10" t="str">
        <f>_xlfn.XLOOKUP(B538,DataSet!$N$2:$N$600,DataSet!$F$2:$F$600,0)</f>
        <v>AA-10375</v>
      </c>
      <c r="F538" s="10" t="str">
        <f>_xlfn.XLOOKUP(B538,DataSet!$N$2:$N$600,DataSet!$W$2:$W$600,0)</f>
        <v>Consumer</v>
      </c>
      <c r="G538" s="13">
        <f>_xlfn.XLOOKUP(B538,DataSet!$N$2:$N$600,DataSet!$C$2:$C$600,0)</f>
        <v>42561</v>
      </c>
      <c r="H538" s="10" t="str">
        <f>_xlfn.XLOOKUP(B538,DataSet!$N$2:$N$600,DataSet!$I$2:$I$600,0)</f>
        <v>United States</v>
      </c>
      <c r="I538" s="10" t="str">
        <f>_xlfn.XLOOKUP(B538,DataSet!$N$2:$N$600,DataSet!$X$2:$X$600,0)</f>
        <v>Mesa - Arizona</v>
      </c>
      <c r="J538" s="10" t="str">
        <f>_xlfn.XLOOKUP(B538,DataSet!$N$2:$N$600,DataSet!$M$2:$M$600,0)</f>
        <v>West</v>
      </c>
      <c r="K538" s="10" t="str">
        <f>_xlfn.XLOOKUP(B538,DataSet!$N$2:$N$600,DataSet!$O$2:$O$600,0)</f>
        <v>Office Supplies</v>
      </c>
      <c r="L538" s="10" t="str">
        <f>_xlfn.XLOOKUP(B538,DataSet!$N$2:$N$600,DataSet!$Y$2:$Y$600,0)</f>
        <v>Storage</v>
      </c>
      <c r="M538" s="10" t="str">
        <f>_xlfn.XLOOKUP(B538,DataSet!$N$2:$N$600,DataSet!$Q$2:$Q$600,0)</f>
        <v>Sterilite Officeware Hinged File Box</v>
      </c>
      <c r="N538" s="16">
        <f>_xlfn.XLOOKUP(B538,DataSet!$N$2:$N$600,DataSet!$AA$2:$AA$600,0)</f>
        <v>16.768000000000001</v>
      </c>
      <c r="O538" s="10">
        <f>_xlfn.XLOOKUP(B538,DataSet!$N$2:$N$600,DataSet!$S$2:$S$600,0)</f>
        <v>2</v>
      </c>
      <c r="P538" s="15">
        <f>_xlfn.XLOOKUP(B538,DataSet!$N$2:$N$600,DataSet!$T$2:$T$600,0)</f>
        <v>0.2</v>
      </c>
      <c r="Q538" s="14">
        <f>_xlfn.XLOOKUP(B538,DataSet!$N$2:$N$600,DataSet!$U$2:$U$600,0)</f>
        <v>1.4672000000000001</v>
      </c>
      <c r="R538" s="16">
        <f>_xlfn.XLOOKUP(B538,DataSet!$N$2:$N$600,DataSet!$AB$2:$AB$600,0)</f>
        <v>33.536000000000001</v>
      </c>
      <c r="S538" s="9">
        <f>_xlfn.XLOOKUP(B538,DataSet!$N$2:$N$600,DataSet!$AC$2:$AC$600,0)</f>
        <v>26.828800000000001</v>
      </c>
    </row>
    <row r="539" spans="1:19" s="12" customFormat="1" x14ac:dyDescent="0.3">
      <c r="A539" s="27">
        <v>537</v>
      </c>
      <c r="B539" s="10" t="s">
        <v>1832</v>
      </c>
      <c r="C539" s="10" t="str">
        <f>_xlfn.XLOOKUP(B539,DataSet!$N$2:$N$600,DataSet!$AF$2:$AF$600,0)</f>
        <v>122637</v>
      </c>
      <c r="D539" s="10" t="str">
        <f>_xlfn.XLOOKUP(B539,DataSet!$N$2:$N$600,DataSet!$G$2:$G$600,0)</f>
        <v>Emily Phan</v>
      </c>
      <c r="E539" s="10" t="str">
        <f>_xlfn.XLOOKUP(B539,DataSet!$N$2:$N$600,DataSet!$F$2:$F$600,0)</f>
        <v>EP-13915</v>
      </c>
      <c r="F539" s="10" t="str">
        <f>_xlfn.XLOOKUP(B539,DataSet!$N$2:$N$600,DataSet!$W$2:$W$600,0)</f>
        <v>UNKNOWN</v>
      </c>
      <c r="G539" s="13">
        <f>_xlfn.XLOOKUP(B539,DataSet!$N$2:$N$600,DataSet!$C$2:$C$600,0)</f>
        <v>42981</v>
      </c>
      <c r="H539" s="10" t="str">
        <f>_xlfn.XLOOKUP(B539,DataSet!$N$2:$N$600,DataSet!$I$2:$I$600,0)</f>
        <v>United States</v>
      </c>
      <c r="I539" s="10" t="str">
        <f>_xlfn.XLOOKUP(B539,DataSet!$N$2:$N$600,DataSet!$X$2:$X$600,0)</f>
        <v>Chicago - Illinois</v>
      </c>
      <c r="J539" s="10" t="str">
        <f>_xlfn.XLOOKUP(B539,DataSet!$N$2:$N$600,DataSet!$M$2:$M$600,0)</f>
        <v>Central</v>
      </c>
      <c r="K539" s="10" t="str">
        <f>_xlfn.XLOOKUP(B539,DataSet!$N$2:$N$600,DataSet!$O$2:$O$600,0)</f>
        <v>Office Supplies</v>
      </c>
      <c r="L539" s="10" t="str">
        <f>_xlfn.XLOOKUP(B539,DataSet!$N$2:$N$600,DataSet!$Y$2:$Y$600,0)</f>
        <v>Binders</v>
      </c>
      <c r="M539" s="10" t="str">
        <f>_xlfn.XLOOKUP(B539,DataSet!$N$2:$N$600,DataSet!$Q$2:$Q$600,0)</f>
        <v>Premier Elliptical Ring Binder, Black</v>
      </c>
      <c r="N539" s="16">
        <f>_xlfn.XLOOKUP(B539,DataSet!$N$2:$N$600,DataSet!$AA$2:$AA$600,0)</f>
        <v>42.616</v>
      </c>
      <c r="O539" s="10">
        <f>_xlfn.XLOOKUP(B539,DataSet!$N$2:$N$600,DataSet!$S$2:$S$600,0)</f>
        <v>7</v>
      </c>
      <c r="P539" s="15">
        <f>_xlfn.XLOOKUP(B539,DataSet!$N$2:$N$600,DataSet!$T$2:$T$600,0)</f>
        <v>0.8</v>
      </c>
      <c r="Q539" s="14">
        <f>_xlfn.XLOOKUP(B539,DataSet!$N$2:$N$600,DataSet!$U$2:$U$600,0)</f>
        <v>-68.185599999999994</v>
      </c>
      <c r="R539" s="16">
        <f>_xlfn.XLOOKUP(B539,DataSet!$N$2:$N$600,DataSet!$AB$2:$AB$600,0)</f>
        <v>298.31200000000001</v>
      </c>
      <c r="S539" s="9">
        <f>_xlfn.XLOOKUP(B539,DataSet!$N$2:$N$600,DataSet!$AC$2:$AC$600,0)</f>
        <v>59.662399999999991</v>
      </c>
    </row>
    <row r="540" spans="1:19" s="12" customFormat="1" x14ac:dyDescent="0.3">
      <c r="A540" s="27">
        <v>538</v>
      </c>
      <c r="B540" s="10" t="s">
        <v>1835</v>
      </c>
      <c r="C540" s="10" t="str">
        <f>_xlfn.XLOOKUP(B540,DataSet!$N$2:$N$600,DataSet!$AF$2:$AF$600,0)</f>
        <v>147851</v>
      </c>
      <c r="D540" s="10" t="str">
        <f>_xlfn.XLOOKUP(B540,DataSet!$N$2:$N$600,DataSet!$G$2:$G$600,0)</f>
        <v>Mark Packer</v>
      </c>
      <c r="E540" s="10" t="str">
        <f>_xlfn.XLOOKUP(B540,DataSet!$N$2:$N$600,DataSet!$F$2:$F$600,0)</f>
        <v>MP-17470</v>
      </c>
      <c r="F540" s="10" t="str">
        <f>_xlfn.XLOOKUP(B540,DataSet!$N$2:$N$600,DataSet!$W$2:$W$600,0)</f>
        <v>Home Office</v>
      </c>
      <c r="G540" s="13">
        <f>_xlfn.XLOOKUP(B540,DataSet!$N$2:$N$600,DataSet!$C$2:$C$600,0)</f>
        <v>42341</v>
      </c>
      <c r="H540" s="10" t="str">
        <f>_xlfn.XLOOKUP(B540,DataSet!$N$2:$N$600,DataSet!$I$2:$I$600,0)</f>
        <v>United States</v>
      </c>
      <c r="I540" s="10" t="str">
        <f>_xlfn.XLOOKUP(B540,DataSet!$N$2:$N$600,DataSet!$X$2:$X$600,0)</f>
        <v>New York City - New York</v>
      </c>
      <c r="J540" s="10" t="str">
        <f>_xlfn.XLOOKUP(B540,DataSet!$N$2:$N$600,DataSet!$M$2:$M$600,0)</f>
        <v>East</v>
      </c>
      <c r="K540" s="10" t="str">
        <f>_xlfn.XLOOKUP(B540,DataSet!$N$2:$N$600,DataSet!$O$2:$O$600,0)</f>
        <v>Office Supplies</v>
      </c>
      <c r="L540" s="10" t="str">
        <f>_xlfn.XLOOKUP(B540,DataSet!$N$2:$N$600,DataSet!$Y$2:$Y$600,0)</f>
        <v>Binders</v>
      </c>
      <c r="M540" s="10" t="str">
        <f>_xlfn.XLOOKUP(B540,DataSet!$N$2:$N$600,DataSet!$Q$2:$Q$600,0)</f>
        <v>Cardinal Poly Pocket Divider Pockets for Ring Binders</v>
      </c>
      <c r="N540" s="16">
        <f>_xlfn.XLOOKUP(B540,DataSet!$N$2:$N$600,DataSet!$AA$2:$AA$600,0)</f>
        <v>10.752000000000001</v>
      </c>
      <c r="O540" s="10">
        <f>_xlfn.XLOOKUP(B540,DataSet!$N$2:$N$600,DataSet!$S$2:$S$600,0)</f>
        <v>4</v>
      </c>
      <c r="P540" s="15">
        <f>_xlfn.XLOOKUP(B540,DataSet!$N$2:$N$600,DataSet!$T$2:$T$600,0)</f>
        <v>0.2</v>
      </c>
      <c r="Q540" s="14">
        <f>_xlfn.XLOOKUP(B540,DataSet!$N$2:$N$600,DataSet!$U$2:$U$600,0)</f>
        <v>3.36</v>
      </c>
      <c r="R540" s="16">
        <f>_xlfn.XLOOKUP(B540,DataSet!$N$2:$N$600,DataSet!$AB$2:$AB$600,0)</f>
        <v>43.008000000000003</v>
      </c>
      <c r="S540" s="9">
        <f>_xlfn.XLOOKUP(B540,DataSet!$N$2:$N$600,DataSet!$AC$2:$AC$600,0)</f>
        <v>34.406400000000005</v>
      </c>
    </row>
    <row r="541" spans="1:19" s="12" customFormat="1" x14ac:dyDescent="0.3">
      <c r="A541" s="27">
        <v>539</v>
      </c>
      <c r="B541" s="10" t="s">
        <v>1840</v>
      </c>
      <c r="C541" s="10" t="str">
        <f>_xlfn.XLOOKUP(B541,DataSet!$N$2:$N$600,DataSet!$AF$2:$AF$600,0)</f>
        <v>134894</v>
      </c>
      <c r="D541" s="10" t="str">
        <f>_xlfn.XLOOKUP(B541,DataSet!$N$2:$N$600,DataSet!$G$2:$G$600,0)</f>
        <v>Darren Koutras</v>
      </c>
      <c r="E541" s="10" t="str">
        <f>_xlfn.XLOOKUP(B541,DataSet!$N$2:$N$600,DataSet!$F$2:$F$600,0)</f>
        <v>DK-12985</v>
      </c>
      <c r="F541" s="10" t="str">
        <f>_xlfn.XLOOKUP(B541,DataSet!$N$2:$N$600,DataSet!$W$2:$W$600,0)</f>
        <v>Consumer</v>
      </c>
      <c r="G541" s="13">
        <f>_xlfn.XLOOKUP(B541,DataSet!$N$2:$N$600,DataSet!$C$2:$C$600,0)</f>
        <v>42345</v>
      </c>
      <c r="H541" s="10" t="str">
        <f>_xlfn.XLOOKUP(B541,DataSet!$N$2:$N$600,DataSet!$I$2:$I$600,0)</f>
        <v>United States</v>
      </c>
      <c r="I541" s="10" t="str">
        <f>_xlfn.XLOOKUP(B541,DataSet!$N$2:$N$600,DataSet!$X$2:$X$600,0)</f>
        <v>Henderson - Kentucky</v>
      </c>
      <c r="J541" s="10" t="str">
        <f>_xlfn.XLOOKUP(B541,DataSet!$N$2:$N$600,DataSet!$M$2:$M$600,0)</f>
        <v>South</v>
      </c>
      <c r="K541" s="10" t="str">
        <f>_xlfn.XLOOKUP(B541,DataSet!$N$2:$N$600,DataSet!$O$2:$O$600,0)</f>
        <v>Office Supplies</v>
      </c>
      <c r="L541" s="10" t="str">
        <f>_xlfn.XLOOKUP(B541,DataSet!$N$2:$N$600,DataSet!$Y$2:$Y$600,0)</f>
        <v>Appliances</v>
      </c>
      <c r="M541" s="10" t="str">
        <f>_xlfn.XLOOKUP(B541,DataSet!$N$2:$N$600,DataSet!$Q$2:$Q$600,0)</f>
        <v>Eureka The Boss Cordless Rechargeable Stick Vac</v>
      </c>
      <c r="N541" s="16">
        <f>_xlfn.XLOOKUP(B541,DataSet!$N$2:$N$600,DataSet!$AA$2:$AA$600,0)</f>
        <v>152.94</v>
      </c>
      <c r="O541" s="10">
        <f>_xlfn.XLOOKUP(B541,DataSet!$N$2:$N$600,DataSet!$S$2:$S$600,0)</f>
        <v>3</v>
      </c>
      <c r="P541" s="15">
        <f>_xlfn.XLOOKUP(B541,DataSet!$N$2:$N$600,DataSet!$T$2:$T$600,0)</f>
        <v>0</v>
      </c>
      <c r="Q541" s="14">
        <f>_xlfn.XLOOKUP(B541,DataSet!$N$2:$N$600,DataSet!$U$2:$U$600,0)</f>
        <v>41.293799999999997</v>
      </c>
      <c r="R541" s="16">
        <f>_xlfn.XLOOKUP(B541,DataSet!$N$2:$N$600,DataSet!$AB$2:$AB$600,0)</f>
        <v>458.82</v>
      </c>
      <c r="S541" s="9">
        <f>_xlfn.XLOOKUP(B541,DataSet!$N$2:$N$600,DataSet!$AC$2:$AC$600,0)</f>
        <v>458.82</v>
      </c>
    </row>
    <row r="542" spans="1:19" s="12" customFormat="1" x14ac:dyDescent="0.3">
      <c r="A542" s="27">
        <v>540</v>
      </c>
      <c r="B542" s="10" t="s">
        <v>1842</v>
      </c>
      <c r="C542" s="10" t="str">
        <f>_xlfn.XLOOKUP(B542,DataSet!$N$2:$N$600,DataSet!$AF$2:$AF$600,0)</f>
        <v>134894</v>
      </c>
      <c r="D542" s="10" t="str">
        <f>_xlfn.XLOOKUP(B542,DataSet!$N$2:$N$600,DataSet!$G$2:$G$600,0)</f>
        <v>Darren Koutras</v>
      </c>
      <c r="E542" s="10" t="str">
        <f>_xlfn.XLOOKUP(B542,DataSet!$N$2:$N$600,DataSet!$F$2:$F$600,0)</f>
        <v>DK-12985</v>
      </c>
      <c r="F542" s="10" t="str">
        <f>_xlfn.XLOOKUP(B542,DataSet!$N$2:$N$600,DataSet!$W$2:$W$600,0)</f>
        <v>Consumer</v>
      </c>
      <c r="G542" s="13">
        <f>_xlfn.XLOOKUP(B542,DataSet!$N$2:$N$600,DataSet!$C$2:$C$600,0)</f>
        <v>42345</v>
      </c>
      <c r="H542" s="10" t="str">
        <f>_xlfn.XLOOKUP(B542,DataSet!$N$2:$N$600,DataSet!$I$2:$I$600,0)</f>
        <v>United States</v>
      </c>
      <c r="I542" s="10" t="str">
        <f>_xlfn.XLOOKUP(B542,DataSet!$N$2:$N$600,DataSet!$X$2:$X$600,0)</f>
        <v>Henderson - Kentucky</v>
      </c>
      <c r="J542" s="10" t="str">
        <f>_xlfn.XLOOKUP(B542,DataSet!$N$2:$N$600,DataSet!$M$2:$M$600,0)</f>
        <v>South</v>
      </c>
      <c r="K542" s="10" t="str">
        <f>_xlfn.XLOOKUP(B542,DataSet!$N$2:$N$600,DataSet!$O$2:$O$600,0)</f>
        <v>Furniture</v>
      </c>
      <c r="L542" s="10" t="str">
        <f>_xlfn.XLOOKUP(B542,DataSet!$N$2:$N$600,DataSet!$Y$2:$Y$600,0)</f>
        <v>Chairs</v>
      </c>
      <c r="M542" s="10" t="str">
        <f>_xlfn.XLOOKUP(B542,DataSet!$N$2:$N$600,DataSet!$Q$2:$Q$600,0)</f>
        <v>Situations Contoured Folding Chairs, 4/Set</v>
      </c>
      <c r="N542" s="16">
        <f>_xlfn.XLOOKUP(B542,DataSet!$N$2:$N$600,DataSet!$AA$2:$AA$600,0)</f>
        <v>283.92</v>
      </c>
      <c r="O542" s="10">
        <f>_xlfn.XLOOKUP(B542,DataSet!$N$2:$N$600,DataSet!$S$2:$S$600,0)</f>
        <v>4</v>
      </c>
      <c r="P542" s="15">
        <f>_xlfn.XLOOKUP(B542,DataSet!$N$2:$N$600,DataSet!$T$2:$T$600,0)</f>
        <v>0</v>
      </c>
      <c r="Q542" s="14">
        <f>_xlfn.XLOOKUP(B542,DataSet!$N$2:$N$600,DataSet!$U$2:$U$600,0)</f>
        <v>70.98</v>
      </c>
      <c r="R542" s="16">
        <f>_xlfn.XLOOKUP(B542,DataSet!$N$2:$N$600,DataSet!$AB$2:$AB$600,0)</f>
        <v>1135.68</v>
      </c>
      <c r="S542" s="9">
        <f>_xlfn.XLOOKUP(B542,DataSet!$N$2:$N$600,DataSet!$AC$2:$AC$600,0)</f>
        <v>1135.68</v>
      </c>
    </row>
    <row r="543" spans="1:19" s="12" customFormat="1" x14ac:dyDescent="0.3">
      <c r="A543" s="27">
        <v>541</v>
      </c>
      <c r="B543" s="10" t="s">
        <v>1848</v>
      </c>
      <c r="C543" s="10" t="str">
        <f>_xlfn.XLOOKUP(B543,DataSet!$N$2:$N$600,DataSet!$AF$2:$AF$600,0)</f>
        <v>140795</v>
      </c>
      <c r="D543" s="10" t="str">
        <f>_xlfn.XLOOKUP(B543,DataSet!$N$2:$N$600,DataSet!$G$2:$G$600,0)</f>
        <v>Bradley Drucker</v>
      </c>
      <c r="E543" s="10" t="str">
        <f>_xlfn.XLOOKUP(B543,DataSet!$N$2:$N$600,DataSet!$F$2:$F$600,0)</f>
        <v>BD-11500</v>
      </c>
      <c r="F543" s="10" t="str">
        <f>_xlfn.XLOOKUP(B543,DataSet!$N$2:$N$600,DataSet!$W$2:$W$600,0)</f>
        <v>Consumer</v>
      </c>
      <c r="G543" s="13">
        <f>_xlfn.XLOOKUP(B543,DataSet!$N$2:$N$600,DataSet!$C$2:$C$600,0)</f>
        <v>41671</v>
      </c>
      <c r="H543" s="10" t="str">
        <f>_xlfn.XLOOKUP(B543,DataSet!$N$2:$N$600,DataSet!$I$2:$I$600,0)</f>
        <v>United States</v>
      </c>
      <c r="I543" s="10" t="str">
        <f>_xlfn.XLOOKUP(B543,DataSet!$N$2:$N$600,DataSet!$X$2:$X$600,0)</f>
        <v>Green Bay - Wisconsin</v>
      </c>
      <c r="J543" s="10" t="str">
        <f>_xlfn.XLOOKUP(B543,DataSet!$N$2:$N$600,DataSet!$M$2:$M$600,0)</f>
        <v>Central</v>
      </c>
      <c r="K543" s="10" t="str">
        <f>_xlfn.XLOOKUP(B543,DataSet!$N$2:$N$600,DataSet!$O$2:$O$600,0)</f>
        <v>Technology</v>
      </c>
      <c r="L543" s="10" t="str">
        <f>_xlfn.XLOOKUP(B543,DataSet!$N$2:$N$600,DataSet!$Y$2:$Y$600,0)</f>
        <v>Accessories</v>
      </c>
      <c r="M543" s="10" t="str">
        <f>_xlfn.XLOOKUP(B543,DataSet!$N$2:$N$600,DataSet!$Q$2:$Q$600,0)</f>
        <v>Enermax Aurora Lite Keyboard</v>
      </c>
      <c r="N543" s="16">
        <f>_xlfn.XLOOKUP(B543,DataSet!$N$2:$N$600,DataSet!$AA$2:$AA$600,0)</f>
        <v>468.9</v>
      </c>
      <c r="O543" s="10">
        <f>_xlfn.XLOOKUP(B543,DataSet!$N$2:$N$600,DataSet!$S$2:$S$600,0)</f>
        <v>6</v>
      </c>
      <c r="P543" s="15">
        <f>_xlfn.XLOOKUP(B543,DataSet!$N$2:$N$600,DataSet!$T$2:$T$600,0)</f>
        <v>0</v>
      </c>
      <c r="Q543" s="14">
        <f>_xlfn.XLOOKUP(B543,DataSet!$N$2:$N$600,DataSet!$U$2:$U$600,0)</f>
        <v>206.316</v>
      </c>
      <c r="R543" s="16">
        <f>_xlfn.XLOOKUP(B543,DataSet!$N$2:$N$600,DataSet!$AB$2:$AB$600,0)</f>
        <v>2813.3999999999996</v>
      </c>
      <c r="S543" s="9">
        <f>_xlfn.XLOOKUP(B543,DataSet!$N$2:$N$600,DataSet!$AC$2:$AC$600,0)</f>
        <v>2813.3999999999996</v>
      </c>
    </row>
    <row r="544" spans="1:19" s="12" customFormat="1" x14ac:dyDescent="0.3">
      <c r="A544" s="27">
        <v>542</v>
      </c>
      <c r="B544" s="10" t="s">
        <v>1851</v>
      </c>
      <c r="C544" s="10" t="str">
        <f>_xlfn.XLOOKUP(B544,DataSet!$N$2:$N$600,DataSet!$AF$2:$AF$600,0)</f>
        <v>136924</v>
      </c>
      <c r="D544" s="10" t="str">
        <f>_xlfn.XLOOKUP(B544,DataSet!$N$2:$N$600,DataSet!$G$2:$G$600,0)</f>
        <v>Erin Smith</v>
      </c>
      <c r="E544" s="10" t="str">
        <f>_xlfn.XLOOKUP(B544,DataSet!$N$2:$N$600,DataSet!$F$2:$F$600,0)</f>
        <v>ES-14080</v>
      </c>
      <c r="F544" s="10" t="str">
        <f>_xlfn.XLOOKUP(B544,DataSet!$N$2:$N$600,DataSet!$W$2:$W$600,0)</f>
        <v>Corporate</v>
      </c>
      <c r="G544" s="13">
        <f>_xlfn.XLOOKUP(B544,DataSet!$N$2:$N$600,DataSet!$C$2:$C$600,0)</f>
        <v>42565</v>
      </c>
      <c r="H544" s="10" t="str">
        <f>_xlfn.XLOOKUP(B544,DataSet!$N$2:$N$600,DataSet!$I$2:$I$600,0)</f>
        <v>United States</v>
      </c>
      <c r="I544" s="10" t="str">
        <f>_xlfn.XLOOKUP(B544,DataSet!$N$2:$N$600,DataSet!$X$2:$X$600,0)</f>
        <v>Tucson - Arizona</v>
      </c>
      <c r="J544" s="10" t="str">
        <f>_xlfn.XLOOKUP(B544,DataSet!$N$2:$N$600,DataSet!$M$2:$M$600,0)</f>
        <v>West</v>
      </c>
      <c r="K544" s="10" t="str">
        <f>_xlfn.XLOOKUP(B544,DataSet!$N$2:$N$600,DataSet!$O$2:$O$600,0)</f>
        <v>Technology</v>
      </c>
      <c r="L544" s="10" t="str">
        <f>_xlfn.XLOOKUP(B544,DataSet!$N$2:$N$600,DataSet!$Y$2:$Y$600,0)</f>
        <v>Phones</v>
      </c>
      <c r="M544" s="10" t="str">
        <f>_xlfn.XLOOKUP(B544,DataSet!$N$2:$N$600,DataSet!$Q$2:$Q$600,0)</f>
        <v>LG Electronics Tone+ HBS-730 Bluetooth Headset</v>
      </c>
      <c r="N544" s="16">
        <f>_xlfn.XLOOKUP(B544,DataSet!$N$2:$N$600,DataSet!$AA$2:$AA$600,0)</f>
        <v>380.86399999999998</v>
      </c>
      <c r="O544" s="10">
        <f>_xlfn.XLOOKUP(B544,DataSet!$N$2:$N$600,DataSet!$S$2:$S$600,0)</f>
        <v>8</v>
      </c>
      <c r="P544" s="15">
        <f>_xlfn.XLOOKUP(B544,DataSet!$N$2:$N$600,DataSet!$T$2:$T$600,0)</f>
        <v>0.2</v>
      </c>
      <c r="Q544" s="14">
        <f>_xlfn.XLOOKUP(B544,DataSet!$N$2:$N$600,DataSet!$U$2:$U$600,0)</f>
        <v>38.086399999999998</v>
      </c>
      <c r="R544" s="16">
        <f>_xlfn.XLOOKUP(B544,DataSet!$N$2:$N$600,DataSet!$AB$2:$AB$600,0)</f>
        <v>3046.9119999999998</v>
      </c>
      <c r="S544" s="9">
        <f>_xlfn.XLOOKUP(B544,DataSet!$N$2:$N$600,DataSet!$AC$2:$AC$600,0)</f>
        <v>2437.5295999999998</v>
      </c>
    </row>
    <row r="545" spans="1:19" s="12" customFormat="1" x14ac:dyDescent="0.3">
      <c r="A545" s="27">
        <v>543</v>
      </c>
      <c r="B545" s="10" t="s">
        <v>1692</v>
      </c>
      <c r="C545" s="10" t="str">
        <f>_xlfn.XLOOKUP(B545,DataSet!$N$2:$N$600,DataSet!$AF$2:$AF$600,0)</f>
        <v>113362</v>
      </c>
      <c r="D545" s="10" t="str">
        <f>_xlfn.XLOOKUP(B545,DataSet!$N$2:$N$600,DataSet!$G$2:$G$600,0)</f>
        <v>Astrea Jones</v>
      </c>
      <c r="E545" s="10" t="str">
        <f>_xlfn.XLOOKUP(B545,DataSet!$N$2:$N$600,DataSet!$F$2:$F$600,0)</f>
        <v>AJ-10960</v>
      </c>
      <c r="F545" s="10" t="str">
        <f>_xlfn.XLOOKUP(B545,DataSet!$N$2:$N$600,DataSet!$W$2:$W$600,0)</f>
        <v>Consumer</v>
      </c>
      <c r="G545" s="13">
        <f>_xlfn.XLOOKUP(B545,DataSet!$N$2:$N$600,DataSet!$C$2:$C$600,0)</f>
        <v>41896</v>
      </c>
      <c r="H545" s="10" t="str">
        <f>_xlfn.XLOOKUP(B545,DataSet!$N$2:$N$600,DataSet!$I$2:$I$600,0)</f>
        <v>United States</v>
      </c>
      <c r="I545" s="10" t="str">
        <f>_xlfn.XLOOKUP(B545,DataSet!$N$2:$N$600,DataSet!$X$2:$X$600,0)</f>
        <v>Rochester - New York</v>
      </c>
      <c r="J545" s="10" t="str">
        <f>_xlfn.XLOOKUP(B545,DataSet!$N$2:$N$600,DataSet!$M$2:$M$600,0)</f>
        <v>East</v>
      </c>
      <c r="K545" s="10" t="str">
        <f>_xlfn.XLOOKUP(B545,DataSet!$N$2:$N$600,DataSet!$O$2:$O$600,0)</f>
        <v>Office Supplies</v>
      </c>
      <c r="L545" s="10" t="str">
        <f>_xlfn.XLOOKUP(B545,DataSet!$N$2:$N$600,DataSet!$Y$2:$Y$600,0)</f>
        <v>Storage</v>
      </c>
      <c r="M545" s="10" t="str">
        <f>_xlfn.XLOOKUP(B545,DataSet!$N$2:$N$600,DataSet!$Q$2:$Q$600,0)</f>
        <v>Fellowes Officeware Wire Shelving</v>
      </c>
      <c r="N545" s="16">
        <f>_xlfn.XLOOKUP(B545,DataSet!$N$2:$N$600,DataSet!$AA$2:$AA$600,0)</f>
        <v>449.15</v>
      </c>
      <c r="O545" s="10">
        <f>_xlfn.XLOOKUP(B545,DataSet!$N$2:$N$600,DataSet!$S$2:$S$600,0)</f>
        <v>5</v>
      </c>
      <c r="P545" s="15">
        <f>_xlfn.XLOOKUP(B545,DataSet!$N$2:$N$600,DataSet!$T$2:$T$600,0)</f>
        <v>0</v>
      </c>
      <c r="Q545" s="14">
        <f>_xlfn.XLOOKUP(B545,DataSet!$N$2:$N$600,DataSet!$U$2:$U$600,0)</f>
        <v>8.9830000000000005</v>
      </c>
      <c r="R545" s="16">
        <f>_xlfn.XLOOKUP(B545,DataSet!$N$2:$N$600,DataSet!$AB$2:$AB$600,0)</f>
        <v>2245.75</v>
      </c>
      <c r="S545" s="9">
        <f>_xlfn.XLOOKUP(B545,DataSet!$N$2:$N$600,DataSet!$AC$2:$AC$600,0)</f>
        <v>2245.75</v>
      </c>
    </row>
    <row r="546" spans="1:19" s="12" customFormat="1" x14ac:dyDescent="0.3">
      <c r="A546" s="27">
        <v>544</v>
      </c>
      <c r="B546" s="10" t="s">
        <v>1857</v>
      </c>
      <c r="C546" s="10" t="str">
        <f>_xlfn.XLOOKUP(B546,DataSet!$N$2:$N$600,DataSet!$AF$2:$AF$600,0)</f>
        <v>103849</v>
      </c>
      <c r="D546" s="10" t="str">
        <f>_xlfn.XLOOKUP(B546,DataSet!$N$2:$N$600,DataSet!$G$2:$G$600,0)</f>
        <v>Paul Gonzalez</v>
      </c>
      <c r="E546" s="10" t="str">
        <f>_xlfn.XLOOKUP(B546,DataSet!$N$2:$N$600,DataSet!$F$2:$F$600,0)</f>
        <v>PG-18895</v>
      </c>
      <c r="F546" s="10" t="str">
        <f>_xlfn.XLOOKUP(B546,DataSet!$N$2:$N$600,DataSet!$W$2:$W$600,0)</f>
        <v>Consumer</v>
      </c>
      <c r="G546" s="13">
        <f>_xlfn.XLOOKUP(B546,DataSet!$N$2:$N$600,DataSet!$C$2:$C$600,0)</f>
        <v>41770</v>
      </c>
      <c r="H546" s="10" t="str">
        <f>_xlfn.XLOOKUP(B546,DataSet!$N$2:$N$600,DataSet!$I$2:$I$600,0)</f>
        <v>United States</v>
      </c>
      <c r="I546" s="10" t="str">
        <f>_xlfn.XLOOKUP(B546,DataSet!$N$2:$N$600,DataSet!$X$2:$X$600,0)</f>
        <v>Fort Worth - Texas</v>
      </c>
      <c r="J546" s="10" t="str">
        <f>_xlfn.XLOOKUP(B546,DataSet!$N$2:$N$600,DataSet!$M$2:$M$600,0)</f>
        <v>Central</v>
      </c>
      <c r="K546" s="10" t="str">
        <f>_xlfn.XLOOKUP(B546,DataSet!$N$2:$N$600,DataSet!$O$2:$O$600,0)</f>
        <v>Technology</v>
      </c>
      <c r="L546" s="10" t="str">
        <f>_xlfn.XLOOKUP(B546,DataSet!$N$2:$N$600,DataSet!$Y$2:$Y$600,0)</f>
        <v>Accessories</v>
      </c>
      <c r="M546" s="10" t="str">
        <f>_xlfn.XLOOKUP(B546,DataSet!$N$2:$N$600,DataSet!$Q$2:$Q$600,0)</f>
        <v>SanDisk Cruzer 64 GB USB Flash Drive</v>
      </c>
      <c r="N546" s="16">
        <f>_xlfn.XLOOKUP(B546,DataSet!$N$2:$N$600,DataSet!$AA$2:$AA$600,0)</f>
        <v>58.112000000000002</v>
      </c>
      <c r="O546" s="10">
        <f>_xlfn.XLOOKUP(B546,DataSet!$N$2:$N$600,DataSet!$S$2:$S$600,0)</f>
        <v>2</v>
      </c>
      <c r="P546" s="15">
        <f>_xlfn.XLOOKUP(B546,DataSet!$N$2:$N$600,DataSet!$T$2:$T$600,0)</f>
        <v>0.2</v>
      </c>
      <c r="Q546" s="14">
        <f>_xlfn.XLOOKUP(B546,DataSet!$N$2:$N$600,DataSet!$U$2:$U$600,0)</f>
        <v>7.2640000000000002</v>
      </c>
      <c r="R546" s="16">
        <f>_xlfn.XLOOKUP(B546,DataSet!$N$2:$N$600,DataSet!$AB$2:$AB$600,0)</f>
        <v>116.224</v>
      </c>
      <c r="S546" s="9">
        <f>_xlfn.XLOOKUP(B546,DataSet!$N$2:$N$600,DataSet!$AC$2:$AC$600,0)</f>
        <v>92.979200000000006</v>
      </c>
    </row>
    <row r="547" spans="1:19" s="12" customFormat="1" x14ac:dyDescent="0.3">
      <c r="A547" s="27">
        <v>545</v>
      </c>
      <c r="B547" s="10" t="s">
        <v>1859</v>
      </c>
      <c r="C547" s="10" t="str">
        <f>_xlfn.XLOOKUP(B547,DataSet!$N$2:$N$600,DataSet!$AF$2:$AF$600,0)</f>
        <v>103849</v>
      </c>
      <c r="D547" s="10" t="str">
        <f>_xlfn.XLOOKUP(B547,DataSet!$N$2:$N$600,DataSet!$G$2:$G$600,0)</f>
        <v>Paul Gonzalez</v>
      </c>
      <c r="E547" s="10" t="str">
        <f>_xlfn.XLOOKUP(B547,DataSet!$N$2:$N$600,DataSet!$F$2:$F$600,0)</f>
        <v>PG-18895</v>
      </c>
      <c r="F547" s="10" t="str">
        <f>_xlfn.XLOOKUP(B547,DataSet!$N$2:$N$600,DataSet!$W$2:$W$600,0)</f>
        <v>Consumer</v>
      </c>
      <c r="G547" s="13">
        <f>_xlfn.XLOOKUP(B547,DataSet!$N$2:$N$600,DataSet!$C$2:$C$600,0)</f>
        <v>41770</v>
      </c>
      <c r="H547" s="10" t="str">
        <f>_xlfn.XLOOKUP(B547,DataSet!$N$2:$N$600,DataSet!$I$2:$I$600,0)</f>
        <v>United States</v>
      </c>
      <c r="I547" s="10" t="str">
        <f>_xlfn.XLOOKUP(B547,DataSet!$N$2:$N$600,DataSet!$X$2:$X$600,0)</f>
        <v>Fort Worth - Texas</v>
      </c>
      <c r="J547" s="10" t="str">
        <f>_xlfn.XLOOKUP(B547,DataSet!$N$2:$N$600,DataSet!$M$2:$M$600,0)</f>
        <v>Central</v>
      </c>
      <c r="K547" s="10" t="str">
        <f>_xlfn.XLOOKUP(B547,DataSet!$N$2:$N$600,DataSet!$O$2:$O$600,0)</f>
        <v>Technology</v>
      </c>
      <c r="L547" s="10" t="str">
        <f>_xlfn.XLOOKUP(B547,DataSet!$N$2:$N$600,DataSet!$Y$2:$Y$600,0)</f>
        <v>Phones</v>
      </c>
      <c r="M547" s="10" t="str">
        <f>_xlfn.XLOOKUP(B547,DataSet!$N$2:$N$600,DataSet!$Q$2:$Q$600,0)</f>
        <v>Xblue XB-1670-86 X16 Small Office Telephone - Titanium</v>
      </c>
      <c r="N547" s="16">
        <f>_xlfn.XLOOKUP(B547,DataSet!$N$2:$N$600,DataSet!$AA$2:$AA$600,0)</f>
        <v>100.792</v>
      </c>
      <c r="O547" s="10">
        <f>_xlfn.XLOOKUP(B547,DataSet!$N$2:$N$600,DataSet!$S$2:$S$600,0)</f>
        <v>1</v>
      </c>
      <c r="P547" s="15">
        <f>_xlfn.XLOOKUP(B547,DataSet!$N$2:$N$600,DataSet!$T$2:$T$600,0)</f>
        <v>0.2</v>
      </c>
      <c r="Q547" s="14">
        <f>_xlfn.XLOOKUP(B547,DataSet!$N$2:$N$600,DataSet!$U$2:$U$600,0)</f>
        <v>6.2995000000000001</v>
      </c>
      <c r="R547" s="16">
        <f>_xlfn.XLOOKUP(B547,DataSet!$N$2:$N$600,DataSet!$AB$2:$AB$600,0)</f>
        <v>100.792</v>
      </c>
      <c r="S547" s="9">
        <f>_xlfn.XLOOKUP(B547,DataSet!$N$2:$N$600,DataSet!$AC$2:$AC$600,0)</f>
        <v>80.633600000000001</v>
      </c>
    </row>
    <row r="548" spans="1:19" s="12" customFormat="1" x14ac:dyDescent="0.3">
      <c r="A548" s="27">
        <v>546</v>
      </c>
      <c r="B548" s="10" t="s">
        <v>1861</v>
      </c>
      <c r="C548" s="10" t="str">
        <f>_xlfn.XLOOKUP(B548,DataSet!$N$2:$N$600,DataSet!$AF$2:$AF$600,0)</f>
        <v>103849</v>
      </c>
      <c r="D548" s="10" t="str">
        <f>_xlfn.XLOOKUP(B548,DataSet!$N$2:$N$600,DataSet!$G$2:$G$600,0)</f>
        <v>Paul Gonzalez</v>
      </c>
      <c r="E548" s="10" t="str">
        <f>_xlfn.XLOOKUP(B548,DataSet!$N$2:$N$600,DataSet!$F$2:$F$600,0)</f>
        <v>PG-18895</v>
      </c>
      <c r="F548" s="10" t="str">
        <f>_xlfn.XLOOKUP(B548,DataSet!$N$2:$N$600,DataSet!$W$2:$W$600,0)</f>
        <v>Consumer</v>
      </c>
      <c r="G548" s="13">
        <f>_xlfn.XLOOKUP(B548,DataSet!$N$2:$N$600,DataSet!$C$2:$C$600,0)</f>
        <v>41770</v>
      </c>
      <c r="H548" s="10" t="str">
        <f>_xlfn.XLOOKUP(B548,DataSet!$N$2:$N$600,DataSet!$I$2:$I$600,0)</f>
        <v>United States</v>
      </c>
      <c r="I548" s="10" t="str">
        <f>_xlfn.XLOOKUP(B548,DataSet!$N$2:$N$600,DataSet!$X$2:$X$600,0)</f>
        <v>Fort Worth - Texas</v>
      </c>
      <c r="J548" s="10" t="str">
        <f>_xlfn.XLOOKUP(B548,DataSet!$N$2:$N$600,DataSet!$M$2:$M$600,0)</f>
        <v>Central</v>
      </c>
      <c r="K548" s="10" t="str">
        <f>_xlfn.XLOOKUP(B548,DataSet!$N$2:$N$600,DataSet!$O$2:$O$600,0)</f>
        <v>Furniture</v>
      </c>
      <c r="L548" s="10" t="str">
        <f>_xlfn.XLOOKUP(B548,DataSet!$N$2:$N$600,DataSet!$Y$2:$Y$600,0)</f>
        <v>Furnishings</v>
      </c>
      <c r="M548" s="10" t="str">
        <f>_xlfn.XLOOKUP(B548,DataSet!$N$2:$N$600,DataSet!$Q$2:$Q$600,0)</f>
        <v>Deflect-o EconoMat Studded, No Bevel Mat for Low Pile Carpeting</v>
      </c>
      <c r="N548" s="16">
        <f>_xlfn.XLOOKUP(B548,DataSet!$N$2:$N$600,DataSet!$AA$2:$AA$600,0)</f>
        <v>66.111999999999995</v>
      </c>
      <c r="O548" s="10">
        <f>_xlfn.XLOOKUP(B548,DataSet!$N$2:$N$600,DataSet!$S$2:$S$600,0)</f>
        <v>4</v>
      </c>
      <c r="P548" s="15">
        <f>_xlfn.XLOOKUP(B548,DataSet!$N$2:$N$600,DataSet!$T$2:$T$600,0)</f>
        <v>0.6</v>
      </c>
      <c r="Q548" s="14">
        <f>_xlfn.XLOOKUP(B548,DataSet!$N$2:$N$600,DataSet!$U$2:$U$600,0)</f>
        <v>-84.2928</v>
      </c>
      <c r="R548" s="16">
        <f>_xlfn.XLOOKUP(B548,DataSet!$N$2:$N$600,DataSet!$AB$2:$AB$600,0)</f>
        <v>264.44799999999998</v>
      </c>
      <c r="S548" s="9">
        <f>_xlfn.XLOOKUP(B548,DataSet!$N$2:$N$600,DataSet!$AC$2:$AC$600,0)</f>
        <v>105.7792</v>
      </c>
    </row>
    <row r="549" spans="1:19" s="12" customFormat="1" x14ac:dyDescent="0.3">
      <c r="A549" s="27">
        <v>547</v>
      </c>
      <c r="B549" s="10" t="s">
        <v>1866</v>
      </c>
      <c r="C549" s="10" t="str">
        <f>_xlfn.XLOOKUP(B549,DataSet!$N$2:$N$600,DataSet!$AF$2:$AF$600,0)</f>
        <v>162929</v>
      </c>
      <c r="D549" s="10" t="str">
        <f>_xlfn.XLOOKUP(B549,DataSet!$N$2:$N$600,DataSet!$G$2:$G$600,0)</f>
        <v>Adrian Shami</v>
      </c>
      <c r="E549" s="10" t="str">
        <f>_xlfn.XLOOKUP(B549,DataSet!$N$2:$N$600,DataSet!$F$2:$F$600,0)</f>
        <v>AS-10135</v>
      </c>
      <c r="F549" s="10" t="str">
        <f>_xlfn.XLOOKUP(B549,DataSet!$N$2:$N$600,DataSet!$W$2:$W$600,0)</f>
        <v>Home Office</v>
      </c>
      <c r="G549" s="13">
        <f>_xlfn.XLOOKUP(B549,DataSet!$N$2:$N$600,DataSet!$C$2:$C$600,0)</f>
        <v>43058</v>
      </c>
      <c r="H549" s="10" t="str">
        <f>_xlfn.XLOOKUP(B549,DataSet!$N$2:$N$600,DataSet!$I$2:$I$600,0)</f>
        <v>United States</v>
      </c>
      <c r="I549" s="10" t="str">
        <f>_xlfn.XLOOKUP(B549,DataSet!$N$2:$N$600,DataSet!$X$2:$X$600,0)</f>
        <v>New York City - New York</v>
      </c>
      <c r="J549" s="10" t="str">
        <f>_xlfn.XLOOKUP(B549,DataSet!$N$2:$N$600,DataSet!$M$2:$M$600,0)</f>
        <v>East</v>
      </c>
      <c r="K549" s="10" t="str">
        <f>_xlfn.XLOOKUP(B549,DataSet!$N$2:$N$600,DataSet!$O$2:$O$600,0)</f>
        <v>Office Supplies</v>
      </c>
      <c r="L549" s="10" t="str">
        <f>_xlfn.XLOOKUP(B549,DataSet!$N$2:$N$600,DataSet!$Y$2:$Y$600,0)</f>
        <v>Binders</v>
      </c>
      <c r="M549" s="10" t="str">
        <f>_xlfn.XLOOKUP(B549,DataSet!$N$2:$N$600,DataSet!$Q$2:$Q$600,0)</f>
        <v>Avery Printable Repositionable Plastic Tabs</v>
      </c>
      <c r="N549" s="16">
        <f>_xlfn.XLOOKUP(B549,DataSet!$N$2:$N$600,DataSet!$AA$2:$AA$600,0)</f>
        <v>41.28</v>
      </c>
      <c r="O549" s="10">
        <f>_xlfn.XLOOKUP(B549,DataSet!$N$2:$N$600,DataSet!$S$2:$S$600,0)</f>
        <v>6</v>
      </c>
      <c r="P549" s="15">
        <f>_xlfn.XLOOKUP(B549,DataSet!$N$2:$N$600,DataSet!$T$2:$T$600,0)</f>
        <v>0.2</v>
      </c>
      <c r="Q549" s="14">
        <f>_xlfn.XLOOKUP(B549,DataSet!$N$2:$N$600,DataSet!$U$2:$U$600,0)</f>
        <v>13.932</v>
      </c>
      <c r="R549" s="16">
        <f>_xlfn.XLOOKUP(B549,DataSet!$N$2:$N$600,DataSet!$AB$2:$AB$600,0)</f>
        <v>247.68</v>
      </c>
      <c r="S549" s="9">
        <f>_xlfn.XLOOKUP(B549,DataSet!$N$2:$N$600,DataSet!$AC$2:$AC$600,0)</f>
        <v>198.14400000000001</v>
      </c>
    </row>
    <row r="550" spans="1:19" s="12" customFormat="1" x14ac:dyDescent="0.3">
      <c r="A550" s="27">
        <v>548</v>
      </c>
      <c r="B550" s="10" t="s">
        <v>1868</v>
      </c>
      <c r="C550" s="10" t="str">
        <f>_xlfn.XLOOKUP(B550,DataSet!$N$2:$N$600,DataSet!$AF$2:$AF$600,0)</f>
        <v>162929</v>
      </c>
      <c r="D550" s="10" t="str">
        <f>_xlfn.XLOOKUP(B550,DataSet!$N$2:$N$600,DataSet!$G$2:$G$600,0)</f>
        <v>Adrian Shami</v>
      </c>
      <c r="E550" s="10" t="str">
        <f>_xlfn.XLOOKUP(B550,DataSet!$N$2:$N$600,DataSet!$F$2:$F$600,0)</f>
        <v>AS-10135</v>
      </c>
      <c r="F550" s="10" t="str">
        <f>_xlfn.XLOOKUP(B550,DataSet!$N$2:$N$600,DataSet!$W$2:$W$600,0)</f>
        <v>Home Office</v>
      </c>
      <c r="G550" s="13">
        <f>_xlfn.XLOOKUP(B550,DataSet!$N$2:$N$600,DataSet!$C$2:$C$600,0)</f>
        <v>43058</v>
      </c>
      <c r="H550" s="10" t="str">
        <f>_xlfn.XLOOKUP(B550,DataSet!$N$2:$N$600,DataSet!$I$2:$I$600,0)</f>
        <v>United States</v>
      </c>
      <c r="I550" s="10" t="str">
        <f>_xlfn.XLOOKUP(B550,DataSet!$N$2:$N$600,DataSet!$X$2:$X$600,0)</f>
        <v>New York City - New York</v>
      </c>
      <c r="J550" s="10" t="str">
        <f>_xlfn.XLOOKUP(B550,DataSet!$N$2:$N$600,DataSet!$M$2:$M$600,0)</f>
        <v>East</v>
      </c>
      <c r="K550" s="10" t="str">
        <f>_xlfn.XLOOKUP(B550,DataSet!$N$2:$N$600,DataSet!$O$2:$O$600,0)</f>
        <v>Office Supplies</v>
      </c>
      <c r="L550" s="10" t="str">
        <f>_xlfn.XLOOKUP(B550,DataSet!$N$2:$N$600,DataSet!$Y$2:$Y$600,0)</f>
        <v>Paper</v>
      </c>
      <c r="M550" s="10" t="str">
        <f>_xlfn.XLOOKUP(B550,DataSet!$N$2:$N$600,DataSet!$Q$2:$Q$600,0)</f>
        <v>Xerox 1898</v>
      </c>
      <c r="N550" s="16">
        <f>_xlfn.XLOOKUP(B550,DataSet!$N$2:$N$600,DataSet!$AA$2:$AA$600,0)</f>
        <v>13.36</v>
      </c>
      <c r="O550" s="10">
        <f>_xlfn.XLOOKUP(B550,DataSet!$N$2:$N$600,DataSet!$S$2:$S$600,0)</f>
        <v>2</v>
      </c>
      <c r="P550" s="15">
        <f>_xlfn.XLOOKUP(B550,DataSet!$N$2:$N$600,DataSet!$T$2:$T$600,0)</f>
        <v>0</v>
      </c>
      <c r="Q550" s="14">
        <f>_xlfn.XLOOKUP(B550,DataSet!$N$2:$N$600,DataSet!$U$2:$U$600,0)</f>
        <v>6.4127999999999998</v>
      </c>
      <c r="R550" s="16">
        <f>_xlfn.XLOOKUP(B550,DataSet!$N$2:$N$600,DataSet!$AB$2:$AB$600,0)</f>
        <v>26.72</v>
      </c>
      <c r="S550" s="9">
        <f>_xlfn.XLOOKUP(B550,DataSet!$N$2:$N$600,DataSet!$AC$2:$AC$600,0)</f>
        <v>26.72</v>
      </c>
    </row>
    <row r="551" spans="1:19" s="12" customFormat="1" x14ac:dyDescent="0.3">
      <c r="A551" s="27">
        <v>549</v>
      </c>
      <c r="B551" s="10" t="s">
        <v>275</v>
      </c>
      <c r="C551" s="10" t="str">
        <f>_xlfn.XLOOKUP(B551,DataSet!$N$2:$N$600,DataSet!$AF$2:$AF$600,0)</f>
        <v>111682</v>
      </c>
      <c r="D551" s="10" t="str">
        <f>_xlfn.XLOOKUP(B551,DataSet!$N$2:$N$600,DataSet!$G$2:$G$600,0)</f>
        <v>Ted Butterfield</v>
      </c>
      <c r="E551" s="10" t="str">
        <f>_xlfn.XLOOKUP(B551,DataSet!$N$2:$N$600,DataSet!$F$2:$F$600,0)</f>
        <v>TB-21055</v>
      </c>
      <c r="F551" s="10" t="str">
        <f>_xlfn.XLOOKUP(B551,DataSet!$N$2:$N$600,DataSet!$W$2:$W$600,0)</f>
        <v>Consumer</v>
      </c>
      <c r="G551" s="13">
        <f>_xlfn.XLOOKUP(B551,DataSet!$N$2:$N$600,DataSet!$C$2:$C$600,0)</f>
        <v>42538</v>
      </c>
      <c r="H551" s="10" t="str">
        <f>_xlfn.XLOOKUP(B551,DataSet!$N$2:$N$600,DataSet!$I$2:$I$600,0)</f>
        <v>United States</v>
      </c>
      <c r="I551" s="10" t="str">
        <f>_xlfn.XLOOKUP(B551,DataSet!$N$2:$N$600,DataSet!$X$2:$X$600,0)</f>
        <v>Troy - New York</v>
      </c>
      <c r="J551" s="10" t="str">
        <f>_xlfn.XLOOKUP(B551,DataSet!$N$2:$N$600,DataSet!$M$2:$M$600,0)</f>
        <v>East</v>
      </c>
      <c r="K551" s="10" t="str">
        <f>_xlfn.XLOOKUP(B551,DataSet!$N$2:$N$600,DataSet!$O$2:$O$600,0)</f>
        <v>Office Supplies</v>
      </c>
      <c r="L551" s="10" t="str">
        <f>_xlfn.XLOOKUP(B551,DataSet!$N$2:$N$600,DataSet!$Y$2:$Y$600,0)</f>
        <v>Storage</v>
      </c>
      <c r="M551" s="10" t="str">
        <f>_xlfn.XLOOKUP(B551,DataSet!$N$2:$N$600,DataSet!$Q$2:$Q$600,0)</f>
        <v>Home/Office Personal File Carts</v>
      </c>
      <c r="N551" s="16">
        <f>_xlfn.XLOOKUP(B551,DataSet!$N$2:$N$600,DataSet!$AA$2:$AA$600,0)</f>
        <v>208.56</v>
      </c>
      <c r="O551" s="10">
        <f>_xlfn.XLOOKUP(B551,DataSet!$N$2:$N$600,DataSet!$S$2:$S$600,0)</f>
        <v>6</v>
      </c>
      <c r="P551" s="15">
        <f>_xlfn.XLOOKUP(B551,DataSet!$N$2:$N$600,DataSet!$T$2:$T$600,0)</f>
        <v>0</v>
      </c>
      <c r="Q551" s="14">
        <f>_xlfn.XLOOKUP(B551,DataSet!$N$2:$N$600,DataSet!$U$2:$U$600,0)</f>
        <v>52.14</v>
      </c>
      <c r="R551" s="16">
        <f>_xlfn.XLOOKUP(B551,DataSet!$N$2:$N$600,DataSet!$AB$2:$AB$600,0)</f>
        <v>1251.3600000000001</v>
      </c>
      <c r="S551" s="9">
        <f>_xlfn.XLOOKUP(B551,DataSet!$N$2:$N$600,DataSet!$AC$2:$AC$600,0)</f>
        <v>1251.3600000000001</v>
      </c>
    </row>
    <row r="552" spans="1:19" s="12" customFormat="1" x14ac:dyDescent="0.3">
      <c r="A552" s="27">
        <v>550</v>
      </c>
      <c r="B552" s="10" t="s">
        <v>419</v>
      </c>
      <c r="C552" s="10" t="str">
        <f>_xlfn.XLOOKUP(B552,DataSet!$N$2:$N$600,DataSet!$AF$2:$AF$600,0)</f>
        <v>109484</v>
      </c>
      <c r="D552" s="10" t="str">
        <f>_xlfn.XLOOKUP(B552,DataSet!$N$2:$N$600,DataSet!$G$2:$G$600,0)</f>
        <v>Roger Barcio</v>
      </c>
      <c r="E552" s="10" t="str">
        <f>_xlfn.XLOOKUP(B552,DataSet!$N$2:$N$600,DataSet!$F$2:$F$600,0)</f>
        <v>RB-19705</v>
      </c>
      <c r="F552" s="10" t="str">
        <f>_xlfn.XLOOKUP(B552,DataSet!$N$2:$N$600,DataSet!$W$2:$W$600,0)</f>
        <v>Home Office</v>
      </c>
      <c r="G552" s="13">
        <f>_xlfn.XLOOKUP(B552,DataSet!$N$2:$N$600,DataSet!$C$2:$C$600,0)</f>
        <v>43045</v>
      </c>
      <c r="H552" s="10" t="str">
        <f>_xlfn.XLOOKUP(B552,DataSet!$N$2:$N$600,DataSet!$I$2:$I$600,0)</f>
        <v>United States</v>
      </c>
      <c r="I552" s="10" t="str">
        <f>_xlfn.XLOOKUP(B552,DataSet!$N$2:$N$600,DataSet!$X$2:$X$600,0)</f>
        <v>Portland - Oregon</v>
      </c>
      <c r="J552" s="10" t="str">
        <f>_xlfn.XLOOKUP(B552,DataSet!$N$2:$N$600,DataSet!$M$2:$M$600,0)</f>
        <v>West</v>
      </c>
      <c r="K552" s="10" t="str">
        <f>_xlfn.XLOOKUP(B552,DataSet!$N$2:$N$600,DataSet!$O$2:$O$600,0)</f>
        <v>Office Supplies</v>
      </c>
      <c r="L552" s="10" t="str">
        <f>_xlfn.XLOOKUP(B552,DataSet!$N$2:$N$600,DataSet!$Y$2:$Y$600,0)</f>
        <v>Binders</v>
      </c>
      <c r="M552" s="10" t="str">
        <f>_xlfn.XLOOKUP(B552,DataSet!$N$2:$N$600,DataSet!$Q$2:$Q$600,0)</f>
        <v>Flexible Leather- Look Classic Collection Ring Binder</v>
      </c>
      <c r="N552" s="16">
        <f>_xlfn.XLOOKUP(B552,DataSet!$N$2:$N$600,DataSet!$AA$2:$AA$600,0)</f>
        <v>5.6820000000000004</v>
      </c>
      <c r="O552" s="10">
        <f>_xlfn.XLOOKUP(B552,DataSet!$N$2:$N$600,DataSet!$S$2:$S$600,0)</f>
        <v>1</v>
      </c>
      <c r="P552" s="15">
        <f>_xlfn.XLOOKUP(B552,DataSet!$N$2:$N$600,DataSet!$T$2:$T$600,0)</f>
        <v>0.7</v>
      </c>
      <c r="Q552" s="14">
        <f>_xlfn.XLOOKUP(B552,DataSet!$N$2:$N$600,DataSet!$U$2:$U$600,0)</f>
        <v>-3.7879999999999998</v>
      </c>
      <c r="R552" s="16">
        <f>_xlfn.XLOOKUP(B552,DataSet!$N$2:$N$600,DataSet!$AB$2:$AB$600,0)</f>
        <v>5.6820000000000004</v>
      </c>
      <c r="S552" s="9">
        <f>_xlfn.XLOOKUP(B552,DataSet!$N$2:$N$600,DataSet!$AC$2:$AC$600,0)</f>
        <v>1.7046000000000003</v>
      </c>
    </row>
    <row r="553" spans="1:19" s="12" customFormat="1" x14ac:dyDescent="0.3">
      <c r="A553" s="27">
        <v>551</v>
      </c>
      <c r="B553" s="10" t="s">
        <v>1871</v>
      </c>
      <c r="C553" s="10" t="str">
        <f>_xlfn.XLOOKUP(B553,DataSet!$N$2:$N$600,DataSet!$AF$2:$AF$600,0)</f>
        <v>113173</v>
      </c>
      <c r="D553" s="10" t="str">
        <f>_xlfn.XLOOKUP(B553,DataSet!$N$2:$N$600,DataSet!$G$2:$G$600,0)</f>
        <v>Dean Katz</v>
      </c>
      <c r="E553" s="10" t="str">
        <f>_xlfn.XLOOKUP(B553,DataSet!$N$2:$N$600,DataSet!$F$2:$F$600,0)</f>
        <v>DK-13225</v>
      </c>
      <c r="F553" s="10" t="str">
        <f>_xlfn.XLOOKUP(B553,DataSet!$N$2:$N$600,DataSet!$W$2:$W$600,0)</f>
        <v>Corporate</v>
      </c>
      <c r="G553" s="13">
        <f>_xlfn.XLOOKUP(B553,DataSet!$N$2:$N$600,DataSet!$C$2:$C$600,0)</f>
        <v>42323</v>
      </c>
      <c r="H553" s="10" t="str">
        <f>_xlfn.XLOOKUP(B553,DataSet!$N$2:$N$600,DataSet!$I$2:$I$600,0)</f>
        <v>United States</v>
      </c>
      <c r="I553" s="10" t="str">
        <f>_xlfn.XLOOKUP(B553,DataSet!$N$2:$N$600,DataSet!$X$2:$X$600,0)</f>
        <v>Chicago - Illinois</v>
      </c>
      <c r="J553" s="10" t="str">
        <f>_xlfn.XLOOKUP(B553,DataSet!$N$2:$N$600,DataSet!$M$2:$M$600,0)</f>
        <v>Central</v>
      </c>
      <c r="K553" s="10" t="str">
        <f>_xlfn.XLOOKUP(B553,DataSet!$N$2:$N$600,DataSet!$O$2:$O$600,0)</f>
        <v>Office Supplies</v>
      </c>
      <c r="L553" s="10" t="str">
        <f>_xlfn.XLOOKUP(B553,DataSet!$N$2:$N$600,DataSet!$Y$2:$Y$600,0)</f>
        <v>Supplies</v>
      </c>
      <c r="M553" s="10" t="str">
        <f>_xlfn.XLOOKUP(B553,DataSet!$N$2:$N$600,DataSet!$Q$2:$Q$600,0)</f>
        <v>Staple remover</v>
      </c>
      <c r="N553" s="16">
        <f>_xlfn.XLOOKUP(B553,DataSet!$N$2:$N$600,DataSet!$AA$2:$AA$600,0)</f>
        <v>8.7200000000000006</v>
      </c>
      <c r="O553" s="10">
        <f>_xlfn.XLOOKUP(B553,DataSet!$N$2:$N$600,DataSet!$S$2:$S$600,0)</f>
        <v>5</v>
      </c>
      <c r="P553" s="15">
        <f>_xlfn.XLOOKUP(B553,DataSet!$N$2:$N$600,DataSet!$T$2:$T$600,0)</f>
        <v>0.2</v>
      </c>
      <c r="Q553" s="14">
        <f>_xlfn.XLOOKUP(B553,DataSet!$N$2:$N$600,DataSet!$U$2:$U$600,0)</f>
        <v>-1.744</v>
      </c>
      <c r="R553" s="16">
        <f>_xlfn.XLOOKUP(B553,DataSet!$N$2:$N$600,DataSet!$AB$2:$AB$600,0)</f>
        <v>43.6</v>
      </c>
      <c r="S553" s="9">
        <f>_xlfn.XLOOKUP(B553,DataSet!$N$2:$N$600,DataSet!$AC$2:$AC$600,0)</f>
        <v>34.880000000000003</v>
      </c>
    </row>
    <row r="554" spans="1:19" s="12" customFormat="1" x14ac:dyDescent="0.3">
      <c r="A554" s="27">
        <v>552</v>
      </c>
      <c r="B554" s="10" t="s">
        <v>1875</v>
      </c>
      <c r="C554" s="10" t="str">
        <f>_xlfn.XLOOKUP(B554,DataSet!$N$2:$N$600,DataSet!$AF$2:$AF$600,0)</f>
        <v>136406</v>
      </c>
      <c r="D554" s="10" t="str">
        <f>_xlfn.XLOOKUP(B554,DataSet!$N$2:$N$600,DataSet!$G$2:$G$600,0)</f>
        <v>Bill Donatelli</v>
      </c>
      <c r="E554" s="10" t="str">
        <f>_xlfn.XLOOKUP(B554,DataSet!$N$2:$N$600,DataSet!$F$2:$F$600,0)</f>
        <v>BD-11320</v>
      </c>
      <c r="F554" s="10" t="str">
        <f>_xlfn.XLOOKUP(B554,DataSet!$N$2:$N$600,DataSet!$W$2:$W$600,0)</f>
        <v>Consumer</v>
      </c>
      <c r="G554" s="13">
        <f>_xlfn.XLOOKUP(B554,DataSet!$N$2:$N$600,DataSet!$C$2:$C$600,0)</f>
        <v>42475</v>
      </c>
      <c r="H554" s="10" t="str">
        <f>_xlfn.XLOOKUP(B554,DataSet!$N$2:$N$600,DataSet!$I$2:$I$600,0)</f>
        <v>United States</v>
      </c>
      <c r="I554" s="10" t="str">
        <f>_xlfn.XLOOKUP(B554,DataSet!$N$2:$N$600,DataSet!$X$2:$X$600,0)</f>
        <v>San Francisco - California</v>
      </c>
      <c r="J554" s="10" t="str">
        <f>_xlfn.XLOOKUP(B554,DataSet!$N$2:$N$600,DataSet!$M$2:$M$600,0)</f>
        <v>West</v>
      </c>
      <c r="K554" s="10" t="str">
        <f>_xlfn.XLOOKUP(B554,DataSet!$N$2:$N$600,DataSet!$O$2:$O$600,0)</f>
        <v>Furniture</v>
      </c>
      <c r="L554" s="10" t="str">
        <f>_xlfn.XLOOKUP(B554,DataSet!$N$2:$N$600,DataSet!$Y$2:$Y$600,0)</f>
        <v>Chairs</v>
      </c>
      <c r="M554" s="10" t="str">
        <f>_xlfn.XLOOKUP(B554,DataSet!$N$2:$N$600,DataSet!$Q$2:$Q$600,0)</f>
        <v>HON 5400 Series Task Chairs for Big and Tall</v>
      </c>
      <c r="N554" s="16">
        <f>_xlfn.XLOOKUP(B554,DataSet!$N$2:$N$600,DataSet!$AA$2:$AA$600,0)</f>
        <v>1121.568</v>
      </c>
      <c r="O554" s="10">
        <f>_xlfn.XLOOKUP(B554,DataSet!$N$2:$N$600,DataSet!$S$2:$S$600,0)</f>
        <v>2</v>
      </c>
      <c r="P554" s="15">
        <f>_xlfn.XLOOKUP(B554,DataSet!$N$2:$N$600,DataSet!$T$2:$T$600,0)</f>
        <v>0.2</v>
      </c>
      <c r="Q554" s="14">
        <f>_xlfn.XLOOKUP(B554,DataSet!$N$2:$N$600,DataSet!$U$2:$U$600,0)</f>
        <v>0</v>
      </c>
      <c r="R554" s="16">
        <f>_xlfn.XLOOKUP(B554,DataSet!$N$2:$N$600,DataSet!$AB$2:$AB$600,0)</f>
        <v>2243.136</v>
      </c>
      <c r="S554" s="9">
        <f>_xlfn.XLOOKUP(B554,DataSet!$N$2:$N$600,DataSet!$AC$2:$AC$600,0)</f>
        <v>1794.5088000000001</v>
      </c>
    </row>
    <row r="555" spans="1:19" s="12" customFormat="1" x14ac:dyDescent="0.3">
      <c r="A555" s="27">
        <v>553</v>
      </c>
      <c r="B555" s="10" t="s">
        <v>1878</v>
      </c>
      <c r="C555" s="10" t="str">
        <f>_xlfn.XLOOKUP(B555,DataSet!$N$2:$N$600,DataSet!$AF$2:$AF$600,0)</f>
        <v>112774</v>
      </c>
      <c r="D555" s="10" t="str">
        <f>_xlfn.XLOOKUP(B555,DataSet!$N$2:$N$600,DataSet!$G$2:$G$600,0)</f>
        <v>Ryan Crowe</v>
      </c>
      <c r="E555" s="10" t="str">
        <f>_xlfn.XLOOKUP(B555,DataSet!$N$2:$N$600,DataSet!$F$2:$F$600,0)</f>
        <v>RC-19960</v>
      </c>
      <c r="F555" s="10" t="str">
        <f>_xlfn.XLOOKUP(B555,DataSet!$N$2:$N$600,DataSet!$W$2:$W$600,0)</f>
        <v>Consumer</v>
      </c>
      <c r="G555" s="13">
        <f>_xlfn.XLOOKUP(B555,DataSet!$N$2:$N$600,DataSet!$C$2:$C$600,0)</f>
        <v>42989</v>
      </c>
      <c r="H555" s="10" t="str">
        <f>_xlfn.XLOOKUP(B555,DataSet!$N$2:$N$600,DataSet!$I$2:$I$600,0)</f>
        <v>United States</v>
      </c>
      <c r="I555" s="10" t="str">
        <f>_xlfn.XLOOKUP(B555,DataSet!$N$2:$N$600,DataSet!$X$2:$X$600,0)</f>
        <v>Jacksonville - Florida</v>
      </c>
      <c r="J555" s="10" t="str">
        <f>_xlfn.XLOOKUP(B555,DataSet!$N$2:$N$600,DataSet!$M$2:$M$600,0)</f>
        <v>South</v>
      </c>
      <c r="K555" s="10" t="str">
        <f>_xlfn.XLOOKUP(B555,DataSet!$N$2:$N$600,DataSet!$O$2:$O$600,0)</f>
        <v>Furniture</v>
      </c>
      <c r="L555" s="10" t="str">
        <f>_xlfn.XLOOKUP(B555,DataSet!$N$2:$N$600,DataSet!$Y$2:$Y$600,0)</f>
        <v>Furnishings</v>
      </c>
      <c r="M555" s="10" t="str">
        <f>_xlfn.XLOOKUP(B555,DataSet!$N$2:$N$600,DataSet!$Q$2:$Q$600,0)</f>
        <v>Howard Miller 11-1/2" Diameter Grantwood Wall Clock</v>
      </c>
      <c r="N555" s="16">
        <f>_xlfn.XLOOKUP(B555,DataSet!$N$2:$N$600,DataSet!$AA$2:$AA$600,0)</f>
        <v>34.503999999999998</v>
      </c>
      <c r="O555" s="10">
        <f>_xlfn.XLOOKUP(B555,DataSet!$N$2:$N$600,DataSet!$S$2:$S$600,0)</f>
        <v>1</v>
      </c>
      <c r="P555" s="15">
        <f>_xlfn.XLOOKUP(B555,DataSet!$N$2:$N$600,DataSet!$T$2:$T$600,0)</f>
        <v>0.2</v>
      </c>
      <c r="Q555" s="14">
        <f>_xlfn.XLOOKUP(B555,DataSet!$N$2:$N$600,DataSet!$U$2:$U$600,0)</f>
        <v>6.0381999999999998</v>
      </c>
      <c r="R555" s="16">
        <f>_xlfn.XLOOKUP(B555,DataSet!$N$2:$N$600,DataSet!$AB$2:$AB$600,0)</f>
        <v>34.503999999999998</v>
      </c>
      <c r="S555" s="9">
        <f>_xlfn.XLOOKUP(B555,DataSet!$N$2:$N$600,DataSet!$AC$2:$AC$600,0)</f>
        <v>27.603200000000001</v>
      </c>
    </row>
    <row r="556" spans="1:19" s="12" customFormat="1" x14ac:dyDescent="0.3">
      <c r="A556" s="27">
        <v>554</v>
      </c>
      <c r="B556" s="10" t="s">
        <v>1883</v>
      </c>
      <c r="C556" s="10" t="str">
        <f>_xlfn.XLOOKUP(B556,DataSet!$N$2:$N$600,DataSet!$AF$2:$AF$600,0)</f>
        <v>101945</v>
      </c>
      <c r="D556" s="10" t="str">
        <f>_xlfn.XLOOKUP(B556,DataSet!$N$2:$N$600,DataSet!$G$2:$G$600,0)</f>
        <v>Greg Tran</v>
      </c>
      <c r="E556" s="10" t="str">
        <f>_xlfn.XLOOKUP(B556,DataSet!$N$2:$N$600,DataSet!$F$2:$F$600,0)</f>
        <v>GT-14710</v>
      </c>
      <c r="F556" s="10" t="str">
        <f>_xlfn.XLOOKUP(B556,DataSet!$N$2:$N$600,DataSet!$W$2:$W$600,0)</f>
        <v>Consumer</v>
      </c>
      <c r="G556" s="13">
        <f>_xlfn.XLOOKUP(B556,DataSet!$N$2:$N$600,DataSet!$C$2:$C$600,0)</f>
        <v>43063</v>
      </c>
      <c r="H556" s="10" t="str">
        <f>_xlfn.XLOOKUP(B556,DataSet!$N$2:$N$600,DataSet!$I$2:$I$600,0)</f>
        <v>United States</v>
      </c>
      <c r="I556" s="10" t="str">
        <f>_xlfn.XLOOKUP(B556,DataSet!$N$2:$N$600,DataSet!$X$2:$X$600,0)</f>
        <v>Houston - Texas</v>
      </c>
      <c r="J556" s="10" t="str">
        <f>_xlfn.XLOOKUP(B556,DataSet!$N$2:$N$600,DataSet!$M$2:$M$600,0)</f>
        <v>Central</v>
      </c>
      <c r="K556" s="10" t="str">
        <f>_xlfn.XLOOKUP(B556,DataSet!$N$2:$N$600,DataSet!$O$2:$O$600,0)</f>
        <v>Office Supplies</v>
      </c>
      <c r="L556" s="10" t="str">
        <f>_xlfn.XLOOKUP(B556,DataSet!$N$2:$N$600,DataSet!$Y$2:$Y$600,0)</f>
        <v>Fasteners</v>
      </c>
      <c r="M556" s="10" t="str">
        <f>_xlfn.XLOOKUP(B556,DataSet!$N$2:$N$600,DataSet!$Q$2:$Q$600,0)</f>
        <v>Advantus T-Pin Paper Clips</v>
      </c>
      <c r="N556" s="16">
        <f>_xlfn.XLOOKUP(B556,DataSet!$N$2:$N$600,DataSet!$AA$2:$AA$600,0)</f>
        <v>10.824</v>
      </c>
      <c r="O556" s="10">
        <f>_xlfn.XLOOKUP(B556,DataSet!$N$2:$N$600,DataSet!$S$2:$S$600,0)</f>
        <v>3</v>
      </c>
      <c r="P556" s="15">
        <f>_xlfn.XLOOKUP(B556,DataSet!$N$2:$N$600,DataSet!$T$2:$T$600,0)</f>
        <v>0.2</v>
      </c>
      <c r="Q556" s="14">
        <f>_xlfn.XLOOKUP(B556,DataSet!$N$2:$N$600,DataSet!$U$2:$U$600,0)</f>
        <v>2.5707</v>
      </c>
      <c r="R556" s="16">
        <f>_xlfn.XLOOKUP(B556,DataSet!$N$2:$N$600,DataSet!$AB$2:$AB$600,0)</f>
        <v>32.472000000000001</v>
      </c>
      <c r="S556" s="9">
        <f>_xlfn.XLOOKUP(B556,DataSet!$N$2:$N$600,DataSet!$AC$2:$AC$600,0)</f>
        <v>25.977600000000002</v>
      </c>
    </row>
    <row r="557" spans="1:19" s="12" customFormat="1" x14ac:dyDescent="0.3">
      <c r="A557" s="27">
        <v>555</v>
      </c>
      <c r="B557" s="10" t="s">
        <v>1887</v>
      </c>
      <c r="C557" s="10" t="str">
        <f>_xlfn.XLOOKUP(B557,DataSet!$N$2:$N$600,DataSet!$AF$2:$AF$600,0)</f>
        <v>100650</v>
      </c>
      <c r="D557" s="10" t="str">
        <f>_xlfn.XLOOKUP(B557,DataSet!$N$2:$N$600,DataSet!$G$2:$G$600,0)</f>
        <v>Dean Katz</v>
      </c>
      <c r="E557" s="10" t="str">
        <f>_xlfn.XLOOKUP(B557,DataSet!$N$2:$N$600,DataSet!$F$2:$F$600,0)</f>
        <v>DK-13225</v>
      </c>
      <c r="F557" s="10" t="str">
        <f>_xlfn.XLOOKUP(B557,DataSet!$N$2:$N$600,DataSet!$W$2:$W$600,0)</f>
        <v>Corporate</v>
      </c>
      <c r="G557" s="13">
        <f>_xlfn.XLOOKUP(B557,DataSet!$N$2:$N$600,DataSet!$C$2:$C$600,0)</f>
        <v>42915</v>
      </c>
      <c r="H557" s="10" t="str">
        <f>_xlfn.XLOOKUP(B557,DataSet!$N$2:$N$600,DataSet!$I$2:$I$600,0)</f>
        <v>United States</v>
      </c>
      <c r="I557" s="10" t="str">
        <f>_xlfn.XLOOKUP(B557,DataSet!$N$2:$N$600,DataSet!$X$2:$X$600,0)</f>
        <v>Anaheim - California</v>
      </c>
      <c r="J557" s="10" t="str">
        <f>_xlfn.XLOOKUP(B557,DataSet!$N$2:$N$600,DataSet!$M$2:$M$600,0)</f>
        <v>West</v>
      </c>
      <c r="K557" s="10" t="str">
        <f>_xlfn.XLOOKUP(B557,DataSet!$N$2:$N$600,DataSet!$O$2:$O$600,0)</f>
        <v>Office Supplies</v>
      </c>
      <c r="L557" s="10" t="str">
        <f>_xlfn.XLOOKUP(B557,DataSet!$N$2:$N$600,DataSet!$Y$2:$Y$600,0)</f>
        <v>Storage</v>
      </c>
      <c r="M557" s="10" t="str">
        <f>_xlfn.XLOOKUP(B557,DataSet!$N$2:$N$600,DataSet!$Q$2:$Q$600,0)</f>
        <v>Tennsco 16-Compartment Lockers with Coat Rack</v>
      </c>
      <c r="N557" s="16">
        <f>_xlfn.XLOOKUP(B557,DataSet!$N$2:$N$600,DataSet!$AA$2:$AA$600,0)</f>
        <v>1295.78</v>
      </c>
      <c r="O557" s="10">
        <f>_xlfn.XLOOKUP(B557,DataSet!$N$2:$N$600,DataSet!$S$2:$S$600,0)</f>
        <v>2</v>
      </c>
      <c r="P557" s="15">
        <f>_xlfn.XLOOKUP(B557,DataSet!$N$2:$N$600,DataSet!$T$2:$T$600,0)</f>
        <v>0</v>
      </c>
      <c r="Q557" s="14">
        <f>_xlfn.XLOOKUP(B557,DataSet!$N$2:$N$600,DataSet!$U$2:$U$600,0)</f>
        <v>310.98719999999997</v>
      </c>
      <c r="R557" s="16">
        <f>_xlfn.XLOOKUP(B557,DataSet!$N$2:$N$600,DataSet!$AB$2:$AB$600,0)</f>
        <v>2591.56</v>
      </c>
      <c r="S557" s="9">
        <f>_xlfn.XLOOKUP(B557,DataSet!$N$2:$N$600,DataSet!$AC$2:$AC$600,0)</f>
        <v>2591.56</v>
      </c>
    </row>
    <row r="558" spans="1:19" s="12" customFormat="1" x14ac:dyDescent="0.3">
      <c r="A558" s="27">
        <v>556</v>
      </c>
      <c r="B558" s="10" t="s">
        <v>1892</v>
      </c>
      <c r="C558" s="10" t="str">
        <f>_xlfn.XLOOKUP(B558,DataSet!$N$2:$N$600,DataSet!$AF$2:$AF$600,0)</f>
        <v>155852</v>
      </c>
      <c r="D558" s="10" t="str">
        <f>_xlfn.XLOOKUP(B558,DataSet!$N$2:$N$600,DataSet!$G$2:$G$600,0)</f>
        <v>Ashley Jarboe</v>
      </c>
      <c r="E558" s="10" t="str">
        <f>_xlfn.XLOOKUP(B558,DataSet!$N$2:$N$600,DataSet!$F$2:$F$600,0)</f>
        <v>AJ-10945</v>
      </c>
      <c r="F558" s="10" t="str">
        <f>_xlfn.XLOOKUP(B558,DataSet!$N$2:$N$600,DataSet!$W$2:$W$600,0)</f>
        <v>Consumer</v>
      </c>
      <c r="G558" s="13">
        <f>_xlfn.XLOOKUP(B558,DataSet!$N$2:$N$600,DataSet!$C$2:$C$600,0)</f>
        <v>41701</v>
      </c>
      <c r="H558" s="10" t="str">
        <f>_xlfn.XLOOKUP(B558,DataSet!$N$2:$N$600,DataSet!$I$2:$I$600,0)</f>
        <v>United States</v>
      </c>
      <c r="I558" s="10" t="str">
        <f>_xlfn.XLOOKUP(B558,DataSet!$N$2:$N$600,DataSet!$X$2:$X$600,0)</f>
        <v>Wilmington - North Carolina</v>
      </c>
      <c r="J558" s="10" t="str">
        <f>_xlfn.XLOOKUP(B558,DataSet!$N$2:$N$600,DataSet!$M$2:$M$600,0)</f>
        <v>South</v>
      </c>
      <c r="K558" s="10" t="str">
        <f>_xlfn.XLOOKUP(B558,DataSet!$N$2:$N$600,DataSet!$O$2:$O$600,0)</f>
        <v>Office Supplies</v>
      </c>
      <c r="L558" s="10" t="str">
        <f>_xlfn.XLOOKUP(B558,DataSet!$N$2:$N$600,DataSet!$Y$2:$Y$600,0)</f>
        <v>Art</v>
      </c>
      <c r="M558" s="10" t="str">
        <f>_xlfn.XLOOKUP(B558,DataSet!$N$2:$N$600,DataSet!$Q$2:$Q$600,0)</f>
        <v>Zebra Zazzle Fluorescent Highlighters</v>
      </c>
      <c r="N558" s="16">
        <f>_xlfn.XLOOKUP(B558,DataSet!$N$2:$N$600,DataSet!$AA$2:$AA$600,0)</f>
        <v>19.456</v>
      </c>
      <c r="O558" s="10">
        <f>_xlfn.XLOOKUP(B558,DataSet!$N$2:$N$600,DataSet!$S$2:$S$600,0)</f>
        <v>4</v>
      </c>
      <c r="P558" s="15">
        <f>_xlfn.XLOOKUP(B558,DataSet!$N$2:$N$600,DataSet!$T$2:$T$600,0)</f>
        <v>0.2</v>
      </c>
      <c r="Q558" s="14">
        <f>_xlfn.XLOOKUP(B558,DataSet!$N$2:$N$600,DataSet!$U$2:$U$600,0)</f>
        <v>3.4047999999999998</v>
      </c>
      <c r="R558" s="16">
        <f>_xlfn.XLOOKUP(B558,DataSet!$N$2:$N$600,DataSet!$AB$2:$AB$600,0)</f>
        <v>77.823999999999998</v>
      </c>
      <c r="S558" s="9">
        <f>_xlfn.XLOOKUP(B558,DataSet!$N$2:$N$600,DataSet!$AC$2:$AC$600,0)</f>
        <v>62.2592</v>
      </c>
    </row>
    <row r="559" spans="1:19" s="12" customFormat="1" x14ac:dyDescent="0.3">
      <c r="A559" s="27">
        <v>557</v>
      </c>
      <c r="B559" s="10" t="s">
        <v>1897</v>
      </c>
      <c r="C559" s="10" t="str">
        <f>_xlfn.XLOOKUP(B559,DataSet!$N$2:$N$600,DataSet!$AF$2:$AF$600,0)</f>
        <v>113243</v>
      </c>
      <c r="D559" s="10" t="str">
        <f>_xlfn.XLOOKUP(B559,DataSet!$N$2:$N$600,DataSet!$G$2:$G$600,0)</f>
        <v>Olvera Toch</v>
      </c>
      <c r="E559" s="10" t="str">
        <f>_xlfn.XLOOKUP(B559,DataSet!$N$2:$N$600,DataSet!$F$2:$F$600,0)</f>
        <v>OT-18730</v>
      </c>
      <c r="F559" s="10" t="str">
        <f>_xlfn.XLOOKUP(B559,DataSet!$N$2:$N$600,DataSet!$W$2:$W$600,0)</f>
        <v>Consumer</v>
      </c>
      <c r="G559" s="13">
        <f>_xlfn.XLOOKUP(B559,DataSet!$N$2:$N$600,DataSet!$C$2:$C$600,0)</f>
        <v>42531</v>
      </c>
      <c r="H559" s="10" t="str">
        <f>_xlfn.XLOOKUP(B559,DataSet!$N$2:$N$600,DataSet!$I$2:$I$600,0)</f>
        <v>United States</v>
      </c>
      <c r="I559" s="10" t="str">
        <f>_xlfn.XLOOKUP(B559,DataSet!$N$2:$N$600,DataSet!$X$2:$X$600,0)</f>
        <v>Los Angeles - California</v>
      </c>
      <c r="J559" s="10" t="str">
        <f>_xlfn.XLOOKUP(B559,DataSet!$N$2:$N$600,DataSet!$M$2:$M$600,0)</f>
        <v>West</v>
      </c>
      <c r="K559" s="10" t="str">
        <f>_xlfn.XLOOKUP(B559,DataSet!$N$2:$N$600,DataSet!$O$2:$O$600,0)</f>
        <v>Office Supplies</v>
      </c>
      <c r="L559" s="10" t="str">
        <f>_xlfn.XLOOKUP(B559,DataSet!$N$2:$N$600,DataSet!$Y$2:$Y$600,0)</f>
        <v>Labels</v>
      </c>
      <c r="M559" s="10" t="str">
        <f>_xlfn.XLOOKUP(B559,DataSet!$N$2:$N$600,DataSet!$Q$2:$Q$600,0)</f>
        <v>Avery 473</v>
      </c>
      <c r="N559" s="16">
        <f>_xlfn.XLOOKUP(B559,DataSet!$N$2:$N$600,DataSet!$AA$2:$AA$600,0)</f>
        <v>20.7</v>
      </c>
      <c r="O559" s="10">
        <f>_xlfn.XLOOKUP(B559,DataSet!$N$2:$N$600,DataSet!$S$2:$S$600,0)</f>
        <v>2</v>
      </c>
      <c r="P559" s="15">
        <f>_xlfn.XLOOKUP(B559,DataSet!$N$2:$N$600,DataSet!$T$2:$T$600,0)</f>
        <v>0</v>
      </c>
      <c r="Q559" s="14">
        <f>_xlfn.XLOOKUP(B559,DataSet!$N$2:$N$600,DataSet!$U$2:$U$600,0)</f>
        <v>9.9359999999999999</v>
      </c>
      <c r="R559" s="16">
        <f>_xlfn.XLOOKUP(B559,DataSet!$N$2:$N$600,DataSet!$AB$2:$AB$600,0)</f>
        <v>41.4</v>
      </c>
      <c r="S559" s="9">
        <f>_xlfn.XLOOKUP(B559,DataSet!$N$2:$N$600,DataSet!$AC$2:$AC$600,0)</f>
        <v>41.4</v>
      </c>
    </row>
    <row r="560" spans="1:19" s="12" customFormat="1" x14ac:dyDescent="0.3">
      <c r="A560" s="27">
        <v>558</v>
      </c>
      <c r="B560" s="10" t="s">
        <v>1899</v>
      </c>
      <c r="C560" s="10" t="str">
        <f>_xlfn.XLOOKUP(B560,DataSet!$N$2:$N$600,DataSet!$AF$2:$AF$600,0)</f>
        <v>113243</v>
      </c>
      <c r="D560" s="10" t="str">
        <f>_xlfn.XLOOKUP(B560,DataSet!$N$2:$N$600,DataSet!$G$2:$G$600,0)</f>
        <v>Olvera Toch</v>
      </c>
      <c r="E560" s="10" t="str">
        <f>_xlfn.XLOOKUP(B560,DataSet!$N$2:$N$600,DataSet!$F$2:$F$600,0)</f>
        <v>OT-18730</v>
      </c>
      <c r="F560" s="10" t="str">
        <f>_xlfn.XLOOKUP(B560,DataSet!$N$2:$N$600,DataSet!$W$2:$W$600,0)</f>
        <v>Consumer</v>
      </c>
      <c r="G560" s="13">
        <f>_xlfn.XLOOKUP(B560,DataSet!$N$2:$N$600,DataSet!$C$2:$C$600,0)</f>
        <v>42531</v>
      </c>
      <c r="H560" s="10" t="str">
        <f>_xlfn.XLOOKUP(B560,DataSet!$N$2:$N$600,DataSet!$I$2:$I$600,0)</f>
        <v>United States</v>
      </c>
      <c r="I560" s="10" t="str">
        <f>_xlfn.XLOOKUP(B560,DataSet!$N$2:$N$600,DataSet!$X$2:$X$600,0)</f>
        <v>Los Angeles - California</v>
      </c>
      <c r="J560" s="10" t="str">
        <f>_xlfn.XLOOKUP(B560,DataSet!$N$2:$N$600,DataSet!$M$2:$M$600,0)</f>
        <v>West</v>
      </c>
      <c r="K560" s="10" t="str">
        <f>_xlfn.XLOOKUP(B560,DataSet!$N$2:$N$600,DataSet!$O$2:$O$600,0)</f>
        <v>Furniture</v>
      </c>
      <c r="L560" s="10" t="str">
        <f>_xlfn.XLOOKUP(B560,DataSet!$N$2:$N$600,DataSet!$Y$2:$Y$600,0)</f>
        <v>Tables</v>
      </c>
      <c r="M560" s="10" t="str">
        <f>_xlfn.XLOOKUP(B560,DataSet!$N$2:$N$600,DataSet!$Q$2:$Q$600,0)</f>
        <v>Bretford “Just In Time” Height-Adjustable Multi-Task Work Tables</v>
      </c>
      <c r="N560" s="16">
        <f>_xlfn.XLOOKUP(B560,DataSet!$N$2:$N$600,DataSet!$AA$2:$AA$600,0)</f>
        <v>1335.68</v>
      </c>
      <c r="O560" s="10">
        <f>_xlfn.XLOOKUP(B560,DataSet!$N$2:$N$600,DataSet!$S$2:$S$600,0)</f>
        <v>4</v>
      </c>
      <c r="P560" s="15">
        <f>_xlfn.XLOOKUP(B560,DataSet!$N$2:$N$600,DataSet!$T$2:$T$600,0)</f>
        <v>0.2</v>
      </c>
      <c r="Q560" s="14">
        <f>_xlfn.XLOOKUP(B560,DataSet!$N$2:$N$600,DataSet!$U$2:$U$600,0)</f>
        <v>-217.048</v>
      </c>
      <c r="R560" s="16">
        <f>_xlfn.XLOOKUP(B560,DataSet!$N$2:$N$600,DataSet!$AB$2:$AB$600,0)</f>
        <v>5342.72</v>
      </c>
      <c r="S560" s="9">
        <f>_xlfn.XLOOKUP(B560,DataSet!$N$2:$N$600,DataSet!$AC$2:$AC$600,0)</f>
        <v>4274.1760000000004</v>
      </c>
    </row>
    <row r="561" spans="1:19" s="12" customFormat="1" x14ac:dyDescent="0.3">
      <c r="A561" s="27">
        <v>559</v>
      </c>
      <c r="B561" s="10" t="s">
        <v>1901</v>
      </c>
      <c r="C561" s="10" t="str">
        <f>_xlfn.XLOOKUP(B561,DataSet!$N$2:$N$600,DataSet!$AF$2:$AF$600,0)</f>
        <v>113243</v>
      </c>
      <c r="D561" s="10" t="str">
        <f>_xlfn.XLOOKUP(B561,DataSet!$N$2:$N$600,DataSet!$G$2:$G$600,0)</f>
        <v>Olvera Toch</v>
      </c>
      <c r="E561" s="10" t="str">
        <f>_xlfn.XLOOKUP(B561,DataSet!$N$2:$N$600,DataSet!$F$2:$F$600,0)</f>
        <v>OT-18730</v>
      </c>
      <c r="F561" s="10" t="str">
        <f>_xlfn.XLOOKUP(B561,DataSet!$N$2:$N$600,DataSet!$W$2:$W$600,0)</f>
        <v>Consumer</v>
      </c>
      <c r="G561" s="13">
        <f>_xlfn.XLOOKUP(B561,DataSet!$N$2:$N$600,DataSet!$C$2:$C$600,0)</f>
        <v>42531</v>
      </c>
      <c r="H561" s="10" t="str">
        <f>_xlfn.XLOOKUP(B561,DataSet!$N$2:$N$600,DataSet!$I$2:$I$600,0)</f>
        <v>United States</v>
      </c>
      <c r="I561" s="10" t="str">
        <f>_xlfn.XLOOKUP(B561,DataSet!$N$2:$N$600,DataSet!$X$2:$X$600,0)</f>
        <v>Los Angeles - California</v>
      </c>
      <c r="J561" s="10" t="str">
        <f>_xlfn.XLOOKUP(B561,DataSet!$N$2:$N$600,DataSet!$M$2:$M$600,0)</f>
        <v>West</v>
      </c>
      <c r="K561" s="10" t="str">
        <f>_xlfn.XLOOKUP(B561,DataSet!$N$2:$N$600,DataSet!$O$2:$O$600,0)</f>
        <v>Office Supplies</v>
      </c>
      <c r="L561" s="10" t="str">
        <f>_xlfn.XLOOKUP(B561,DataSet!$N$2:$N$600,DataSet!$Y$2:$Y$600,0)</f>
        <v>Paper</v>
      </c>
      <c r="M561" s="10" t="str">
        <f>_xlfn.XLOOKUP(B561,DataSet!$N$2:$N$600,DataSet!$Q$2:$Q$600,0)</f>
        <v>Xerox 226</v>
      </c>
      <c r="N561" s="16">
        <f>_xlfn.XLOOKUP(B561,DataSet!$N$2:$N$600,DataSet!$AA$2:$AA$600,0)</f>
        <v>32.4</v>
      </c>
      <c r="O561" s="10">
        <f>_xlfn.XLOOKUP(B561,DataSet!$N$2:$N$600,DataSet!$S$2:$S$600,0)</f>
        <v>5</v>
      </c>
      <c r="P561" s="15">
        <f>_xlfn.XLOOKUP(B561,DataSet!$N$2:$N$600,DataSet!$T$2:$T$600,0)</f>
        <v>0</v>
      </c>
      <c r="Q561" s="14">
        <f>_xlfn.XLOOKUP(B561,DataSet!$N$2:$N$600,DataSet!$U$2:$U$600,0)</f>
        <v>15.552</v>
      </c>
      <c r="R561" s="16">
        <f>_xlfn.XLOOKUP(B561,DataSet!$N$2:$N$600,DataSet!$AB$2:$AB$600,0)</f>
        <v>162</v>
      </c>
      <c r="S561" s="9">
        <f>_xlfn.XLOOKUP(B561,DataSet!$N$2:$N$600,DataSet!$AC$2:$AC$600,0)</f>
        <v>162</v>
      </c>
    </row>
    <row r="562" spans="1:19" s="12" customFormat="1" x14ac:dyDescent="0.3">
      <c r="A562" s="27">
        <v>560</v>
      </c>
      <c r="B562" s="10" t="s">
        <v>1495</v>
      </c>
      <c r="C562" s="10" t="str">
        <f>_xlfn.XLOOKUP(B562,DataSet!$N$2:$N$600,DataSet!$AF$2:$AF$600,0)</f>
        <v>149160</v>
      </c>
      <c r="D562" s="10" t="str">
        <f>_xlfn.XLOOKUP(B562,DataSet!$N$2:$N$600,DataSet!$G$2:$G$600,0)</f>
        <v>Janet Molinari</v>
      </c>
      <c r="E562" s="10" t="str">
        <f>_xlfn.XLOOKUP(B562,DataSet!$N$2:$N$600,DataSet!$F$2:$F$600,0)</f>
        <v>JM-15265</v>
      </c>
      <c r="F562" s="10" t="str">
        <f>_xlfn.XLOOKUP(B562,DataSet!$N$2:$N$600,DataSet!$W$2:$W$600,0)</f>
        <v>Corporate</v>
      </c>
      <c r="G562" s="13">
        <f>_xlfn.XLOOKUP(B562,DataSet!$N$2:$N$600,DataSet!$C$2:$C$600,0)</f>
        <v>43062</v>
      </c>
      <c r="H562" s="10" t="str">
        <f>_xlfn.XLOOKUP(B562,DataSet!$N$2:$N$600,DataSet!$I$2:$I$600,0)</f>
        <v>United States</v>
      </c>
      <c r="I562" s="10" t="str">
        <f>_xlfn.XLOOKUP(B562,DataSet!$N$2:$N$600,DataSet!$X$2:$X$600,0)</f>
        <v>Canton - Michigan</v>
      </c>
      <c r="J562" s="10" t="str">
        <f>_xlfn.XLOOKUP(B562,DataSet!$N$2:$N$600,DataSet!$M$2:$M$600,0)</f>
        <v>Central</v>
      </c>
      <c r="K562" s="10" t="str">
        <f>_xlfn.XLOOKUP(B562,DataSet!$N$2:$N$600,DataSet!$O$2:$O$600,0)</f>
        <v>Furniture</v>
      </c>
      <c r="L562" s="10" t="str">
        <f>_xlfn.XLOOKUP(B562,DataSet!$N$2:$N$600,DataSet!$Y$2:$Y$600,0)</f>
        <v>Furnishings</v>
      </c>
      <c r="M562" s="10" t="str">
        <f>_xlfn.XLOOKUP(B562,DataSet!$N$2:$N$600,DataSet!$Q$2:$Q$600,0)</f>
        <v>Coloredge Poster Frame</v>
      </c>
      <c r="N562" s="16">
        <f>_xlfn.XLOOKUP(B562,DataSet!$N$2:$N$600,DataSet!$AA$2:$AA$600,0)</f>
        <v>28.4</v>
      </c>
      <c r="O562" s="10">
        <f>_xlfn.XLOOKUP(B562,DataSet!$N$2:$N$600,DataSet!$S$2:$S$600,0)</f>
        <v>2</v>
      </c>
      <c r="P562" s="15">
        <f>_xlfn.XLOOKUP(B562,DataSet!$N$2:$N$600,DataSet!$T$2:$T$600,0)</f>
        <v>0</v>
      </c>
      <c r="Q562" s="14">
        <f>_xlfn.XLOOKUP(B562,DataSet!$N$2:$N$600,DataSet!$U$2:$U$600,0)</f>
        <v>11.076000000000001</v>
      </c>
      <c r="R562" s="16">
        <f>_xlfn.XLOOKUP(B562,DataSet!$N$2:$N$600,DataSet!$AB$2:$AB$600,0)</f>
        <v>56.8</v>
      </c>
      <c r="S562" s="9">
        <f>_xlfn.XLOOKUP(B562,DataSet!$N$2:$N$600,DataSet!$AC$2:$AC$600,0)</f>
        <v>56.8</v>
      </c>
    </row>
    <row r="563" spans="1:19" s="12" customFormat="1" x14ac:dyDescent="0.3">
      <c r="A563" s="27">
        <v>561</v>
      </c>
      <c r="B563" s="10" t="s">
        <v>1906</v>
      </c>
      <c r="C563" s="10" t="str">
        <f>_xlfn.XLOOKUP(B563,DataSet!$N$2:$N$600,DataSet!$AF$2:$AF$600,0)</f>
        <v>118731</v>
      </c>
      <c r="D563" s="10" t="str">
        <f>_xlfn.XLOOKUP(B563,DataSet!$N$2:$N$600,DataSet!$G$2:$G$600,0)</f>
        <v>Liz Pelletier</v>
      </c>
      <c r="E563" s="10" t="str">
        <f>_xlfn.XLOOKUP(B563,DataSet!$N$2:$N$600,DataSet!$F$2:$F$600,0)</f>
        <v>LP-17080</v>
      </c>
      <c r="F563" s="10" t="str">
        <f>_xlfn.XLOOKUP(B563,DataSet!$N$2:$N$600,DataSet!$W$2:$W$600,0)</f>
        <v>Consumer</v>
      </c>
      <c r="G563" s="13">
        <f>_xlfn.XLOOKUP(B563,DataSet!$N$2:$N$600,DataSet!$C$2:$C$600,0)</f>
        <v>43059</v>
      </c>
      <c r="H563" s="10" t="str">
        <f>_xlfn.XLOOKUP(B563,DataSet!$N$2:$N$600,DataSet!$I$2:$I$600,0)</f>
        <v>United States</v>
      </c>
      <c r="I563" s="10" t="str">
        <f>_xlfn.XLOOKUP(B563,DataSet!$N$2:$N$600,DataSet!$X$2:$X$600,0)</f>
        <v>San Francisco - California</v>
      </c>
      <c r="J563" s="10" t="str">
        <f>_xlfn.XLOOKUP(B563,DataSet!$N$2:$N$600,DataSet!$M$2:$M$600,0)</f>
        <v>West</v>
      </c>
      <c r="K563" s="10" t="str">
        <f>_xlfn.XLOOKUP(B563,DataSet!$N$2:$N$600,DataSet!$O$2:$O$600,0)</f>
        <v>Office Supplies</v>
      </c>
      <c r="L563" s="10" t="str">
        <f>_xlfn.XLOOKUP(B563,DataSet!$N$2:$N$600,DataSet!$Y$2:$Y$600,0)</f>
        <v>Binders</v>
      </c>
      <c r="M563" s="10" t="str">
        <f>_xlfn.XLOOKUP(B563,DataSet!$N$2:$N$600,DataSet!$Q$2:$Q$600,0)</f>
        <v>GBC Prepunched Paper, 19-Hole, for Binding Systems, 24-lb</v>
      </c>
      <c r="N563" s="16">
        <f>_xlfn.XLOOKUP(B563,DataSet!$N$2:$N$600,DataSet!$AA$2:$AA$600,0)</f>
        <v>84.055999999999997</v>
      </c>
      <c r="O563" s="10">
        <f>_xlfn.XLOOKUP(B563,DataSet!$N$2:$N$600,DataSet!$S$2:$S$600,0)</f>
        <v>7</v>
      </c>
      <c r="P563" s="15">
        <f>_xlfn.XLOOKUP(B563,DataSet!$N$2:$N$600,DataSet!$T$2:$T$600,0)</f>
        <v>0.2</v>
      </c>
      <c r="Q563" s="14">
        <f>_xlfn.XLOOKUP(B563,DataSet!$N$2:$N$600,DataSet!$U$2:$U$600,0)</f>
        <v>27.318200000000001</v>
      </c>
      <c r="R563" s="16">
        <f>_xlfn.XLOOKUP(B563,DataSet!$N$2:$N$600,DataSet!$AB$2:$AB$600,0)</f>
        <v>588.39199999999994</v>
      </c>
      <c r="S563" s="9">
        <f>_xlfn.XLOOKUP(B563,DataSet!$N$2:$N$600,DataSet!$AC$2:$AC$600,0)</f>
        <v>470.71359999999999</v>
      </c>
    </row>
    <row r="564" spans="1:19" s="12" customFormat="1" x14ac:dyDescent="0.3">
      <c r="A564" s="27">
        <v>562</v>
      </c>
      <c r="B564" s="10" t="s">
        <v>1911</v>
      </c>
      <c r="C564" s="10" t="str">
        <f>_xlfn.XLOOKUP(B564,DataSet!$N$2:$N$600,DataSet!$AF$2:$AF$600,0)</f>
        <v>145576</v>
      </c>
      <c r="D564" s="10" t="str">
        <f>_xlfn.XLOOKUP(B564,DataSet!$N$2:$N$600,DataSet!$G$2:$G$600,0)</f>
        <v>Cynthia Arntzen</v>
      </c>
      <c r="E564" s="10" t="str">
        <f>_xlfn.XLOOKUP(B564,DataSet!$N$2:$N$600,DataSet!$F$2:$F$600,0)</f>
        <v>CA-12775</v>
      </c>
      <c r="F564" s="10" t="str">
        <f>_xlfn.XLOOKUP(B564,DataSet!$N$2:$N$600,DataSet!$W$2:$W$600,0)</f>
        <v>Consumer</v>
      </c>
      <c r="G564" s="13">
        <f>_xlfn.XLOOKUP(B564,DataSet!$N$2:$N$600,DataSet!$C$2:$C$600,0)</f>
        <v>41896</v>
      </c>
      <c r="H564" s="10" t="str">
        <f>_xlfn.XLOOKUP(B564,DataSet!$N$2:$N$600,DataSet!$I$2:$I$600,0)</f>
        <v>United States</v>
      </c>
      <c r="I564" s="10" t="str">
        <f>_xlfn.XLOOKUP(B564,DataSet!$N$2:$N$600,DataSet!$X$2:$X$600,0)</f>
        <v>Tampa - Florida</v>
      </c>
      <c r="J564" s="10" t="str">
        <f>_xlfn.XLOOKUP(B564,DataSet!$N$2:$N$600,DataSet!$M$2:$M$600,0)</f>
        <v>South</v>
      </c>
      <c r="K564" s="10" t="str">
        <f>_xlfn.XLOOKUP(B564,DataSet!$N$2:$N$600,DataSet!$O$2:$O$600,0)</f>
        <v>Office Supplies</v>
      </c>
      <c r="L564" s="10" t="str">
        <f>_xlfn.XLOOKUP(B564,DataSet!$N$2:$N$600,DataSet!$Y$2:$Y$600,0)</f>
        <v>Appliances</v>
      </c>
      <c r="M564" s="10" t="str">
        <f>_xlfn.XLOOKUP(B564,DataSet!$N$2:$N$600,DataSet!$Q$2:$Q$600,0)</f>
        <v>Sanitaire Vibra Groomer IR Commercial Upright Vacuum, Replacement Belts</v>
      </c>
      <c r="N564" s="16">
        <f>_xlfn.XLOOKUP(B564,DataSet!$N$2:$N$600,DataSet!$AA$2:$AA$600,0)</f>
        <v>13</v>
      </c>
      <c r="O564" s="10">
        <f>_xlfn.XLOOKUP(B564,DataSet!$N$2:$N$600,DataSet!$S$2:$S$600,0)</f>
        <v>5</v>
      </c>
      <c r="P564" s="15">
        <f>_xlfn.XLOOKUP(B564,DataSet!$N$2:$N$600,DataSet!$T$2:$T$600,0)</f>
        <v>0.2</v>
      </c>
      <c r="Q564" s="14">
        <f>_xlfn.XLOOKUP(B564,DataSet!$N$2:$N$600,DataSet!$U$2:$U$600,0)</f>
        <v>1.3</v>
      </c>
      <c r="R564" s="16">
        <f>_xlfn.XLOOKUP(B564,DataSet!$N$2:$N$600,DataSet!$AB$2:$AB$600,0)</f>
        <v>65</v>
      </c>
      <c r="S564" s="9">
        <f>_xlfn.XLOOKUP(B564,DataSet!$N$2:$N$600,DataSet!$AC$2:$AC$600,0)</f>
        <v>52</v>
      </c>
    </row>
    <row r="565" spans="1:19" s="12" customFormat="1" x14ac:dyDescent="0.3">
      <c r="A565" s="27">
        <v>563</v>
      </c>
      <c r="B565" s="10" t="s">
        <v>1913</v>
      </c>
      <c r="C565" s="10" t="str">
        <f>_xlfn.XLOOKUP(B565,DataSet!$N$2:$N$600,DataSet!$AF$2:$AF$600,0)</f>
        <v>145576</v>
      </c>
      <c r="D565" s="10" t="str">
        <f>_xlfn.XLOOKUP(B565,DataSet!$N$2:$N$600,DataSet!$G$2:$G$600,0)</f>
        <v>Cynthia Arntzen</v>
      </c>
      <c r="E565" s="10" t="str">
        <f>_xlfn.XLOOKUP(B565,DataSet!$N$2:$N$600,DataSet!$F$2:$F$600,0)</f>
        <v>CA-12775</v>
      </c>
      <c r="F565" s="10" t="str">
        <f>_xlfn.XLOOKUP(B565,DataSet!$N$2:$N$600,DataSet!$W$2:$W$600,0)</f>
        <v>Consumer</v>
      </c>
      <c r="G565" s="13">
        <f>_xlfn.XLOOKUP(B565,DataSet!$N$2:$N$600,DataSet!$C$2:$C$600,0)</f>
        <v>41896</v>
      </c>
      <c r="H565" s="10" t="str">
        <f>_xlfn.XLOOKUP(B565,DataSet!$N$2:$N$600,DataSet!$I$2:$I$600,0)</f>
        <v>United States</v>
      </c>
      <c r="I565" s="10" t="str">
        <f>_xlfn.XLOOKUP(B565,DataSet!$N$2:$N$600,DataSet!$X$2:$X$600,0)</f>
        <v>Tampa - Florida</v>
      </c>
      <c r="J565" s="10" t="str">
        <f>_xlfn.XLOOKUP(B565,DataSet!$N$2:$N$600,DataSet!$M$2:$M$600,0)</f>
        <v>South</v>
      </c>
      <c r="K565" s="10" t="str">
        <f>_xlfn.XLOOKUP(B565,DataSet!$N$2:$N$600,DataSet!$O$2:$O$600,0)</f>
        <v>Furniture</v>
      </c>
      <c r="L565" s="10" t="str">
        <f>_xlfn.XLOOKUP(B565,DataSet!$N$2:$N$600,DataSet!$Y$2:$Y$600,0)</f>
        <v>Furnishings</v>
      </c>
      <c r="M565" s="10" t="str">
        <f>_xlfn.XLOOKUP(B565,DataSet!$N$2:$N$600,DataSet!$Q$2:$Q$600,0)</f>
        <v>Advantus Panel Wall Acrylic Frame</v>
      </c>
      <c r="N565" s="16">
        <f>_xlfn.XLOOKUP(B565,DataSet!$N$2:$N$600,DataSet!$AA$2:$AA$600,0)</f>
        <v>13.128</v>
      </c>
      <c r="O565" s="10">
        <f>_xlfn.XLOOKUP(B565,DataSet!$N$2:$N$600,DataSet!$S$2:$S$600,0)</f>
        <v>3</v>
      </c>
      <c r="P565" s="15">
        <f>_xlfn.XLOOKUP(B565,DataSet!$N$2:$N$600,DataSet!$T$2:$T$600,0)</f>
        <v>0.2</v>
      </c>
      <c r="Q565" s="14">
        <f>_xlfn.XLOOKUP(B565,DataSet!$N$2:$N$600,DataSet!$U$2:$U$600,0)</f>
        <v>3.7743000000000002</v>
      </c>
      <c r="R565" s="16">
        <f>_xlfn.XLOOKUP(B565,DataSet!$N$2:$N$600,DataSet!$AB$2:$AB$600,0)</f>
        <v>39.384</v>
      </c>
      <c r="S565" s="9">
        <f>_xlfn.XLOOKUP(B565,DataSet!$N$2:$N$600,DataSet!$AC$2:$AC$600,0)</f>
        <v>31.507200000000001</v>
      </c>
    </row>
    <row r="566" spans="1:19" s="12" customFormat="1" x14ac:dyDescent="0.3">
      <c r="A566" s="27">
        <v>564</v>
      </c>
      <c r="B566" s="10" t="s">
        <v>1918</v>
      </c>
      <c r="C566" s="10" t="str">
        <f>_xlfn.XLOOKUP(B566,DataSet!$N$2:$N$600,DataSet!$AF$2:$AF$600,0)</f>
        <v>130736</v>
      </c>
      <c r="D566" s="10" t="str">
        <f>_xlfn.XLOOKUP(B566,DataSet!$N$2:$N$600,DataSet!$G$2:$G$600,0)</f>
        <v>Jeremy Farry</v>
      </c>
      <c r="E566" s="10" t="str">
        <f>_xlfn.XLOOKUP(B566,DataSet!$N$2:$N$600,DataSet!$F$2:$F$600,0)</f>
        <v>JF-15490</v>
      </c>
      <c r="F566" s="10" t="str">
        <f>_xlfn.XLOOKUP(B566,DataSet!$N$2:$N$600,DataSet!$W$2:$W$600,0)</f>
        <v>Consumer</v>
      </c>
      <c r="G566" s="13">
        <f>_xlfn.XLOOKUP(B566,DataSet!$N$2:$N$600,DataSet!$C$2:$C$600,0)</f>
        <v>42345</v>
      </c>
      <c r="H566" s="10" t="str">
        <f>_xlfn.XLOOKUP(B566,DataSet!$N$2:$N$600,DataSet!$I$2:$I$600,0)</f>
        <v>United States</v>
      </c>
      <c r="I566" s="10" t="str">
        <f>_xlfn.XLOOKUP(B566,DataSet!$N$2:$N$600,DataSet!$X$2:$X$600,0)</f>
        <v>Seattle - Washington</v>
      </c>
      <c r="J566" s="10" t="str">
        <f>_xlfn.XLOOKUP(B566,DataSet!$N$2:$N$600,DataSet!$M$2:$M$600,0)</f>
        <v>West</v>
      </c>
      <c r="K566" s="10" t="str">
        <f>_xlfn.XLOOKUP(B566,DataSet!$N$2:$N$600,DataSet!$O$2:$O$600,0)</f>
        <v>Office Supplies</v>
      </c>
      <c r="L566" s="10" t="str">
        <f>_xlfn.XLOOKUP(B566,DataSet!$N$2:$N$600,DataSet!$Y$2:$Y$600,0)</f>
        <v>Fasteners</v>
      </c>
      <c r="M566" s="10" t="str">
        <f>_xlfn.XLOOKUP(B566,DataSet!$N$2:$N$600,DataSet!$Q$2:$Q$600,0)</f>
        <v>Alliance Big Bands Rubber Bands, 12/Pack</v>
      </c>
      <c r="N566" s="16">
        <f>_xlfn.XLOOKUP(B566,DataSet!$N$2:$N$600,DataSet!$AA$2:$AA$600,0)</f>
        <v>3.96</v>
      </c>
      <c r="O566" s="10">
        <f>_xlfn.XLOOKUP(B566,DataSet!$N$2:$N$600,DataSet!$S$2:$S$600,0)</f>
        <v>2</v>
      </c>
      <c r="P566" s="15">
        <f>_xlfn.XLOOKUP(B566,DataSet!$N$2:$N$600,DataSet!$T$2:$T$600,0)</f>
        <v>0</v>
      </c>
      <c r="Q566" s="14">
        <f>_xlfn.XLOOKUP(B566,DataSet!$N$2:$N$600,DataSet!$U$2:$U$600,0)</f>
        <v>0</v>
      </c>
      <c r="R566" s="16">
        <f>_xlfn.XLOOKUP(B566,DataSet!$N$2:$N$600,DataSet!$AB$2:$AB$600,0)</f>
        <v>7.92</v>
      </c>
      <c r="S566" s="9">
        <f>_xlfn.XLOOKUP(B566,DataSet!$N$2:$N$600,DataSet!$AC$2:$AC$600,0)</f>
        <v>7.92</v>
      </c>
    </row>
    <row r="567" spans="1:19" s="12" customFormat="1" x14ac:dyDescent="0.3">
      <c r="A567" s="27">
        <v>565</v>
      </c>
      <c r="B567" s="10" t="s">
        <v>1141</v>
      </c>
      <c r="C567" s="10" t="str">
        <f>_xlfn.XLOOKUP(B567,DataSet!$N$2:$N$600,DataSet!$AF$2:$AF$600,0)</f>
        <v>142902</v>
      </c>
      <c r="D567" s="10" t="str">
        <f>_xlfn.XLOOKUP(B567,DataSet!$N$2:$N$600,DataSet!$G$2:$G$600,0)</f>
        <v>Ben Peterman</v>
      </c>
      <c r="E567" s="10" t="str">
        <f>_xlfn.XLOOKUP(B567,DataSet!$N$2:$N$600,DataSet!$F$2:$F$600,0)</f>
        <v>BP-11185</v>
      </c>
      <c r="F567" s="10" t="str">
        <f>_xlfn.XLOOKUP(B567,DataSet!$N$2:$N$600,DataSet!$W$2:$W$600,0)</f>
        <v>Corporate</v>
      </c>
      <c r="G567" s="13">
        <f>_xlfn.XLOOKUP(B567,DataSet!$N$2:$N$600,DataSet!$C$2:$C$600,0)</f>
        <v>42625</v>
      </c>
      <c r="H567" s="10" t="str">
        <f>_xlfn.XLOOKUP(B567,DataSet!$N$2:$N$600,DataSet!$I$2:$I$600,0)</f>
        <v>United States</v>
      </c>
      <c r="I567" s="10" t="str">
        <f>_xlfn.XLOOKUP(B567,DataSet!$N$2:$N$600,DataSet!$X$2:$X$600,0)</f>
        <v>Arvada - Colorado</v>
      </c>
      <c r="J567" s="10" t="str">
        <f>_xlfn.XLOOKUP(B567,DataSet!$N$2:$N$600,DataSet!$M$2:$M$600,0)</f>
        <v>West</v>
      </c>
      <c r="K567" s="10" t="str">
        <f>_xlfn.XLOOKUP(B567,DataSet!$N$2:$N$600,DataSet!$O$2:$O$600,0)</f>
        <v>Office Supplies</v>
      </c>
      <c r="L567" s="10" t="str">
        <f>_xlfn.XLOOKUP(B567,DataSet!$N$2:$N$600,DataSet!$Y$2:$Y$600,0)</f>
        <v>Labels</v>
      </c>
      <c r="M567" s="10" t="str">
        <f>_xlfn.XLOOKUP(B567,DataSet!$N$2:$N$600,DataSet!$Q$2:$Q$600,0)</f>
        <v>Avery 509</v>
      </c>
      <c r="N567" s="16">
        <f>_xlfn.XLOOKUP(B567,DataSet!$N$2:$N$600,DataSet!$AA$2:$AA$600,0)</f>
        <v>6.2640000000000002</v>
      </c>
      <c r="O567" s="10">
        <f>_xlfn.XLOOKUP(B567,DataSet!$N$2:$N$600,DataSet!$S$2:$S$600,0)</f>
        <v>3</v>
      </c>
      <c r="P567" s="15">
        <f>_xlfn.XLOOKUP(B567,DataSet!$N$2:$N$600,DataSet!$T$2:$T$600,0)</f>
        <v>0.2</v>
      </c>
      <c r="Q567" s="14">
        <f>_xlfn.XLOOKUP(B567,DataSet!$N$2:$N$600,DataSet!$U$2:$U$600,0)</f>
        <v>2.0358000000000001</v>
      </c>
      <c r="R567" s="16">
        <f>_xlfn.XLOOKUP(B567,DataSet!$N$2:$N$600,DataSet!$AB$2:$AB$600,0)</f>
        <v>18.792000000000002</v>
      </c>
      <c r="S567" s="9">
        <f>_xlfn.XLOOKUP(B567,DataSet!$N$2:$N$600,DataSet!$AC$2:$AC$600,0)</f>
        <v>15.033600000000002</v>
      </c>
    </row>
    <row r="568" spans="1:19" s="12" customFormat="1" x14ac:dyDescent="0.3">
      <c r="A568" s="27">
        <v>566</v>
      </c>
      <c r="B568" s="10" t="s">
        <v>1923</v>
      </c>
      <c r="C568" s="10" t="str">
        <f>_xlfn.XLOOKUP(B568,DataSet!$N$2:$N$600,DataSet!$AF$2:$AF$600,0)</f>
        <v>137099</v>
      </c>
      <c r="D568" s="10" t="str">
        <f>_xlfn.XLOOKUP(B568,DataSet!$N$2:$N$600,DataSet!$G$2:$G$600,0)</f>
        <v>Frank Preis</v>
      </c>
      <c r="E568" s="10" t="str">
        <f>_xlfn.XLOOKUP(B568,DataSet!$N$2:$N$600,DataSet!$F$2:$F$600,0)</f>
        <v>FP-14320</v>
      </c>
      <c r="F568" s="10" t="str">
        <f>_xlfn.XLOOKUP(B568,DataSet!$N$2:$N$600,DataSet!$W$2:$W$600,0)</f>
        <v>Consumer</v>
      </c>
      <c r="G568" s="13">
        <f>_xlfn.XLOOKUP(B568,DataSet!$N$2:$N$600,DataSet!$C$2:$C$600,0)</f>
        <v>43076</v>
      </c>
      <c r="H568" s="10" t="str">
        <f>_xlfn.XLOOKUP(B568,DataSet!$N$2:$N$600,DataSet!$I$2:$I$600,0)</f>
        <v>United States</v>
      </c>
      <c r="I568" s="10" t="str">
        <f>_xlfn.XLOOKUP(B568,DataSet!$N$2:$N$600,DataSet!$X$2:$X$600,0)</f>
        <v>Los Angeles - California</v>
      </c>
      <c r="J568" s="10" t="str">
        <f>_xlfn.XLOOKUP(B568,DataSet!$N$2:$N$600,DataSet!$M$2:$M$600,0)</f>
        <v>West</v>
      </c>
      <c r="K568" s="10" t="str">
        <f>_xlfn.XLOOKUP(B568,DataSet!$N$2:$N$600,DataSet!$O$2:$O$600,0)</f>
        <v>Technology</v>
      </c>
      <c r="L568" s="10" t="str">
        <f>_xlfn.XLOOKUP(B568,DataSet!$N$2:$N$600,DataSet!$Y$2:$Y$600,0)</f>
        <v>Phones</v>
      </c>
      <c r="M568" s="10" t="str">
        <f>_xlfn.XLOOKUP(B568,DataSet!$N$2:$N$600,DataSet!$Q$2:$Q$600,0)</f>
        <v>Cisco SPA301</v>
      </c>
      <c r="N568" s="16">
        <f>_xlfn.XLOOKUP(B568,DataSet!$N$2:$N$600,DataSet!$AA$2:$AA$600,0)</f>
        <v>374.37599999999998</v>
      </c>
      <c r="O568" s="10">
        <f>_xlfn.XLOOKUP(B568,DataSet!$N$2:$N$600,DataSet!$S$2:$S$600,0)</f>
        <v>3</v>
      </c>
      <c r="P568" s="15">
        <f>_xlfn.XLOOKUP(B568,DataSet!$N$2:$N$600,DataSet!$T$2:$T$600,0)</f>
        <v>0.2</v>
      </c>
      <c r="Q568" s="14">
        <f>_xlfn.XLOOKUP(B568,DataSet!$N$2:$N$600,DataSet!$U$2:$U$600,0)</f>
        <v>46.796999999999997</v>
      </c>
      <c r="R568" s="16">
        <f>_xlfn.XLOOKUP(B568,DataSet!$N$2:$N$600,DataSet!$AB$2:$AB$600,0)</f>
        <v>1123.1279999999999</v>
      </c>
      <c r="S568" s="9">
        <f>_xlfn.XLOOKUP(B568,DataSet!$N$2:$N$600,DataSet!$AC$2:$AC$600,0)</f>
        <v>898.50239999999997</v>
      </c>
    </row>
    <row r="569" spans="1:19" s="12" customFormat="1" x14ac:dyDescent="0.3">
      <c r="A569" s="27">
        <v>567</v>
      </c>
      <c r="B569" s="10" t="s">
        <v>1928</v>
      </c>
      <c r="C569" s="10" t="str">
        <f>_xlfn.XLOOKUP(B569,DataSet!$N$2:$N$600,DataSet!$AF$2:$AF$600,0)</f>
        <v>156951</v>
      </c>
      <c r="D569" s="10" t="str">
        <f>_xlfn.XLOOKUP(B569,DataSet!$N$2:$N$600,DataSet!$G$2:$G$600,0)</f>
        <v>Ellis Ballard</v>
      </c>
      <c r="E569" s="10" t="str">
        <f>_xlfn.XLOOKUP(B569,DataSet!$N$2:$N$600,DataSet!$F$2:$F$600,0)</f>
        <v>EB-13840</v>
      </c>
      <c r="F569" s="10" t="str">
        <f>_xlfn.XLOOKUP(B569,DataSet!$N$2:$N$600,DataSet!$W$2:$W$600,0)</f>
        <v>Corporate</v>
      </c>
      <c r="G569" s="13">
        <f>_xlfn.XLOOKUP(B569,DataSet!$N$2:$N$600,DataSet!$C$2:$C$600,0)</f>
        <v>43009</v>
      </c>
      <c r="H569" s="10" t="str">
        <f>_xlfn.XLOOKUP(B569,DataSet!$N$2:$N$600,DataSet!$I$2:$I$600,0)</f>
        <v>United States</v>
      </c>
      <c r="I569" s="10" t="str">
        <f>_xlfn.XLOOKUP(B569,DataSet!$N$2:$N$600,DataSet!$X$2:$X$600,0)</f>
        <v>Seattle - Washington</v>
      </c>
      <c r="J569" s="10" t="str">
        <f>_xlfn.XLOOKUP(B569,DataSet!$N$2:$N$600,DataSet!$M$2:$M$600,0)</f>
        <v>West</v>
      </c>
      <c r="K569" s="10" t="str">
        <f>_xlfn.XLOOKUP(B569,DataSet!$N$2:$N$600,DataSet!$O$2:$O$600,0)</f>
        <v>Office Supplies</v>
      </c>
      <c r="L569" s="10" t="str">
        <f>_xlfn.XLOOKUP(B569,DataSet!$N$2:$N$600,DataSet!$Y$2:$Y$600,0)</f>
        <v>Paper</v>
      </c>
      <c r="M569" s="10" t="str">
        <f>_xlfn.XLOOKUP(B569,DataSet!$N$2:$N$600,DataSet!$Q$2:$Q$600,0)</f>
        <v>Personal Creations Ink Jet Cards and Labels</v>
      </c>
      <c r="N569" s="16">
        <f>_xlfn.XLOOKUP(B569,DataSet!$N$2:$N$600,DataSet!$AA$2:$AA$600,0)</f>
        <v>91.84</v>
      </c>
      <c r="O569" s="10">
        <f>_xlfn.XLOOKUP(B569,DataSet!$N$2:$N$600,DataSet!$S$2:$S$600,0)</f>
        <v>8</v>
      </c>
      <c r="P569" s="15">
        <f>_xlfn.XLOOKUP(B569,DataSet!$N$2:$N$600,DataSet!$T$2:$T$600,0)</f>
        <v>0</v>
      </c>
      <c r="Q569" s="14">
        <f>_xlfn.XLOOKUP(B569,DataSet!$N$2:$N$600,DataSet!$U$2:$U$600,0)</f>
        <v>45.001600000000003</v>
      </c>
      <c r="R569" s="16">
        <f>_xlfn.XLOOKUP(B569,DataSet!$N$2:$N$600,DataSet!$AB$2:$AB$600,0)</f>
        <v>734.72</v>
      </c>
      <c r="S569" s="9">
        <f>_xlfn.XLOOKUP(B569,DataSet!$N$2:$N$600,DataSet!$AC$2:$AC$600,0)</f>
        <v>734.72</v>
      </c>
    </row>
    <row r="570" spans="1:19" s="12" customFormat="1" x14ac:dyDescent="0.3">
      <c r="A570" s="27">
        <v>568</v>
      </c>
      <c r="B570" s="10" t="s">
        <v>1930</v>
      </c>
      <c r="C570" s="10" t="str">
        <f>_xlfn.XLOOKUP(B570,DataSet!$N$2:$N$600,DataSet!$AF$2:$AF$600,0)</f>
        <v>156951</v>
      </c>
      <c r="D570" s="10" t="str">
        <f>_xlfn.XLOOKUP(B570,DataSet!$N$2:$N$600,DataSet!$G$2:$G$600,0)</f>
        <v>Ellis Ballard</v>
      </c>
      <c r="E570" s="10" t="str">
        <f>_xlfn.XLOOKUP(B570,DataSet!$N$2:$N$600,DataSet!$F$2:$F$600,0)</f>
        <v>EB-13840</v>
      </c>
      <c r="F570" s="10" t="str">
        <f>_xlfn.XLOOKUP(B570,DataSet!$N$2:$N$600,DataSet!$W$2:$W$600,0)</f>
        <v>Corporate</v>
      </c>
      <c r="G570" s="13">
        <f>_xlfn.XLOOKUP(B570,DataSet!$N$2:$N$600,DataSet!$C$2:$C$600,0)</f>
        <v>43009</v>
      </c>
      <c r="H570" s="10" t="str">
        <f>_xlfn.XLOOKUP(B570,DataSet!$N$2:$N$600,DataSet!$I$2:$I$600,0)</f>
        <v>United States</v>
      </c>
      <c r="I570" s="10" t="str">
        <f>_xlfn.XLOOKUP(B570,DataSet!$N$2:$N$600,DataSet!$X$2:$X$600,0)</f>
        <v>Seattle - Washington</v>
      </c>
      <c r="J570" s="10" t="str">
        <f>_xlfn.XLOOKUP(B570,DataSet!$N$2:$N$600,DataSet!$M$2:$M$600,0)</f>
        <v>West</v>
      </c>
      <c r="K570" s="10" t="str">
        <f>_xlfn.XLOOKUP(B570,DataSet!$N$2:$N$600,DataSet!$O$2:$O$600,0)</f>
        <v>Office Supplies</v>
      </c>
      <c r="L570" s="10" t="str">
        <f>_xlfn.XLOOKUP(B570,DataSet!$N$2:$N$600,DataSet!$Y$2:$Y$600,0)</f>
        <v>Binders</v>
      </c>
      <c r="M570" s="10" t="str">
        <f>_xlfn.XLOOKUP(B570,DataSet!$N$2:$N$600,DataSet!$Q$2:$Q$600,0)</f>
        <v>GBC White Gloss Covers, Plain Front</v>
      </c>
      <c r="N570" s="16">
        <f>_xlfn.XLOOKUP(B570,DataSet!$N$2:$N$600,DataSet!$AA$2:$AA$600,0)</f>
        <v>81.087999999999994</v>
      </c>
      <c r="O570" s="10">
        <f>_xlfn.XLOOKUP(B570,DataSet!$N$2:$N$600,DataSet!$S$2:$S$600,0)</f>
        <v>7</v>
      </c>
      <c r="P570" s="15">
        <f>_xlfn.XLOOKUP(B570,DataSet!$N$2:$N$600,DataSet!$T$2:$T$600,0)</f>
        <v>0.2</v>
      </c>
      <c r="Q570" s="14">
        <f>_xlfn.XLOOKUP(B570,DataSet!$N$2:$N$600,DataSet!$U$2:$U$600,0)</f>
        <v>27.3672</v>
      </c>
      <c r="R570" s="16">
        <f>_xlfn.XLOOKUP(B570,DataSet!$N$2:$N$600,DataSet!$AB$2:$AB$600,0)</f>
        <v>567.61599999999999</v>
      </c>
      <c r="S570" s="9">
        <f>_xlfn.XLOOKUP(B570,DataSet!$N$2:$N$600,DataSet!$AC$2:$AC$600,0)</f>
        <v>454.09280000000001</v>
      </c>
    </row>
    <row r="571" spans="1:19" s="12" customFormat="1" x14ac:dyDescent="0.3">
      <c r="A571" s="27">
        <v>569</v>
      </c>
      <c r="B571" s="10" t="s">
        <v>1932</v>
      </c>
      <c r="C571" s="10" t="str">
        <f>_xlfn.XLOOKUP(B571,DataSet!$N$2:$N$600,DataSet!$AF$2:$AF$600,0)</f>
        <v>156951</v>
      </c>
      <c r="D571" s="10" t="str">
        <f>_xlfn.XLOOKUP(B571,DataSet!$N$2:$N$600,DataSet!$G$2:$G$600,0)</f>
        <v>Ellis Ballard</v>
      </c>
      <c r="E571" s="10" t="str">
        <f>_xlfn.XLOOKUP(B571,DataSet!$N$2:$N$600,DataSet!$F$2:$F$600,0)</f>
        <v>EB-13840</v>
      </c>
      <c r="F571" s="10" t="str">
        <f>_xlfn.XLOOKUP(B571,DataSet!$N$2:$N$600,DataSet!$W$2:$W$600,0)</f>
        <v>Corporate</v>
      </c>
      <c r="G571" s="13">
        <f>_xlfn.XLOOKUP(B571,DataSet!$N$2:$N$600,DataSet!$C$2:$C$600,0)</f>
        <v>43009</v>
      </c>
      <c r="H571" s="10" t="str">
        <f>_xlfn.XLOOKUP(B571,DataSet!$N$2:$N$600,DataSet!$I$2:$I$600,0)</f>
        <v>United States</v>
      </c>
      <c r="I571" s="10" t="str">
        <f>_xlfn.XLOOKUP(B571,DataSet!$N$2:$N$600,DataSet!$X$2:$X$600,0)</f>
        <v>Seattle - Washington</v>
      </c>
      <c r="J571" s="10" t="str">
        <f>_xlfn.XLOOKUP(B571,DataSet!$N$2:$N$600,DataSet!$M$2:$M$600,0)</f>
        <v>West</v>
      </c>
      <c r="K571" s="10" t="str">
        <f>_xlfn.XLOOKUP(B571,DataSet!$N$2:$N$600,DataSet!$O$2:$O$600,0)</f>
        <v>Office Supplies</v>
      </c>
      <c r="L571" s="10" t="str">
        <f>_xlfn.XLOOKUP(B571,DataSet!$N$2:$N$600,DataSet!$Y$2:$Y$600,0)</f>
        <v>Paper</v>
      </c>
      <c r="M571" s="10" t="str">
        <f>_xlfn.XLOOKUP(B571,DataSet!$N$2:$N$600,DataSet!$Q$2:$Q$600,0)</f>
        <v>Xerox 222</v>
      </c>
      <c r="N571" s="16">
        <f>_xlfn.XLOOKUP(B571,DataSet!$N$2:$N$600,DataSet!$AA$2:$AA$600,0)</f>
        <v>19.440000000000001</v>
      </c>
      <c r="O571" s="10">
        <f>_xlfn.XLOOKUP(B571,DataSet!$N$2:$N$600,DataSet!$S$2:$S$600,0)</f>
        <v>3</v>
      </c>
      <c r="P571" s="15">
        <f>_xlfn.XLOOKUP(B571,DataSet!$N$2:$N$600,DataSet!$T$2:$T$600,0)</f>
        <v>0</v>
      </c>
      <c r="Q571" s="14">
        <f>_xlfn.XLOOKUP(B571,DataSet!$N$2:$N$600,DataSet!$U$2:$U$600,0)</f>
        <v>9.3312000000000008</v>
      </c>
      <c r="R571" s="16">
        <f>_xlfn.XLOOKUP(B571,DataSet!$N$2:$N$600,DataSet!$AB$2:$AB$600,0)</f>
        <v>58.320000000000007</v>
      </c>
      <c r="S571" s="9">
        <f>_xlfn.XLOOKUP(B571,DataSet!$N$2:$N$600,DataSet!$AC$2:$AC$600,0)</f>
        <v>58.320000000000007</v>
      </c>
    </row>
    <row r="572" spans="1:19" s="12" customFormat="1" x14ac:dyDescent="0.3">
      <c r="A572" s="27">
        <v>570</v>
      </c>
      <c r="B572" s="10" t="s">
        <v>1934</v>
      </c>
      <c r="C572" s="10" t="str">
        <f>_xlfn.XLOOKUP(B572,DataSet!$N$2:$N$600,DataSet!$AF$2:$AF$600,0)</f>
        <v>156951</v>
      </c>
      <c r="D572" s="10" t="str">
        <f>_xlfn.XLOOKUP(B572,DataSet!$N$2:$N$600,DataSet!$G$2:$G$600,0)</f>
        <v>Ellis Ballard</v>
      </c>
      <c r="E572" s="10" t="str">
        <f>_xlfn.XLOOKUP(B572,DataSet!$N$2:$N$600,DataSet!$F$2:$F$600,0)</f>
        <v>EB-13840</v>
      </c>
      <c r="F572" s="10" t="str">
        <f>_xlfn.XLOOKUP(B572,DataSet!$N$2:$N$600,DataSet!$W$2:$W$600,0)</f>
        <v>Corporate</v>
      </c>
      <c r="G572" s="13">
        <f>_xlfn.XLOOKUP(B572,DataSet!$N$2:$N$600,DataSet!$C$2:$C$600,0)</f>
        <v>43009</v>
      </c>
      <c r="H572" s="10" t="str">
        <f>_xlfn.XLOOKUP(B572,DataSet!$N$2:$N$600,DataSet!$I$2:$I$600,0)</f>
        <v>United States</v>
      </c>
      <c r="I572" s="10" t="str">
        <f>_xlfn.XLOOKUP(B572,DataSet!$N$2:$N$600,DataSet!$X$2:$X$600,0)</f>
        <v>Seattle - Washington</v>
      </c>
      <c r="J572" s="10" t="str">
        <f>_xlfn.XLOOKUP(B572,DataSet!$N$2:$N$600,DataSet!$M$2:$M$600,0)</f>
        <v>West</v>
      </c>
      <c r="K572" s="10" t="str">
        <f>_xlfn.XLOOKUP(B572,DataSet!$N$2:$N$600,DataSet!$O$2:$O$600,0)</f>
        <v>Furniture</v>
      </c>
      <c r="L572" s="10" t="str">
        <f>_xlfn.XLOOKUP(B572,DataSet!$N$2:$N$600,DataSet!$Y$2:$Y$600,0)</f>
        <v>UNKNOWN</v>
      </c>
      <c r="M572" s="10" t="str">
        <f>_xlfn.XLOOKUP(B572,DataSet!$N$2:$N$600,DataSet!$Q$2:$Q$600,0)</f>
        <v>Hon Every-Day Series Multi-Task Chairs</v>
      </c>
      <c r="N572" s="16">
        <f>_xlfn.XLOOKUP(B572,DataSet!$N$2:$N$600,DataSet!$AA$2:$AA$600,0)</f>
        <v>451.15199999999999</v>
      </c>
      <c r="O572" s="10">
        <f>_xlfn.XLOOKUP(B572,DataSet!$N$2:$N$600,DataSet!$S$2:$S$600,0)</f>
        <v>3</v>
      </c>
      <c r="P572" s="15">
        <f>_xlfn.XLOOKUP(B572,DataSet!$N$2:$N$600,DataSet!$T$2:$T$600,0)</f>
        <v>0.2</v>
      </c>
      <c r="Q572" s="14">
        <f>_xlfn.XLOOKUP(B572,DataSet!$N$2:$N$600,DataSet!$U$2:$U$600,0)</f>
        <v>0</v>
      </c>
      <c r="R572" s="16">
        <f>_xlfn.XLOOKUP(B572,DataSet!$N$2:$N$600,DataSet!$AB$2:$AB$600,0)</f>
        <v>1353.4559999999999</v>
      </c>
      <c r="S572" s="9">
        <f>_xlfn.XLOOKUP(B572,DataSet!$N$2:$N$600,DataSet!$AC$2:$AC$600,0)</f>
        <v>1082.7647999999999</v>
      </c>
    </row>
    <row r="573" spans="1:19" s="12" customFormat="1" x14ac:dyDescent="0.3">
      <c r="A573" s="27">
        <v>571</v>
      </c>
      <c r="B573" s="10" t="s">
        <v>1897</v>
      </c>
      <c r="C573" s="10" t="str">
        <f>_xlfn.XLOOKUP(B573,DataSet!$N$2:$N$600,DataSet!$AF$2:$AF$600,0)</f>
        <v>113243</v>
      </c>
      <c r="D573" s="10" t="str">
        <f>_xlfn.XLOOKUP(B573,DataSet!$N$2:$N$600,DataSet!$G$2:$G$600,0)</f>
        <v>Olvera Toch</v>
      </c>
      <c r="E573" s="10" t="str">
        <f>_xlfn.XLOOKUP(B573,DataSet!$N$2:$N$600,DataSet!$F$2:$F$600,0)</f>
        <v>OT-18730</v>
      </c>
      <c r="F573" s="10" t="str">
        <f>_xlfn.XLOOKUP(B573,DataSet!$N$2:$N$600,DataSet!$W$2:$W$600,0)</f>
        <v>Consumer</v>
      </c>
      <c r="G573" s="13">
        <f>_xlfn.XLOOKUP(B573,DataSet!$N$2:$N$600,DataSet!$C$2:$C$600,0)</f>
        <v>42531</v>
      </c>
      <c r="H573" s="10" t="str">
        <f>_xlfn.XLOOKUP(B573,DataSet!$N$2:$N$600,DataSet!$I$2:$I$600,0)</f>
        <v>United States</v>
      </c>
      <c r="I573" s="10" t="str">
        <f>_xlfn.XLOOKUP(B573,DataSet!$N$2:$N$600,DataSet!$X$2:$X$600,0)</f>
        <v>Los Angeles - California</v>
      </c>
      <c r="J573" s="10" t="str">
        <f>_xlfn.XLOOKUP(B573,DataSet!$N$2:$N$600,DataSet!$M$2:$M$600,0)</f>
        <v>West</v>
      </c>
      <c r="K573" s="10" t="str">
        <f>_xlfn.XLOOKUP(B573,DataSet!$N$2:$N$600,DataSet!$O$2:$O$600,0)</f>
        <v>Office Supplies</v>
      </c>
      <c r="L573" s="10" t="str">
        <f>_xlfn.XLOOKUP(B573,DataSet!$N$2:$N$600,DataSet!$Y$2:$Y$600,0)</f>
        <v>Labels</v>
      </c>
      <c r="M573" s="10" t="str">
        <f>_xlfn.XLOOKUP(B573,DataSet!$N$2:$N$600,DataSet!$Q$2:$Q$600,0)</f>
        <v>Avery 473</v>
      </c>
      <c r="N573" s="16">
        <f>_xlfn.XLOOKUP(B573,DataSet!$N$2:$N$600,DataSet!$AA$2:$AA$600,0)</f>
        <v>20.7</v>
      </c>
      <c r="O573" s="10">
        <f>_xlfn.XLOOKUP(B573,DataSet!$N$2:$N$600,DataSet!$S$2:$S$600,0)</f>
        <v>2</v>
      </c>
      <c r="P573" s="15">
        <f>_xlfn.XLOOKUP(B573,DataSet!$N$2:$N$600,DataSet!$T$2:$T$600,0)</f>
        <v>0</v>
      </c>
      <c r="Q573" s="14">
        <f>_xlfn.XLOOKUP(B573,DataSet!$N$2:$N$600,DataSet!$U$2:$U$600,0)</f>
        <v>9.9359999999999999</v>
      </c>
      <c r="R573" s="16">
        <f>_xlfn.XLOOKUP(B573,DataSet!$N$2:$N$600,DataSet!$AB$2:$AB$600,0)</f>
        <v>41.4</v>
      </c>
      <c r="S573" s="9">
        <f>_xlfn.XLOOKUP(B573,DataSet!$N$2:$N$600,DataSet!$AC$2:$AC$600,0)</f>
        <v>41.4</v>
      </c>
    </row>
    <row r="574" spans="1:19" s="12" customFormat="1" x14ac:dyDescent="0.3">
      <c r="A574" s="27">
        <v>572</v>
      </c>
      <c r="B574" s="10" t="s">
        <v>867</v>
      </c>
      <c r="C574" s="10" t="str">
        <f>_xlfn.XLOOKUP(B574,DataSet!$N$2:$N$600,DataSet!$AF$2:$AF$600,0)</f>
        <v>169397</v>
      </c>
      <c r="D574" s="10" t="str">
        <f>_xlfn.XLOOKUP(B574,DataSet!$N$2:$N$600,DataSet!$G$2:$G$600,0)</f>
        <v>Joni Blumstein</v>
      </c>
      <c r="E574" s="10" t="str">
        <f>_xlfn.XLOOKUP(B574,DataSet!$N$2:$N$600,DataSet!$F$2:$F$600,0)</f>
        <v>JB-15925</v>
      </c>
      <c r="F574" s="10" t="str">
        <f>_xlfn.XLOOKUP(B574,DataSet!$N$2:$N$600,DataSet!$W$2:$W$600,0)</f>
        <v>Consumer</v>
      </c>
      <c r="G574" s="13">
        <f>_xlfn.XLOOKUP(B574,DataSet!$N$2:$N$600,DataSet!$C$2:$C$600,0)</f>
        <v>42362</v>
      </c>
      <c r="H574" s="10" t="str">
        <f>_xlfn.XLOOKUP(B574,DataSet!$N$2:$N$600,DataSet!$I$2:$I$600,0)</f>
        <v>United States</v>
      </c>
      <c r="I574" s="10" t="str">
        <f>_xlfn.XLOOKUP(B574,DataSet!$N$2:$N$600,DataSet!$X$2:$X$600,0)</f>
        <v>Dublin - Ohio</v>
      </c>
      <c r="J574" s="10" t="str">
        <f>_xlfn.XLOOKUP(B574,DataSet!$N$2:$N$600,DataSet!$M$2:$M$600,0)</f>
        <v>East</v>
      </c>
      <c r="K574" s="10" t="str">
        <f>_xlfn.XLOOKUP(B574,DataSet!$N$2:$N$600,DataSet!$O$2:$O$600,0)</f>
        <v>Office Supplies</v>
      </c>
      <c r="L574" s="10" t="str">
        <f>_xlfn.XLOOKUP(B574,DataSet!$N$2:$N$600,DataSet!$Y$2:$Y$600,0)</f>
        <v>Fasteners</v>
      </c>
      <c r="M574" s="10" t="str">
        <f>_xlfn.XLOOKUP(B574,DataSet!$N$2:$N$600,DataSet!$Q$2:$Q$600,0)</f>
        <v>OIC Bulk Pack Metal Binder Clips</v>
      </c>
      <c r="N574" s="16">
        <f>_xlfn.XLOOKUP(B574,DataSet!$N$2:$N$600,DataSet!$AA$2:$AA$600,0)</f>
        <v>5.5839999999999996</v>
      </c>
      <c r="O574" s="10">
        <f>_xlfn.XLOOKUP(B574,DataSet!$N$2:$N$600,DataSet!$S$2:$S$600,0)</f>
        <v>2</v>
      </c>
      <c r="P574" s="15">
        <f>_xlfn.XLOOKUP(B574,DataSet!$N$2:$N$600,DataSet!$T$2:$T$600,0)</f>
        <v>0.2</v>
      </c>
      <c r="Q574" s="14">
        <f>_xlfn.XLOOKUP(B574,DataSet!$N$2:$N$600,DataSet!$U$2:$U$600,0)</f>
        <v>1.8148</v>
      </c>
      <c r="R574" s="16">
        <f>_xlfn.XLOOKUP(B574,DataSet!$N$2:$N$600,DataSet!$AB$2:$AB$600,0)</f>
        <v>11.167999999999999</v>
      </c>
      <c r="S574" s="9">
        <f>_xlfn.XLOOKUP(B574,DataSet!$N$2:$N$600,DataSet!$AC$2:$AC$600,0)</f>
        <v>8.9344000000000001</v>
      </c>
    </row>
    <row r="575" spans="1:19" s="12" customFormat="1" x14ac:dyDescent="0.3">
      <c r="A575" s="27">
        <v>573</v>
      </c>
      <c r="B575" s="10" t="s">
        <v>1214</v>
      </c>
      <c r="C575" s="10" t="str">
        <f>_xlfn.XLOOKUP(B575,DataSet!$N$2:$N$600,DataSet!$AF$2:$AF$600,0)</f>
        <v>137946</v>
      </c>
      <c r="D575" s="10" t="str">
        <f>_xlfn.XLOOKUP(B575,DataSet!$N$2:$N$600,DataSet!$G$2:$G$600,0)</f>
        <v>Doug Bickford</v>
      </c>
      <c r="E575" s="10" t="str">
        <f>_xlfn.XLOOKUP(B575,DataSet!$N$2:$N$600,DataSet!$F$2:$F$600,0)</f>
        <v>DB-13615</v>
      </c>
      <c r="F575" s="10" t="str">
        <f>_xlfn.XLOOKUP(B575,DataSet!$N$2:$N$600,DataSet!$W$2:$W$600,0)</f>
        <v>Consumer</v>
      </c>
      <c r="G575" s="13">
        <f>_xlfn.XLOOKUP(B575,DataSet!$N$2:$N$600,DataSet!$C$2:$C$600,0)</f>
        <v>42248</v>
      </c>
      <c r="H575" s="10" t="str">
        <f>_xlfn.XLOOKUP(B575,DataSet!$N$2:$N$600,DataSet!$I$2:$I$600,0)</f>
        <v>United States</v>
      </c>
      <c r="I575" s="10" t="str">
        <f>_xlfn.XLOOKUP(B575,DataSet!$N$2:$N$600,DataSet!$X$2:$X$600,0)</f>
        <v>Los Angeles - California</v>
      </c>
      <c r="J575" s="10" t="str">
        <f>_xlfn.XLOOKUP(B575,DataSet!$N$2:$N$600,DataSet!$M$2:$M$600,0)</f>
        <v>West</v>
      </c>
      <c r="K575" s="10" t="str">
        <f>_xlfn.XLOOKUP(B575,DataSet!$N$2:$N$600,DataSet!$O$2:$O$600,0)</f>
        <v>Office Supplies</v>
      </c>
      <c r="L575" s="10" t="str">
        <f>_xlfn.XLOOKUP(B575,DataSet!$N$2:$N$600,DataSet!$Y$2:$Y$600,0)</f>
        <v>Binders</v>
      </c>
      <c r="M575" s="10" t="str">
        <f>_xlfn.XLOOKUP(B575,DataSet!$N$2:$N$600,DataSet!$Q$2:$Q$600,0)</f>
        <v>Storex Dura Pro Binders</v>
      </c>
      <c r="N575" s="16">
        <f>_xlfn.XLOOKUP(B575,DataSet!$N$2:$N$600,DataSet!$AA$2:$AA$600,0)</f>
        <v>4.7519999999999998</v>
      </c>
      <c r="O575" s="10">
        <f>_xlfn.XLOOKUP(B575,DataSet!$N$2:$N$600,DataSet!$S$2:$S$600,0)</f>
        <v>1</v>
      </c>
      <c r="P575" s="15">
        <f>_xlfn.XLOOKUP(B575,DataSet!$N$2:$N$600,DataSet!$T$2:$T$600,0)</f>
        <v>0.2</v>
      </c>
      <c r="Q575" s="14">
        <f>_xlfn.XLOOKUP(B575,DataSet!$N$2:$N$600,DataSet!$U$2:$U$600,0)</f>
        <v>1.6037999999999999</v>
      </c>
      <c r="R575" s="16">
        <f>_xlfn.XLOOKUP(B575,DataSet!$N$2:$N$600,DataSet!$AB$2:$AB$600,0)</f>
        <v>4.7519999999999998</v>
      </c>
      <c r="S575" s="9">
        <f>_xlfn.XLOOKUP(B575,DataSet!$N$2:$N$600,DataSet!$AC$2:$AC$600,0)</f>
        <v>3.8016000000000001</v>
      </c>
    </row>
    <row r="576" spans="1:19" s="12" customFormat="1" x14ac:dyDescent="0.3">
      <c r="A576" s="27">
        <v>574</v>
      </c>
      <c r="B576" s="10" t="s">
        <v>1939</v>
      </c>
      <c r="C576" s="10" t="str">
        <f>_xlfn.XLOOKUP(B576,DataSet!$N$2:$N$600,DataSet!$AF$2:$AF$600,0)</f>
        <v>164826</v>
      </c>
      <c r="D576" s="10" t="str">
        <f>_xlfn.XLOOKUP(B576,DataSet!$N$2:$N$600,DataSet!$G$2:$G$600,0)</f>
        <v>Jennifer Ferguson</v>
      </c>
      <c r="E576" s="10" t="str">
        <f>_xlfn.XLOOKUP(B576,DataSet!$N$2:$N$600,DataSet!$F$2:$F$600,0)</f>
        <v>JF-15415</v>
      </c>
      <c r="F576" s="10" t="str">
        <f>_xlfn.XLOOKUP(B576,DataSet!$N$2:$N$600,DataSet!$W$2:$W$600,0)</f>
        <v>Consumer</v>
      </c>
      <c r="G576" s="13">
        <f>_xlfn.XLOOKUP(B576,DataSet!$N$2:$N$600,DataSet!$C$2:$C$600,0)</f>
        <v>43097</v>
      </c>
      <c r="H576" s="10" t="str">
        <f>_xlfn.XLOOKUP(B576,DataSet!$N$2:$N$600,DataSet!$I$2:$I$600,0)</f>
        <v>United States</v>
      </c>
      <c r="I576" s="10" t="str">
        <f>_xlfn.XLOOKUP(B576,DataSet!$N$2:$N$600,DataSet!$X$2:$X$600,0)</f>
        <v>New York City - New York</v>
      </c>
      <c r="J576" s="10" t="str">
        <f>_xlfn.XLOOKUP(B576,DataSet!$N$2:$N$600,DataSet!$M$2:$M$600,0)</f>
        <v>East</v>
      </c>
      <c r="K576" s="10" t="str">
        <f>_xlfn.XLOOKUP(B576,DataSet!$N$2:$N$600,DataSet!$O$2:$O$600,0)</f>
        <v>Technology</v>
      </c>
      <c r="L576" s="10" t="str">
        <f>_xlfn.XLOOKUP(B576,DataSet!$N$2:$N$600,DataSet!$Y$2:$Y$600,0)</f>
        <v>Phones</v>
      </c>
      <c r="M576" s="10" t="str">
        <f>_xlfn.XLOOKUP(B576,DataSet!$N$2:$N$600,DataSet!$Q$2:$Q$600,0)</f>
        <v>Cush Cases Heavy Duty Rugged Cover Case for Samsung Galaxy S5 - Purple</v>
      </c>
      <c r="N576" s="16">
        <f>_xlfn.XLOOKUP(B576,DataSet!$N$2:$N$600,DataSet!$AA$2:$AA$600,0)</f>
        <v>14.85</v>
      </c>
      <c r="O576" s="10">
        <f>_xlfn.XLOOKUP(B576,DataSet!$N$2:$N$600,DataSet!$S$2:$S$600,0)</f>
        <v>3</v>
      </c>
      <c r="P576" s="15">
        <f>_xlfn.XLOOKUP(B576,DataSet!$N$2:$N$600,DataSet!$T$2:$T$600,0)</f>
        <v>0</v>
      </c>
      <c r="Q576" s="14">
        <f>_xlfn.XLOOKUP(B576,DataSet!$N$2:$N$600,DataSet!$U$2:$U$600,0)</f>
        <v>4.0095000000000001</v>
      </c>
      <c r="R576" s="16">
        <f>_xlfn.XLOOKUP(B576,DataSet!$N$2:$N$600,DataSet!$AB$2:$AB$600,0)</f>
        <v>44.55</v>
      </c>
      <c r="S576" s="9">
        <f>_xlfn.XLOOKUP(B576,DataSet!$N$2:$N$600,DataSet!$AC$2:$AC$600,0)</f>
        <v>44.55</v>
      </c>
    </row>
    <row r="577" spans="1:19" s="12" customFormat="1" x14ac:dyDescent="0.3">
      <c r="A577" s="27">
        <v>575</v>
      </c>
      <c r="B577" s="10" t="s">
        <v>1945</v>
      </c>
      <c r="C577" s="10" t="str">
        <f>_xlfn.XLOOKUP(B577,DataSet!$N$2:$N$600,DataSet!$AF$2:$AF$600,0)</f>
        <v>127250</v>
      </c>
      <c r="D577" s="10" t="str">
        <f>_xlfn.XLOOKUP(B577,DataSet!$N$2:$N$600,DataSet!$G$2:$G$600,0)</f>
        <v>Sarah Foster</v>
      </c>
      <c r="E577" s="10" t="str">
        <f>_xlfn.XLOOKUP(B577,DataSet!$N$2:$N$600,DataSet!$F$2:$F$600,0)</f>
        <v>SF-20200</v>
      </c>
      <c r="F577" s="10" t="str">
        <f>_xlfn.XLOOKUP(B577,DataSet!$N$2:$N$600,DataSet!$W$2:$W$600,0)</f>
        <v>Consumer</v>
      </c>
      <c r="G577" s="13">
        <f>_xlfn.XLOOKUP(B577,DataSet!$N$2:$N$600,DataSet!$C$2:$C$600,0)</f>
        <v>42677</v>
      </c>
      <c r="H577" s="10" t="str">
        <f>_xlfn.XLOOKUP(B577,DataSet!$N$2:$N$600,DataSet!$I$2:$I$600,0)</f>
        <v>United States</v>
      </c>
      <c r="I577" s="10" t="str">
        <f>_xlfn.XLOOKUP(B577,DataSet!$N$2:$N$600,DataSet!$X$2:$X$600,0)</f>
        <v>Marysville - Washington</v>
      </c>
      <c r="J577" s="10" t="str">
        <f>_xlfn.XLOOKUP(B577,DataSet!$N$2:$N$600,DataSet!$M$2:$M$600,0)</f>
        <v>West</v>
      </c>
      <c r="K577" s="10" t="str">
        <f>_xlfn.XLOOKUP(B577,DataSet!$N$2:$N$600,DataSet!$O$2:$O$600,0)</f>
        <v>Office Supplies</v>
      </c>
      <c r="L577" s="10" t="str">
        <f>_xlfn.XLOOKUP(B577,DataSet!$N$2:$N$600,DataSet!$Y$2:$Y$600,0)</f>
        <v>Art</v>
      </c>
      <c r="M577" s="10" t="str">
        <f>_xlfn.XLOOKUP(B577,DataSet!$N$2:$N$600,DataSet!$Q$2:$Q$600,0)</f>
        <v>Newell 332</v>
      </c>
      <c r="N577" s="16">
        <f>_xlfn.XLOOKUP(B577,DataSet!$N$2:$N$600,DataSet!$AA$2:$AA$600,0)</f>
        <v>8.82</v>
      </c>
      <c r="O577" s="10">
        <f>_xlfn.XLOOKUP(B577,DataSet!$N$2:$N$600,DataSet!$S$2:$S$600,0)</f>
        <v>3</v>
      </c>
      <c r="P577" s="15">
        <f>_xlfn.XLOOKUP(B577,DataSet!$N$2:$N$600,DataSet!$T$2:$T$600,0)</f>
        <v>0</v>
      </c>
      <c r="Q577" s="14">
        <f>_xlfn.XLOOKUP(B577,DataSet!$N$2:$N$600,DataSet!$U$2:$U$600,0)</f>
        <v>2.3814000000000002</v>
      </c>
      <c r="R577" s="16">
        <f>_xlfn.XLOOKUP(B577,DataSet!$N$2:$N$600,DataSet!$AB$2:$AB$600,0)</f>
        <v>26.46</v>
      </c>
      <c r="S577" s="9">
        <f>_xlfn.XLOOKUP(B577,DataSet!$N$2:$N$600,DataSet!$AC$2:$AC$600,0)</f>
        <v>26.46</v>
      </c>
    </row>
    <row r="578" spans="1:19" s="12" customFormat="1" x14ac:dyDescent="0.3">
      <c r="A578" s="27">
        <v>576</v>
      </c>
      <c r="B578" s="10" t="s">
        <v>1928</v>
      </c>
      <c r="C578" s="10" t="str">
        <f>_xlfn.XLOOKUP(B578,DataSet!$N$2:$N$600,DataSet!$AF$2:$AF$600,0)</f>
        <v>156951</v>
      </c>
      <c r="D578" s="10" t="str">
        <f>_xlfn.XLOOKUP(B578,DataSet!$N$2:$N$600,DataSet!$G$2:$G$600,0)</f>
        <v>Ellis Ballard</v>
      </c>
      <c r="E578" s="10" t="str">
        <f>_xlfn.XLOOKUP(B578,DataSet!$N$2:$N$600,DataSet!$F$2:$F$600,0)</f>
        <v>EB-13840</v>
      </c>
      <c r="F578" s="10" t="str">
        <f>_xlfn.XLOOKUP(B578,DataSet!$N$2:$N$600,DataSet!$W$2:$W$600,0)</f>
        <v>Corporate</v>
      </c>
      <c r="G578" s="13">
        <f>_xlfn.XLOOKUP(B578,DataSet!$N$2:$N$600,DataSet!$C$2:$C$600,0)</f>
        <v>43009</v>
      </c>
      <c r="H578" s="10" t="str">
        <f>_xlfn.XLOOKUP(B578,DataSet!$N$2:$N$600,DataSet!$I$2:$I$600,0)</f>
        <v>United States</v>
      </c>
      <c r="I578" s="10" t="str">
        <f>_xlfn.XLOOKUP(B578,DataSet!$N$2:$N$600,DataSet!$X$2:$X$600,0)</f>
        <v>Seattle - Washington</v>
      </c>
      <c r="J578" s="10" t="str">
        <f>_xlfn.XLOOKUP(B578,DataSet!$N$2:$N$600,DataSet!$M$2:$M$600,0)</f>
        <v>West</v>
      </c>
      <c r="K578" s="10" t="str">
        <f>_xlfn.XLOOKUP(B578,DataSet!$N$2:$N$600,DataSet!$O$2:$O$600,0)</f>
        <v>Office Supplies</v>
      </c>
      <c r="L578" s="10" t="str">
        <f>_xlfn.XLOOKUP(B578,DataSet!$N$2:$N$600,DataSet!$Y$2:$Y$600,0)</f>
        <v>Paper</v>
      </c>
      <c r="M578" s="10" t="str">
        <f>_xlfn.XLOOKUP(B578,DataSet!$N$2:$N$600,DataSet!$Q$2:$Q$600,0)</f>
        <v>Personal Creations Ink Jet Cards and Labels</v>
      </c>
      <c r="N578" s="16">
        <f>_xlfn.XLOOKUP(B578,DataSet!$N$2:$N$600,DataSet!$AA$2:$AA$600,0)</f>
        <v>91.84</v>
      </c>
      <c r="O578" s="10">
        <f>_xlfn.XLOOKUP(B578,DataSet!$N$2:$N$600,DataSet!$S$2:$S$600,0)</f>
        <v>8</v>
      </c>
      <c r="P578" s="15">
        <f>_xlfn.XLOOKUP(B578,DataSet!$N$2:$N$600,DataSet!$T$2:$T$600,0)</f>
        <v>0</v>
      </c>
      <c r="Q578" s="14">
        <f>_xlfn.XLOOKUP(B578,DataSet!$N$2:$N$600,DataSet!$U$2:$U$600,0)</f>
        <v>45.001600000000003</v>
      </c>
      <c r="R578" s="16">
        <f>_xlfn.XLOOKUP(B578,DataSet!$N$2:$N$600,DataSet!$AB$2:$AB$600,0)</f>
        <v>734.72</v>
      </c>
      <c r="S578" s="9">
        <f>_xlfn.XLOOKUP(B578,DataSet!$N$2:$N$600,DataSet!$AC$2:$AC$600,0)</f>
        <v>734.72</v>
      </c>
    </row>
    <row r="579" spans="1:19" s="12" customFormat="1" x14ac:dyDescent="0.3">
      <c r="A579" s="27">
        <v>577</v>
      </c>
      <c r="B579" s="10" t="s">
        <v>1950</v>
      </c>
      <c r="C579" s="10" t="str">
        <f>_xlfn.XLOOKUP(B579,DataSet!$N$2:$N$600,DataSet!$AF$2:$AF$600,0)</f>
        <v>149713</v>
      </c>
      <c r="D579" s="10" t="str">
        <f>_xlfn.XLOOKUP(B579,DataSet!$N$2:$N$600,DataSet!$G$2:$G$600,0)</f>
        <v>Trudy Glocke</v>
      </c>
      <c r="E579" s="10" t="str">
        <f>_xlfn.XLOOKUP(B579,DataSet!$N$2:$N$600,DataSet!$F$2:$F$600,0)</f>
        <v>TG-21640</v>
      </c>
      <c r="F579" s="10" t="str">
        <f>_xlfn.XLOOKUP(B579,DataSet!$N$2:$N$600,DataSet!$W$2:$W$600,0)</f>
        <v>Consumer</v>
      </c>
      <c r="G579" s="13">
        <f>_xlfn.XLOOKUP(B579,DataSet!$N$2:$N$600,DataSet!$C$2:$C$600,0)</f>
        <v>42265</v>
      </c>
      <c r="H579" s="10" t="str">
        <f>_xlfn.XLOOKUP(B579,DataSet!$N$2:$N$600,DataSet!$I$2:$I$600,0)</f>
        <v>United States</v>
      </c>
      <c r="I579" s="10" t="str">
        <f>_xlfn.XLOOKUP(B579,DataSet!$N$2:$N$600,DataSet!$X$2:$X$600,0)</f>
        <v>Long Beach - California</v>
      </c>
      <c r="J579" s="10" t="str">
        <f>_xlfn.XLOOKUP(B579,DataSet!$N$2:$N$600,DataSet!$M$2:$M$600,0)</f>
        <v>West</v>
      </c>
      <c r="K579" s="10" t="str">
        <f>_xlfn.XLOOKUP(B579,DataSet!$N$2:$N$600,DataSet!$O$2:$O$600,0)</f>
        <v>Office Supplies</v>
      </c>
      <c r="L579" s="10" t="str">
        <f>_xlfn.XLOOKUP(B579,DataSet!$N$2:$N$600,DataSet!$Y$2:$Y$600,0)</f>
        <v>Paper</v>
      </c>
      <c r="M579" s="10" t="str">
        <f>_xlfn.XLOOKUP(B579,DataSet!$N$2:$N$600,DataSet!$Q$2:$Q$600,0)</f>
        <v>Rediform S.O.S. Phone Message Books</v>
      </c>
      <c r="N579" s="16">
        <f>_xlfn.XLOOKUP(B579,DataSet!$N$2:$N$600,DataSet!$AA$2:$AA$600,0)</f>
        <v>19.920000000000002</v>
      </c>
      <c r="O579" s="10">
        <f>_xlfn.XLOOKUP(B579,DataSet!$N$2:$N$600,DataSet!$S$2:$S$600,0)</f>
        <v>4</v>
      </c>
      <c r="P579" s="15">
        <f>_xlfn.XLOOKUP(B579,DataSet!$N$2:$N$600,DataSet!$T$2:$T$600,0)</f>
        <v>0</v>
      </c>
      <c r="Q579" s="14">
        <f>_xlfn.XLOOKUP(B579,DataSet!$N$2:$N$600,DataSet!$U$2:$U$600,0)</f>
        <v>9.7607999999999997</v>
      </c>
      <c r="R579" s="16">
        <f>_xlfn.XLOOKUP(B579,DataSet!$N$2:$N$600,DataSet!$AB$2:$AB$600,0)</f>
        <v>79.680000000000007</v>
      </c>
      <c r="S579" s="9">
        <f>_xlfn.XLOOKUP(B579,DataSet!$N$2:$N$600,DataSet!$AC$2:$AC$600,0)</f>
        <v>79.680000000000007</v>
      </c>
    </row>
    <row r="580" spans="1:19" s="12" customFormat="1" x14ac:dyDescent="0.3">
      <c r="A580" s="27">
        <v>578</v>
      </c>
      <c r="B580" s="10" t="s">
        <v>1952</v>
      </c>
      <c r="C580" s="10" t="str">
        <f>_xlfn.XLOOKUP(B580,DataSet!$N$2:$N$600,DataSet!$AF$2:$AF$600,0)</f>
        <v>149713</v>
      </c>
      <c r="D580" s="10" t="str">
        <f>_xlfn.XLOOKUP(B580,DataSet!$N$2:$N$600,DataSet!$G$2:$G$600,0)</f>
        <v>Trudy Glocke</v>
      </c>
      <c r="E580" s="10" t="str">
        <f>_xlfn.XLOOKUP(B580,DataSet!$N$2:$N$600,DataSet!$F$2:$F$600,0)</f>
        <v>TG-21640</v>
      </c>
      <c r="F580" s="10" t="str">
        <f>_xlfn.XLOOKUP(B580,DataSet!$N$2:$N$600,DataSet!$W$2:$W$600,0)</f>
        <v>Consumer</v>
      </c>
      <c r="G580" s="13">
        <f>_xlfn.XLOOKUP(B580,DataSet!$N$2:$N$600,DataSet!$C$2:$C$600,0)</f>
        <v>42265</v>
      </c>
      <c r="H580" s="10" t="str">
        <f>_xlfn.XLOOKUP(B580,DataSet!$N$2:$N$600,DataSet!$I$2:$I$600,0)</f>
        <v>United States</v>
      </c>
      <c r="I580" s="10" t="str">
        <f>_xlfn.XLOOKUP(B580,DataSet!$N$2:$N$600,DataSet!$X$2:$X$600,0)</f>
        <v>Long Beach - California</v>
      </c>
      <c r="J580" s="10" t="str">
        <f>_xlfn.XLOOKUP(B580,DataSet!$N$2:$N$600,DataSet!$M$2:$M$600,0)</f>
        <v>West</v>
      </c>
      <c r="K580" s="10" t="str">
        <f>_xlfn.XLOOKUP(B580,DataSet!$N$2:$N$600,DataSet!$O$2:$O$600,0)</f>
        <v>Office Supplies</v>
      </c>
      <c r="L580" s="10" t="str">
        <f>_xlfn.XLOOKUP(B580,DataSet!$N$2:$N$600,DataSet!$Y$2:$Y$600,0)</f>
        <v>Supplies</v>
      </c>
      <c r="M580" s="10" t="str">
        <f>_xlfn.XLOOKUP(B580,DataSet!$N$2:$N$600,DataSet!$Q$2:$Q$600,0)</f>
        <v>Acme Value Line Scissors</v>
      </c>
      <c r="N580" s="16">
        <f>_xlfn.XLOOKUP(B580,DataSet!$N$2:$N$600,DataSet!$AA$2:$AA$600,0)</f>
        <v>7.3</v>
      </c>
      <c r="O580" s="10">
        <f>_xlfn.XLOOKUP(B580,DataSet!$N$2:$N$600,DataSet!$S$2:$S$600,0)</f>
        <v>2</v>
      </c>
      <c r="P580" s="15">
        <f>_xlfn.XLOOKUP(B580,DataSet!$N$2:$N$600,DataSet!$T$2:$T$600,0)</f>
        <v>0</v>
      </c>
      <c r="Q580" s="14">
        <f>_xlfn.XLOOKUP(B580,DataSet!$N$2:$N$600,DataSet!$U$2:$U$600,0)</f>
        <v>2.19</v>
      </c>
      <c r="R580" s="16">
        <f>_xlfn.XLOOKUP(B580,DataSet!$N$2:$N$600,DataSet!$AB$2:$AB$600,0)</f>
        <v>14.6</v>
      </c>
      <c r="S580" s="9">
        <f>_xlfn.XLOOKUP(B580,DataSet!$N$2:$N$600,DataSet!$AC$2:$AC$600,0)</f>
        <v>14.6</v>
      </c>
    </row>
    <row r="581" spans="1:19" s="12" customFormat="1" x14ac:dyDescent="0.3">
      <c r="A581" s="27">
        <v>579</v>
      </c>
      <c r="B581" s="10" t="s">
        <v>545</v>
      </c>
      <c r="C581" s="10" t="str">
        <f>_xlfn.XLOOKUP(B581,DataSet!$N$2:$N$600,DataSet!$AF$2:$AF$600,0)</f>
        <v>107272</v>
      </c>
      <c r="D581" s="10" t="str">
        <f>_xlfn.XLOOKUP(B581,DataSet!$N$2:$N$600,DataSet!$G$2:$G$600,0)</f>
        <v>Troy Staebel</v>
      </c>
      <c r="E581" s="10" t="str">
        <f>_xlfn.XLOOKUP(B581,DataSet!$N$2:$N$600,DataSet!$F$2:$F$600,0)</f>
        <v>TS-21610</v>
      </c>
      <c r="F581" s="10" t="str">
        <f>_xlfn.XLOOKUP(B581,DataSet!$N$2:$N$600,DataSet!$W$2:$W$600,0)</f>
        <v>Consumer</v>
      </c>
      <c r="G581" s="13">
        <f>_xlfn.XLOOKUP(B581,DataSet!$N$2:$N$600,DataSet!$C$2:$C$600,0)</f>
        <v>43044</v>
      </c>
      <c r="H581" s="10" t="str">
        <f>_xlfn.XLOOKUP(B581,DataSet!$N$2:$N$600,DataSet!$I$2:$I$600,0)</f>
        <v>United States</v>
      </c>
      <c r="I581" s="10" t="str">
        <f>_xlfn.XLOOKUP(B581,DataSet!$N$2:$N$600,DataSet!$X$2:$X$600,0)</f>
        <v>Phoenix - Arizona</v>
      </c>
      <c r="J581" s="10" t="str">
        <f>_xlfn.XLOOKUP(B581,DataSet!$N$2:$N$600,DataSet!$M$2:$M$600,0)</f>
        <v>West</v>
      </c>
      <c r="K581" s="10" t="str">
        <f>_xlfn.XLOOKUP(B581,DataSet!$N$2:$N$600,DataSet!$O$2:$O$600,0)</f>
        <v>Office Supplies</v>
      </c>
      <c r="L581" s="10" t="str">
        <f>_xlfn.XLOOKUP(B581,DataSet!$N$2:$N$600,DataSet!$Y$2:$Y$600,0)</f>
        <v>Storage</v>
      </c>
      <c r="M581" s="10" t="str">
        <f>_xlfn.XLOOKUP(B581,DataSet!$N$2:$N$600,DataSet!$Q$2:$Q$600,0)</f>
        <v>Trav-L-File Heavy-Duty Shuttle II, Black</v>
      </c>
      <c r="N581" s="16">
        <f>_xlfn.XLOOKUP(B581,DataSet!$N$2:$N$600,DataSet!$AA$2:$AA$600,0)</f>
        <v>243.99199999999999</v>
      </c>
      <c r="O581" s="10">
        <f>_xlfn.XLOOKUP(B581,DataSet!$N$2:$N$600,DataSet!$S$2:$S$600,0)</f>
        <v>7</v>
      </c>
      <c r="P581" s="15">
        <f>_xlfn.XLOOKUP(B581,DataSet!$N$2:$N$600,DataSet!$T$2:$T$600,0)</f>
        <v>0.2</v>
      </c>
      <c r="Q581" s="14">
        <f>_xlfn.XLOOKUP(B581,DataSet!$N$2:$N$600,DataSet!$U$2:$U$600,0)</f>
        <v>30.498999999999999</v>
      </c>
      <c r="R581" s="16">
        <f>_xlfn.XLOOKUP(B581,DataSet!$N$2:$N$600,DataSet!$AB$2:$AB$600,0)</f>
        <v>1707.944</v>
      </c>
      <c r="S581" s="9">
        <f>_xlfn.XLOOKUP(B581,DataSet!$N$2:$N$600,DataSet!$AC$2:$AC$600,0)</f>
        <v>1366.3552</v>
      </c>
    </row>
    <row r="582" spans="1:19" s="12" customFormat="1" x14ac:dyDescent="0.3">
      <c r="A582" s="27">
        <v>580</v>
      </c>
      <c r="B582" s="10" t="s">
        <v>1957</v>
      </c>
      <c r="C582" s="10" t="str">
        <f>_xlfn.XLOOKUP(B582,DataSet!$N$2:$N$600,DataSet!$AF$2:$AF$600,0)</f>
        <v>118640</v>
      </c>
      <c r="D582" s="10" t="str">
        <f>_xlfn.XLOOKUP(B582,DataSet!$N$2:$N$600,DataSet!$G$2:$G$600,0)</f>
        <v>Carlos Soltero</v>
      </c>
      <c r="E582" s="10" t="str">
        <f>_xlfn.XLOOKUP(B582,DataSet!$N$2:$N$600,DataSet!$F$2:$F$600,0)</f>
        <v>CS-11950</v>
      </c>
      <c r="F582" s="10" t="str">
        <f>_xlfn.XLOOKUP(B582,DataSet!$N$2:$N$600,DataSet!$W$2:$W$600,0)</f>
        <v>Consumer</v>
      </c>
      <c r="G582" s="13">
        <f>_xlfn.XLOOKUP(B582,DataSet!$N$2:$N$600,DataSet!$C$2:$C$600,0)</f>
        <v>42936</v>
      </c>
      <c r="H582" s="10" t="str">
        <f>_xlfn.XLOOKUP(B582,DataSet!$N$2:$N$600,DataSet!$I$2:$I$600,0)</f>
        <v>United States</v>
      </c>
      <c r="I582" s="10" t="str">
        <f>_xlfn.XLOOKUP(B582,DataSet!$N$2:$N$600,DataSet!$X$2:$X$600,0)</f>
        <v>Chicago - Illinois</v>
      </c>
      <c r="J582" s="10" t="str">
        <f>_xlfn.XLOOKUP(B582,DataSet!$N$2:$N$600,DataSet!$M$2:$M$600,0)</f>
        <v>Central</v>
      </c>
      <c r="K582" s="10" t="str">
        <f>_xlfn.XLOOKUP(B582,DataSet!$N$2:$N$600,DataSet!$O$2:$O$600,0)</f>
        <v>Furniture</v>
      </c>
      <c r="L582" s="10" t="str">
        <f>_xlfn.XLOOKUP(B582,DataSet!$N$2:$N$600,DataSet!$Y$2:$Y$600,0)</f>
        <v>Furnishings</v>
      </c>
      <c r="M582" s="10" t="str">
        <f>_xlfn.XLOOKUP(B582,DataSet!$N$2:$N$600,DataSet!$Q$2:$Q$600,0)</f>
        <v>Contract Clock, 14", Brown</v>
      </c>
      <c r="N582" s="16">
        <f>_xlfn.XLOOKUP(B582,DataSet!$N$2:$N$600,DataSet!$AA$2:$AA$600,0)</f>
        <v>8.7919999999999998</v>
      </c>
      <c r="O582" s="10">
        <f>_xlfn.XLOOKUP(B582,DataSet!$N$2:$N$600,DataSet!$S$2:$S$600,0)</f>
        <v>1</v>
      </c>
      <c r="P582" s="15">
        <f>_xlfn.XLOOKUP(B582,DataSet!$N$2:$N$600,DataSet!$T$2:$T$600,0)</f>
        <v>0.6</v>
      </c>
      <c r="Q582" s="14">
        <f>_xlfn.XLOOKUP(B582,DataSet!$N$2:$N$600,DataSet!$U$2:$U$600,0)</f>
        <v>-5.7148000000000003</v>
      </c>
      <c r="R582" s="16">
        <f>_xlfn.XLOOKUP(B582,DataSet!$N$2:$N$600,DataSet!$AB$2:$AB$600,0)</f>
        <v>8.7919999999999998</v>
      </c>
      <c r="S582" s="9">
        <f>_xlfn.XLOOKUP(B582,DataSet!$N$2:$N$600,DataSet!$AC$2:$AC$600,0)</f>
        <v>3.5167999999999999</v>
      </c>
    </row>
    <row r="583" spans="1:19" s="12" customFormat="1" x14ac:dyDescent="0.3">
      <c r="A583" s="27">
        <v>581</v>
      </c>
      <c r="B583" s="10" t="s">
        <v>1962</v>
      </c>
      <c r="C583" s="10" t="str">
        <f>_xlfn.XLOOKUP(B583,DataSet!$N$2:$N$600,DataSet!$AF$2:$AF$600,0)</f>
        <v>132906</v>
      </c>
      <c r="D583" s="10" t="str">
        <f>_xlfn.XLOOKUP(B583,DataSet!$N$2:$N$600,DataSet!$G$2:$G$600,0)</f>
        <v>Charles Crestani</v>
      </c>
      <c r="E583" s="10" t="str">
        <f>_xlfn.XLOOKUP(B583,DataSet!$N$2:$N$600,DataSet!$F$2:$F$600,0)</f>
        <v>CC-12145</v>
      </c>
      <c r="F583" s="10" t="str">
        <f>_xlfn.XLOOKUP(B583,DataSet!$N$2:$N$600,DataSet!$W$2:$W$600,0)</f>
        <v>Consumer</v>
      </c>
      <c r="G583" s="13">
        <f>_xlfn.XLOOKUP(B583,DataSet!$N$2:$N$600,DataSet!$C$2:$C$600,0)</f>
        <v>42257</v>
      </c>
      <c r="H583" s="10" t="str">
        <f>_xlfn.XLOOKUP(B583,DataSet!$N$2:$N$600,DataSet!$I$2:$I$600,0)</f>
        <v>United States</v>
      </c>
      <c r="I583" s="10" t="str">
        <f>_xlfn.XLOOKUP(B583,DataSet!$N$2:$N$600,DataSet!$X$2:$X$600,0)</f>
        <v>Los Angeles - California</v>
      </c>
      <c r="J583" s="10" t="str">
        <f>_xlfn.XLOOKUP(B583,DataSet!$N$2:$N$600,DataSet!$M$2:$M$600,0)</f>
        <v>West</v>
      </c>
      <c r="K583" s="10" t="str">
        <f>_xlfn.XLOOKUP(B583,DataSet!$N$2:$N$600,DataSet!$O$2:$O$600,0)</f>
        <v>Office Supplies</v>
      </c>
      <c r="L583" s="10" t="str">
        <f>_xlfn.XLOOKUP(B583,DataSet!$N$2:$N$600,DataSet!$Y$2:$Y$600,0)</f>
        <v>Supplies</v>
      </c>
      <c r="M583" s="10" t="str">
        <f>_xlfn.XLOOKUP(B583,DataSet!$N$2:$N$600,DataSet!$Q$2:$Q$600,0)</f>
        <v>Martin-Yale Premier Letter Opener</v>
      </c>
      <c r="N583" s="16">
        <f>_xlfn.XLOOKUP(B583,DataSet!$N$2:$N$600,DataSet!$AA$2:$AA$600,0)</f>
        <v>51.52</v>
      </c>
      <c r="O583" s="10">
        <f>_xlfn.XLOOKUP(B583,DataSet!$N$2:$N$600,DataSet!$S$2:$S$600,0)</f>
        <v>4</v>
      </c>
      <c r="P583" s="15">
        <f>_xlfn.XLOOKUP(B583,DataSet!$N$2:$N$600,DataSet!$T$2:$T$600,0)</f>
        <v>0</v>
      </c>
      <c r="Q583" s="14">
        <f>_xlfn.XLOOKUP(B583,DataSet!$N$2:$N$600,DataSet!$U$2:$U$600,0)</f>
        <v>1.5456000000000001</v>
      </c>
      <c r="R583" s="16">
        <f>_xlfn.XLOOKUP(B583,DataSet!$N$2:$N$600,DataSet!$AB$2:$AB$600,0)</f>
        <v>206.08</v>
      </c>
      <c r="S583" s="9">
        <f>_xlfn.XLOOKUP(B583,DataSet!$N$2:$N$600,DataSet!$AC$2:$AC$600,0)</f>
        <v>206.08</v>
      </c>
    </row>
    <row r="584" spans="1:19" s="12" customFormat="1" x14ac:dyDescent="0.3">
      <c r="A584" s="27">
        <v>582</v>
      </c>
      <c r="B584" s="10" t="s">
        <v>190</v>
      </c>
      <c r="C584" s="10" t="str">
        <f>_xlfn.XLOOKUP(B584,DataSet!$N$2:$N$600,DataSet!$AF$2:$AF$600,0)</f>
        <v>117590</v>
      </c>
      <c r="D584" s="10" t="str">
        <f>_xlfn.XLOOKUP(B584,DataSet!$N$2:$N$600,DataSet!$G$2:$G$600,0)</f>
        <v>Gene Hale</v>
      </c>
      <c r="E584" s="10" t="str">
        <f>_xlfn.XLOOKUP(B584,DataSet!$N$2:$N$600,DataSet!$F$2:$F$600,0)</f>
        <v>GH-14485</v>
      </c>
      <c r="F584" s="10" t="str">
        <f>_xlfn.XLOOKUP(B584,DataSet!$N$2:$N$600,DataSet!$W$2:$W$600,0)</f>
        <v>Corporate</v>
      </c>
      <c r="G584" s="13">
        <f>_xlfn.XLOOKUP(B584,DataSet!$N$2:$N$600,DataSet!$C$2:$C$600,0)</f>
        <v>42712</v>
      </c>
      <c r="H584" s="10" t="str">
        <f>_xlfn.XLOOKUP(B584,DataSet!$N$2:$N$600,DataSet!$I$2:$I$600,0)</f>
        <v>United States</v>
      </c>
      <c r="I584" s="10" t="str">
        <f>_xlfn.XLOOKUP(B584,DataSet!$N$2:$N$600,DataSet!$X$2:$X$600,0)</f>
        <v>Richardson - Texas</v>
      </c>
      <c r="J584" s="10" t="str">
        <f>_xlfn.XLOOKUP(B584,DataSet!$N$2:$N$600,DataSet!$M$2:$M$600,0)</f>
        <v>Central</v>
      </c>
      <c r="K584" s="10" t="str">
        <f>_xlfn.XLOOKUP(B584,DataSet!$N$2:$N$600,DataSet!$O$2:$O$600,0)</f>
        <v>Technology</v>
      </c>
      <c r="L584" s="10" t="str">
        <f>_xlfn.XLOOKUP(B584,DataSet!$N$2:$N$600,DataSet!$Y$2:$Y$600,0)</f>
        <v>Phones</v>
      </c>
      <c r="M584" s="10" t="str">
        <f>_xlfn.XLOOKUP(B584,DataSet!$N$2:$N$600,DataSet!$Q$2:$Q$600,0)</f>
        <v>GE 30524EE4</v>
      </c>
      <c r="N584" s="16">
        <f>_xlfn.XLOOKUP(B584,DataSet!$N$2:$N$600,DataSet!$AA$2:$AA$600,0)</f>
        <v>1097.5440000000001</v>
      </c>
      <c r="O584" s="10">
        <f>_xlfn.XLOOKUP(B584,DataSet!$N$2:$N$600,DataSet!$S$2:$S$600,0)</f>
        <v>7</v>
      </c>
      <c r="P584" s="15">
        <f>_xlfn.XLOOKUP(B584,DataSet!$N$2:$N$600,DataSet!$T$2:$T$600,0)</f>
        <v>0.2</v>
      </c>
      <c r="Q584" s="14">
        <f>_xlfn.XLOOKUP(B584,DataSet!$N$2:$N$600,DataSet!$U$2:$U$600,0)</f>
        <v>123.47369999999999</v>
      </c>
      <c r="R584" s="16">
        <f>_xlfn.XLOOKUP(B584,DataSet!$N$2:$N$600,DataSet!$AB$2:$AB$600,0)</f>
        <v>7682.8080000000009</v>
      </c>
      <c r="S584" s="9">
        <f>_xlfn.XLOOKUP(B584,DataSet!$N$2:$N$600,DataSet!$AC$2:$AC$600,0)</f>
        <v>6146.2464000000009</v>
      </c>
    </row>
    <row r="585" spans="1:19" s="12" customFormat="1" x14ac:dyDescent="0.3">
      <c r="A585" s="27">
        <v>583</v>
      </c>
      <c r="B585" s="10" t="s">
        <v>1967</v>
      </c>
      <c r="C585" s="10" t="str">
        <f>_xlfn.XLOOKUP(B585,DataSet!$N$2:$N$600,DataSet!$AF$2:$AF$600,0)</f>
        <v>145233</v>
      </c>
      <c r="D585" s="10" t="str">
        <f>_xlfn.XLOOKUP(B585,DataSet!$N$2:$N$600,DataSet!$G$2:$G$600,0)</f>
        <v>Dianna Vittorini</v>
      </c>
      <c r="E585" s="10" t="str">
        <f>_xlfn.XLOOKUP(B585,DataSet!$N$2:$N$600,DataSet!$F$2:$F$600,0)</f>
        <v>DV-13465</v>
      </c>
      <c r="F585" s="10" t="str">
        <f>_xlfn.XLOOKUP(B585,DataSet!$N$2:$N$600,DataSet!$W$2:$W$600,0)</f>
        <v>Consumer</v>
      </c>
      <c r="G585" s="13">
        <f>_xlfn.XLOOKUP(B585,DataSet!$N$2:$N$600,DataSet!$C$2:$C$600,0)</f>
        <v>43070</v>
      </c>
      <c r="H585" s="10" t="str">
        <f>_xlfn.XLOOKUP(B585,DataSet!$N$2:$N$600,DataSet!$I$2:$I$600,0)</f>
        <v>United States</v>
      </c>
      <c r="I585" s="10" t="str">
        <f>_xlfn.XLOOKUP(B585,DataSet!$N$2:$N$600,DataSet!$X$2:$X$600,0)</f>
        <v>Denver - Colorado</v>
      </c>
      <c r="J585" s="10" t="str">
        <f>_xlfn.XLOOKUP(B585,DataSet!$N$2:$N$600,DataSet!$M$2:$M$600,0)</f>
        <v>West</v>
      </c>
      <c r="K585" s="10" t="str">
        <f>_xlfn.XLOOKUP(B585,DataSet!$N$2:$N$600,DataSet!$O$2:$O$600,0)</f>
        <v>Technology</v>
      </c>
      <c r="L585" s="10" t="str">
        <f>_xlfn.XLOOKUP(B585,DataSet!$N$2:$N$600,DataSet!$Y$2:$Y$600,0)</f>
        <v>Phones</v>
      </c>
      <c r="M585" s="10" t="str">
        <f>_xlfn.XLOOKUP(B585,DataSet!$N$2:$N$600,DataSet!$Q$2:$Q$600,0)</f>
        <v>AT&amp;T SB67148 SynJ</v>
      </c>
      <c r="N585" s="16">
        <f>_xlfn.XLOOKUP(B585,DataSet!$N$2:$N$600,DataSet!$AA$2:$AA$600,0)</f>
        <v>105.584</v>
      </c>
      <c r="O585" s="10">
        <f>_xlfn.XLOOKUP(B585,DataSet!$N$2:$N$600,DataSet!$S$2:$S$600,0)</f>
        <v>2</v>
      </c>
      <c r="P585" s="15">
        <f>_xlfn.XLOOKUP(B585,DataSet!$N$2:$N$600,DataSet!$T$2:$T$600,0)</f>
        <v>0.2</v>
      </c>
      <c r="Q585" s="14">
        <f>_xlfn.XLOOKUP(B585,DataSet!$N$2:$N$600,DataSet!$U$2:$U$600,0)</f>
        <v>9.2385999999999999</v>
      </c>
      <c r="R585" s="16">
        <f>_xlfn.XLOOKUP(B585,DataSet!$N$2:$N$600,DataSet!$AB$2:$AB$600,0)</f>
        <v>211.16800000000001</v>
      </c>
      <c r="S585" s="9">
        <f>_xlfn.XLOOKUP(B585,DataSet!$N$2:$N$600,DataSet!$AC$2:$AC$600,0)</f>
        <v>168.93440000000001</v>
      </c>
    </row>
    <row r="586" spans="1:19" s="12" customFormat="1" x14ac:dyDescent="0.3">
      <c r="A586" s="27">
        <v>584</v>
      </c>
      <c r="B586" s="10" t="s">
        <v>435</v>
      </c>
      <c r="C586" s="10" t="str">
        <f>_xlfn.XLOOKUP(B586,DataSet!$N$2:$N$600,DataSet!$AF$2:$AF$600,0)</f>
        <v>149223</v>
      </c>
      <c r="D586" s="10" t="str">
        <f>_xlfn.XLOOKUP(B586,DataSet!$N$2:$N$600,DataSet!$G$2:$G$600,0)</f>
        <v>Elpida Rittenbach</v>
      </c>
      <c r="E586" s="10" t="str">
        <f>_xlfn.XLOOKUP(B586,DataSet!$N$2:$N$600,DataSet!$F$2:$F$600,0)</f>
        <v>ER-13855</v>
      </c>
      <c r="F586" s="10" t="str">
        <f>_xlfn.XLOOKUP(B586,DataSet!$N$2:$N$600,DataSet!$W$2:$W$600,0)</f>
        <v>Corporate</v>
      </c>
      <c r="G586" s="13">
        <f>_xlfn.XLOOKUP(B586,DataSet!$N$2:$N$600,DataSet!$C$2:$C$600,0)</f>
        <v>42619</v>
      </c>
      <c r="H586" s="10" t="str">
        <f>_xlfn.XLOOKUP(B586,DataSet!$N$2:$N$600,DataSet!$I$2:$I$600,0)</f>
        <v>United States</v>
      </c>
      <c r="I586" s="10" t="str">
        <f>_xlfn.XLOOKUP(B586,DataSet!$N$2:$N$600,DataSet!$X$2:$X$600,0)</f>
        <v>Saint Paul - Minnesota</v>
      </c>
      <c r="J586" s="10" t="str">
        <f>_xlfn.XLOOKUP(B586,DataSet!$N$2:$N$600,DataSet!$M$2:$M$600,0)</f>
        <v>Central</v>
      </c>
      <c r="K586" s="10" t="str">
        <f>_xlfn.XLOOKUP(B586,DataSet!$N$2:$N$600,DataSet!$O$2:$O$600,0)</f>
        <v>Office Supplies</v>
      </c>
      <c r="L586" s="10" t="str">
        <f>_xlfn.XLOOKUP(B586,DataSet!$N$2:$N$600,DataSet!$Y$2:$Y$600,0)</f>
        <v>Appliances</v>
      </c>
      <c r="M586" s="10" t="str">
        <f>_xlfn.XLOOKUP(B586,DataSet!$N$2:$N$600,DataSet!$Q$2:$Q$600,0)</f>
        <v>Fellowes Basic Home/Office Series Surge Protectors</v>
      </c>
      <c r="N586" s="16">
        <f>_xlfn.XLOOKUP(B586,DataSet!$N$2:$N$600,DataSet!$AA$2:$AA$600,0)</f>
        <v>77.88</v>
      </c>
      <c r="O586" s="10">
        <f>_xlfn.XLOOKUP(B586,DataSet!$N$2:$N$600,DataSet!$S$2:$S$600,0)</f>
        <v>6</v>
      </c>
      <c r="P586" s="15">
        <f>_xlfn.XLOOKUP(B586,DataSet!$N$2:$N$600,DataSet!$T$2:$T$600,0)</f>
        <v>0</v>
      </c>
      <c r="Q586" s="14">
        <f>_xlfn.XLOOKUP(B586,DataSet!$N$2:$N$600,DataSet!$U$2:$U$600,0)</f>
        <v>22.5852</v>
      </c>
      <c r="R586" s="16">
        <f>_xlfn.XLOOKUP(B586,DataSet!$N$2:$N$600,DataSet!$AB$2:$AB$600,0)</f>
        <v>467.28</v>
      </c>
      <c r="S586" s="9">
        <f>_xlfn.XLOOKUP(B586,DataSet!$N$2:$N$600,DataSet!$AC$2:$AC$600,0)</f>
        <v>467.28</v>
      </c>
    </row>
    <row r="587" spans="1:19" s="12" customFormat="1" x14ac:dyDescent="0.3">
      <c r="A587" s="27">
        <v>585</v>
      </c>
      <c r="B587" s="10" t="s">
        <v>1969</v>
      </c>
      <c r="C587" s="10" t="str">
        <f>_xlfn.XLOOKUP(B587,DataSet!$N$2:$N$600,DataSet!$AF$2:$AF$600,0)</f>
        <v>145233</v>
      </c>
      <c r="D587" s="10" t="str">
        <f>_xlfn.XLOOKUP(B587,DataSet!$N$2:$N$600,DataSet!$G$2:$G$600,0)</f>
        <v>Dianna Vittorini</v>
      </c>
      <c r="E587" s="10" t="str">
        <f>_xlfn.XLOOKUP(B587,DataSet!$N$2:$N$600,DataSet!$F$2:$F$600,0)</f>
        <v>DV-13465</v>
      </c>
      <c r="F587" s="10" t="str">
        <f>_xlfn.XLOOKUP(B587,DataSet!$N$2:$N$600,DataSet!$W$2:$W$600,0)</f>
        <v>Consumer</v>
      </c>
      <c r="G587" s="13">
        <f>_xlfn.XLOOKUP(B587,DataSet!$N$2:$N$600,DataSet!$C$2:$C$600,0)</f>
        <v>43070</v>
      </c>
      <c r="H587" s="10" t="str">
        <f>_xlfn.XLOOKUP(B587,DataSet!$N$2:$N$600,DataSet!$I$2:$I$600,0)</f>
        <v>United States</v>
      </c>
      <c r="I587" s="10" t="str">
        <f>_xlfn.XLOOKUP(B587,DataSet!$N$2:$N$600,DataSet!$X$2:$X$600,0)</f>
        <v>Denver - Colorado</v>
      </c>
      <c r="J587" s="10" t="str">
        <f>_xlfn.XLOOKUP(B587,DataSet!$N$2:$N$600,DataSet!$M$2:$M$600,0)</f>
        <v>West</v>
      </c>
      <c r="K587" s="10" t="str">
        <f>_xlfn.XLOOKUP(B587,DataSet!$N$2:$N$600,DataSet!$O$2:$O$600,0)</f>
        <v>Office Supplies</v>
      </c>
      <c r="L587" s="10" t="str">
        <f>_xlfn.XLOOKUP(B587,DataSet!$N$2:$N$600,DataSet!$Y$2:$Y$600,0)</f>
        <v>Binders</v>
      </c>
      <c r="M587" s="10" t="str">
        <f>_xlfn.XLOOKUP(B587,DataSet!$N$2:$N$600,DataSet!$Q$2:$Q$600,0)</f>
        <v>Recycled Pressboard Report Cover with Reinforced Top Hinge</v>
      </c>
      <c r="N587" s="16">
        <f>_xlfn.XLOOKUP(B587,DataSet!$N$2:$N$600,DataSet!$AA$2:$AA$600,0)</f>
        <v>6.7830000000000004</v>
      </c>
      <c r="O587" s="10">
        <f>_xlfn.XLOOKUP(B587,DataSet!$N$2:$N$600,DataSet!$S$2:$S$600,0)</f>
        <v>7</v>
      </c>
      <c r="P587" s="15">
        <f>_xlfn.XLOOKUP(B587,DataSet!$N$2:$N$600,DataSet!$T$2:$T$600,0)</f>
        <v>0.7</v>
      </c>
      <c r="Q587" s="14">
        <f>_xlfn.XLOOKUP(B587,DataSet!$N$2:$N$600,DataSet!$U$2:$U$600,0)</f>
        <v>-4.7481</v>
      </c>
      <c r="R587" s="16">
        <f>_xlfn.XLOOKUP(B587,DataSet!$N$2:$N$600,DataSet!$AB$2:$AB$600,0)</f>
        <v>47.481000000000002</v>
      </c>
      <c r="S587" s="9">
        <f>_xlfn.XLOOKUP(B587,DataSet!$N$2:$N$600,DataSet!$AC$2:$AC$600,0)</f>
        <v>14.244300000000003</v>
      </c>
    </row>
    <row r="588" spans="1:19" s="12" customFormat="1" x14ac:dyDescent="0.3">
      <c r="A588" s="27">
        <v>586</v>
      </c>
      <c r="B588" s="10" t="s">
        <v>624</v>
      </c>
      <c r="C588" s="10" t="str">
        <f>_xlfn.XLOOKUP(B588,DataSet!$N$2:$N$600,DataSet!$AF$2:$AF$600,0)</f>
        <v>158834</v>
      </c>
      <c r="D588" s="10" t="str">
        <f>_xlfn.XLOOKUP(B588,DataSet!$N$2:$N$600,DataSet!$G$2:$G$600,0)</f>
        <v>Tamara Willingham</v>
      </c>
      <c r="E588" s="10" t="str">
        <f>_xlfn.XLOOKUP(B588,DataSet!$N$2:$N$600,DataSet!$F$2:$F$600,0)</f>
        <v>TW-21025</v>
      </c>
      <c r="F588" s="10" t="str">
        <f>_xlfn.XLOOKUP(B588,DataSet!$N$2:$N$600,DataSet!$W$2:$W$600,0)</f>
        <v>Home Office</v>
      </c>
      <c r="G588" s="13">
        <f>_xlfn.XLOOKUP(B588,DataSet!$N$2:$N$600,DataSet!$C$2:$C$600,0)</f>
        <v>42442</v>
      </c>
      <c r="H588" s="10" t="str">
        <f>_xlfn.XLOOKUP(B588,DataSet!$N$2:$N$600,DataSet!$I$2:$I$600,0)</f>
        <v>United States</v>
      </c>
      <c r="I588" s="10" t="str">
        <f>_xlfn.XLOOKUP(B588,DataSet!$N$2:$N$600,DataSet!$X$2:$X$600,0)</f>
        <v>Scottsdale - Arizona</v>
      </c>
      <c r="J588" s="10" t="str">
        <f>_xlfn.XLOOKUP(B588,DataSet!$N$2:$N$600,DataSet!$M$2:$M$600,0)</f>
        <v>West</v>
      </c>
      <c r="K588" s="10" t="str">
        <f>_xlfn.XLOOKUP(B588,DataSet!$N$2:$N$600,DataSet!$O$2:$O$600,0)</f>
        <v>Technology</v>
      </c>
      <c r="L588" s="10" t="str">
        <f>_xlfn.XLOOKUP(B588,DataSet!$N$2:$N$600,DataSet!$Y$2:$Y$600,0)</f>
        <v>Phones</v>
      </c>
      <c r="M588" s="10" t="str">
        <f>_xlfn.XLOOKUP(B588,DataSet!$N$2:$N$600,DataSet!$Q$2:$Q$600,0)</f>
        <v>Jabra BIZ 2300 Duo QD Duo Corded Headset</v>
      </c>
      <c r="N588" s="16">
        <f>_xlfn.XLOOKUP(B588,DataSet!$N$2:$N$600,DataSet!$AA$2:$AA$600,0)</f>
        <v>203.184</v>
      </c>
      <c r="O588" s="10">
        <f>_xlfn.XLOOKUP(B588,DataSet!$N$2:$N$600,DataSet!$S$2:$S$600,0)</f>
        <v>2</v>
      </c>
      <c r="P588" s="15">
        <f>_xlfn.XLOOKUP(B588,DataSet!$N$2:$N$600,DataSet!$T$2:$T$600,0)</f>
        <v>0.2</v>
      </c>
      <c r="Q588" s="14">
        <f>_xlfn.XLOOKUP(B588,DataSet!$N$2:$N$600,DataSet!$U$2:$U$600,0)</f>
        <v>15.238799999999999</v>
      </c>
      <c r="R588" s="16">
        <f>_xlfn.XLOOKUP(B588,DataSet!$N$2:$N$600,DataSet!$AB$2:$AB$600,0)</f>
        <v>406.36799999999999</v>
      </c>
      <c r="S588" s="9">
        <f>_xlfn.XLOOKUP(B588,DataSet!$N$2:$N$600,DataSet!$AC$2:$AC$600,0)</f>
        <v>325.09440000000001</v>
      </c>
    </row>
    <row r="589" spans="1:19" s="12" customFormat="1" x14ac:dyDescent="0.3">
      <c r="A589" s="27">
        <v>587</v>
      </c>
      <c r="B589" s="10" t="s">
        <v>1448</v>
      </c>
      <c r="C589" s="10" t="str">
        <f>_xlfn.XLOOKUP(B589,DataSet!$N$2:$N$600,DataSet!$AF$2:$AF$600,0)</f>
        <v>117457</v>
      </c>
      <c r="D589" s="10" t="str">
        <f>_xlfn.XLOOKUP(B589,DataSet!$N$2:$N$600,DataSet!$G$2:$G$600,0)</f>
        <v>Keith Herrera</v>
      </c>
      <c r="E589" s="10" t="str">
        <f>_xlfn.XLOOKUP(B589,DataSet!$N$2:$N$600,DataSet!$F$2:$F$600,0)</f>
        <v>KH-16510</v>
      </c>
      <c r="F589" s="10" t="str">
        <f>_xlfn.XLOOKUP(B589,DataSet!$N$2:$N$600,DataSet!$W$2:$W$600,0)</f>
        <v>Consumer</v>
      </c>
      <c r="G589" s="13">
        <f>_xlfn.XLOOKUP(B589,DataSet!$N$2:$N$600,DataSet!$C$2:$C$600,0)</f>
        <v>43077</v>
      </c>
      <c r="H589" s="10" t="str">
        <f>_xlfn.XLOOKUP(B589,DataSet!$N$2:$N$600,DataSet!$I$2:$I$600,0)</f>
        <v>United States</v>
      </c>
      <c r="I589" s="10" t="str">
        <f>_xlfn.XLOOKUP(B589,DataSet!$N$2:$N$600,DataSet!$X$2:$X$600,0)</f>
        <v>San Francisco - California</v>
      </c>
      <c r="J589" s="10" t="str">
        <f>_xlfn.XLOOKUP(B589,DataSet!$N$2:$N$600,DataSet!$M$2:$M$600,0)</f>
        <v>West</v>
      </c>
      <c r="K589" s="10" t="str">
        <f>_xlfn.XLOOKUP(B589,DataSet!$N$2:$N$600,DataSet!$O$2:$O$600,0)</f>
        <v>Furniture</v>
      </c>
      <c r="L589" s="10" t="str">
        <f>_xlfn.XLOOKUP(B589,DataSet!$N$2:$N$600,DataSet!$Y$2:$Y$600,0)</f>
        <v>Chairs</v>
      </c>
      <c r="M589" s="10" t="str">
        <f>_xlfn.XLOOKUP(B589,DataSet!$N$2:$N$600,DataSet!$Q$2:$Q$600,0)</f>
        <v>Novimex High-Tech Fabric Mesh Task Chair</v>
      </c>
      <c r="N589" s="16">
        <f>_xlfn.XLOOKUP(B589,DataSet!$N$2:$N$600,DataSet!$AA$2:$AA$600,0)</f>
        <v>113.568</v>
      </c>
      <c r="O589" s="10">
        <f>_xlfn.XLOOKUP(B589,DataSet!$N$2:$N$600,DataSet!$S$2:$S$600,0)</f>
        <v>2</v>
      </c>
      <c r="P589" s="15">
        <f>_xlfn.XLOOKUP(B589,DataSet!$N$2:$N$600,DataSet!$T$2:$T$600,0)</f>
        <v>0.2</v>
      </c>
      <c r="Q589" s="14">
        <f>_xlfn.XLOOKUP(B589,DataSet!$N$2:$N$600,DataSet!$U$2:$U$600,0)</f>
        <v>-18.454799999999999</v>
      </c>
      <c r="R589" s="16">
        <f>_xlfn.XLOOKUP(B589,DataSet!$N$2:$N$600,DataSet!$AB$2:$AB$600,0)</f>
        <v>227.136</v>
      </c>
      <c r="S589" s="9">
        <f>_xlfn.XLOOKUP(B589,DataSet!$N$2:$N$600,DataSet!$AC$2:$AC$600,0)</f>
        <v>181.7088</v>
      </c>
    </row>
    <row r="590" spans="1:19" s="12" customFormat="1" x14ac:dyDescent="0.3">
      <c r="A590" s="27">
        <v>588</v>
      </c>
      <c r="B590" s="10" t="s">
        <v>1974</v>
      </c>
      <c r="C590" s="10" t="str">
        <f>_xlfn.XLOOKUP(B590,DataSet!$N$2:$N$600,DataSet!$AF$2:$AF$600,0)</f>
        <v>128139</v>
      </c>
      <c r="D590" s="10" t="str">
        <f>_xlfn.XLOOKUP(B590,DataSet!$N$2:$N$600,DataSet!$G$2:$G$600,0)</f>
        <v>Bruce Degenhardt</v>
      </c>
      <c r="E590" s="10" t="str">
        <f>_xlfn.XLOOKUP(B590,DataSet!$N$2:$N$600,DataSet!$F$2:$F$600,0)</f>
        <v>BD-11725</v>
      </c>
      <c r="F590" s="10" t="str">
        <f>_xlfn.XLOOKUP(B590,DataSet!$N$2:$N$600,DataSet!$W$2:$W$600,0)</f>
        <v>Consumer</v>
      </c>
      <c r="G590" s="13">
        <f>_xlfn.XLOOKUP(B590,DataSet!$N$2:$N$600,DataSet!$C$2:$C$600,0)</f>
        <v>42188</v>
      </c>
      <c r="H590" s="10" t="str">
        <f>_xlfn.XLOOKUP(B590,DataSet!$N$2:$N$600,DataSet!$I$2:$I$600,0)</f>
        <v>United States</v>
      </c>
      <c r="I590" s="10" t="str">
        <f>_xlfn.XLOOKUP(B590,DataSet!$N$2:$N$600,DataSet!$X$2:$X$600,0)</f>
        <v>Richmond - Kentucky</v>
      </c>
      <c r="J590" s="10" t="str">
        <f>_xlfn.XLOOKUP(B590,DataSet!$N$2:$N$600,DataSet!$M$2:$M$600,0)</f>
        <v>South</v>
      </c>
      <c r="K590" s="10" t="str">
        <f>_xlfn.XLOOKUP(B590,DataSet!$N$2:$N$600,DataSet!$O$2:$O$600,0)</f>
        <v>Office Supplies</v>
      </c>
      <c r="L590" s="10" t="str">
        <f>_xlfn.XLOOKUP(B590,DataSet!$N$2:$N$600,DataSet!$Y$2:$Y$600,0)</f>
        <v>Labels</v>
      </c>
      <c r="M590" s="10" t="str">
        <f>_xlfn.XLOOKUP(B590,DataSet!$N$2:$N$600,DataSet!$Q$2:$Q$600,0)</f>
        <v>Dot Matrix Printer Tape Reel Labels, White, 5000/Box</v>
      </c>
      <c r="N590" s="16">
        <f>_xlfn.XLOOKUP(B590,DataSet!$N$2:$N$600,DataSet!$AA$2:$AA$600,0)</f>
        <v>294.93</v>
      </c>
      <c r="O590" s="10">
        <f>_xlfn.XLOOKUP(B590,DataSet!$N$2:$N$600,DataSet!$S$2:$S$600,0)</f>
        <v>3</v>
      </c>
      <c r="P590" s="15">
        <f>_xlfn.XLOOKUP(B590,DataSet!$N$2:$N$600,DataSet!$T$2:$T$600,0)</f>
        <v>0</v>
      </c>
      <c r="Q590" s="14">
        <f>_xlfn.XLOOKUP(B590,DataSet!$N$2:$N$600,DataSet!$U$2:$U$600,0)</f>
        <v>144.51570000000001</v>
      </c>
      <c r="R590" s="16">
        <f>_xlfn.XLOOKUP(B590,DataSet!$N$2:$N$600,DataSet!$AB$2:$AB$600,0)</f>
        <v>884.79</v>
      </c>
      <c r="S590" s="9">
        <f>_xlfn.XLOOKUP(B590,DataSet!$N$2:$N$600,DataSet!$AC$2:$AC$600,0)</f>
        <v>884.79</v>
      </c>
    </row>
    <row r="591" spans="1:19" s="12" customFormat="1" x14ac:dyDescent="0.3">
      <c r="A591" s="27">
        <v>589</v>
      </c>
      <c r="B591" s="10" t="s">
        <v>1980</v>
      </c>
      <c r="C591" s="10" t="str">
        <f>_xlfn.XLOOKUP(B591,DataSet!$N$2:$N$600,DataSet!$AF$2:$AF$600,0)</f>
        <v>156986</v>
      </c>
      <c r="D591" s="10" t="str">
        <f>_xlfn.XLOOKUP(B591,DataSet!$N$2:$N$600,DataSet!$G$2:$G$600,0)</f>
        <v>Zuschuss Carroll</v>
      </c>
      <c r="E591" s="10" t="str">
        <f>_xlfn.XLOOKUP(B591,DataSet!$N$2:$N$600,DataSet!$F$2:$F$600,0)</f>
        <v>ZC-21910</v>
      </c>
      <c r="F591" s="10" t="str">
        <f>_xlfn.XLOOKUP(B591,DataSet!$N$2:$N$600,DataSet!$W$2:$W$600,0)</f>
        <v>Consumer</v>
      </c>
      <c r="G591" s="13">
        <f>_xlfn.XLOOKUP(B591,DataSet!$N$2:$N$600,DataSet!$C$2:$C$600,0)</f>
        <v>42449</v>
      </c>
      <c r="H591" s="10" t="str">
        <f>_xlfn.XLOOKUP(B591,DataSet!$N$2:$N$600,DataSet!$I$2:$I$600,0)</f>
        <v>United States</v>
      </c>
      <c r="I591" s="10" t="str">
        <f>_xlfn.XLOOKUP(B591,DataSet!$N$2:$N$600,DataSet!$X$2:$X$600,0)</f>
        <v>Salem - Oregon</v>
      </c>
      <c r="J591" s="10" t="str">
        <f>_xlfn.XLOOKUP(B591,DataSet!$N$2:$N$600,DataSet!$M$2:$M$600,0)</f>
        <v>West</v>
      </c>
      <c r="K591" s="10" t="str">
        <f>_xlfn.XLOOKUP(B591,DataSet!$N$2:$N$600,DataSet!$O$2:$O$600,0)</f>
        <v>Technology</v>
      </c>
      <c r="L591" s="10" t="str">
        <f>_xlfn.XLOOKUP(B591,DataSet!$N$2:$N$600,DataSet!$Y$2:$Y$600,0)</f>
        <v>Phones</v>
      </c>
      <c r="M591" s="10" t="str">
        <f>_xlfn.XLOOKUP(B591,DataSet!$N$2:$N$600,DataSet!$Q$2:$Q$600,0)</f>
        <v>i.Sound Portable Power - 8000 mAh</v>
      </c>
      <c r="N591" s="16">
        <f>_xlfn.XLOOKUP(B591,DataSet!$N$2:$N$600,DataSet!$AA$2:$AA$600,0)</f>
        <v>84.784000000000006</v>
      </c>
      <c r="O591" s="10">
        <f>_xlfn.XLOOKUP(B591,DataSet!$N$2:$N$600,DataSet!$S$2:$S$600,0)</f>
        <v>2</v>
      </c>
      <c r="P591" s="15">
        <f>_xlfn.XLOOKUP(B591,DataSet!$N$2:$N$600,DataSet!$T$2:$T$600,0)</f>
        <v>0.2</v>
      </c>
      <c r="Q591" s="14">
        <f>_xlfn.XLOOKUP(B591,DataSet!$N$2:$N$600,DataSet!$U$2:$U$600,0)</f>
        <v>-20.136199999999999</v>
      </c>
      <c r="R591" s="16">
        <f>_xlfn.XLOOKUP(B591,DataSet!$N$2:$N$600,DataSet!$AB$2:$AB$600,0)</f>
        <v>169.56800000000001</v>
      </c>
      <c r="S591" s="9">
        <f>_xlfn.XLOOKUP(B591,DataSet!$N$2:$N$600,DataSet!$AC$2:$AC$600,0)</f>
        <v>135.65440000000001</v>
      </c>
    </row>
    <row r="592" spans="1:19" s="12" customFormat="1" x14ac:dyDescent="0.3">
      <c r="A592" s="27">
        <v>590</v>
      </c>
      <c r="B592" s="10" t="s">
        <v>1982</v>
      </c>
      <c r="C592" s="10" t="str">
        <f>_xlfn.XLOOKUP(B592,DataSet!$N$2:$N$600,DataSet!$AF$2:$AF$600,0)</f>
        <v>156986</v>
      </c>
      <c r="D592" s="10" t="str">
        <f>_xlfn.XLOOKUP(B592,DataSet!$N$2:$N$600,DataSet!$G$2:$G$600,0)</f>
        <v>Zuschuss Carroll</v>
      </c>
      <c r="E592" s="10" t="str">
        <f>_xlfn.XLOOKUP(B592,DataSet!$N$2:$N$600,DataSet!$F$2:$F$600,0)</f>
        <v>ZC-21910</v>
      </c>
      <c r="F592" s="10" t="str">
        <f>_xlfn.XLOOKUP(B592,DataSet!$N$2:$N$600,DataSet!$W$2:$W$600,0)</f>
        <v>Consumer</v>
      </c>
      <c r="G592" s="13">
        <f>_xlfn.XLOOKUP(B592,DataSet!$N$2:$N$600,DataSet!$C$2:$C$600,0)</f>
        <v>42449</v>
      </c>
      <c r="H592" s="10" t="str">
        <f>_xlfn.XLOOKUP(B592,DataSet!$N$2:$N$600,DataSet!$I$2:$I$600,0)</f>
        <v>United States</v>
      </c>
      <c r="I592" s="10" t="str">
        <f>_xlfn.XLOOKUP(B592,DataSet!$N$2:$N$600,DataSet!$X$2:$X$600,0)</f>
        <v>Salem - Oregon</v>
      </c>
      <c r="J592" s="10" t="str">
        <f>_xlfn.XLOOKUP(B592,DataSet!$N$2:$N$600,DataSet!$M$2:$M$600,0)</f>
        <v>West</v>
      </c>
      <c r="K592" s="10" t="str">
        <f>_xlfn.XLOOKUP(B592,DataSet!$N$2:$N$600,DataSet!$O$2:$O$600,0)</f>
        <v>Office Supplies</v>
      </c>
      <c r="L592" s="10" t="str">
        <f>_xlfn.XLOOKUP(B592,DataSet!$N$2:$N$600,DataSet!$Y$2:$Y$600,0)</f>
        <v>Paper</v>
      </c>
      <c r="M592" s="10" t="str">
        <f>_xlfn.XLOOKUP(B592,DataSet!$N$2:$N$600,DataSet!$Q$2:$Q$600,0)</f>
        <v>Xerox 225</v>
      </c>
      <c r="N592" s="16">
        <f>_xlfn.XLOOKUP(B592,DataSet!$N$2:$N$600,DataSet!$AA$2:$AA$600,0)</f>
        <v>20.736000000000001</v>
      </c>
      <c r="O592" s="10">
        <f>_xlfn.XLOOKUP(B592,DataSet!$N$2:$N$600,DataSet!$S$2:$S$600,0)</f>
        <v>4</v>
      </c>
      <c r="P592" s="15">
        <f>_xlfn.XLOOKUP(B592,DataSet!$N$2:$N$600,DataSet!$T$2:$T$600,0)</f>
        <v>0.2</v>
      </c>
      <c r="Q592" s="14">
        <f>_xlfn.XLOOKUP(B592,DataSet!$N$2:$N$600,DataSet!$U$2:$U$600,0)</f>
        <v>7.2576000000000001</v>
      </c>
      <c r="R592" s="16">
        <f>_xlfn.XLOOKUP(B592,DataSet!$N$2:$N$600,DataSet!$AB$2:$AB$600,0)</f>
        <v>82.944000000000003</v>
      </c>
      <c r="S592" s="9">
        <f>_xlfn.XLOOKUP(B592,DataSet!$N$2:$N$600,DataSet!$AC$2:$AC$600,0)</f>
        <v>66.355200000000011</v>
      </c>
    </row>
    <row r="593" spans="1:19" s="12" customFormat="1" x14ac:dyDescent="0.3">
      <c r="A593" s="27">
        <v>591</v>
      </c>
      <c r="B593" s="10" t="s">
        <v>1715</v>
      </c>
      <c r="C593" s="10" t="str">
        <f>_xlfn.XLOOKUP(B593,DataSet!$N$2:$N$600,DataSet!$AF$2:$AF$600,0)</f>
        <v>126158</v>
      </c>
      <c r="D593" s="10" t="str">
        <f>_xlfn.XLOOKUP(B593,DataSet!$N$2:$N$600,DataSet!$G$2:$G$600,0)</f>
        <v>Sanjit Chand</v>
      </c>
      <c r="E593" s="10" t="str">
        <f>_xlfn.XLOOKUP(B593,DataSet!$N$2:$N$600,DataSet!$F$2:$F$600,0)</f>
        <v>SC-20095</v>
      </c>
      <c r="F593" s="10" t="str">
        <f>_xlfn.XLOOKUP(B593,DataSet!$N$2:$N$600,DataSet!$W$2:$W$600,0)</f>
        <v>Consumer</v>
      </c>
      <c r="G593" s="13">
        <f>_xlfn.XLOOKUP(B593,DataSet!$N$2:$N$600,DataSet!$C$2:$C$600,0)</f>
        <v>42576</v>
      </c>
      <c r="H593" s="10" t="str">
        <f>_xlfn.XLOOKUP(B593,DataSet!$N$2:$N$600,DataSet!$I$2:$I$600,0)</f>
        <v>United States</v>
      </c>
      <c r="I593" s="10" t="str">
        <f>_xlfn.XLOOKUP(B593,DataSet!$N$2:$N$600,DataSet!$X$2:$X$600,0)</f>
        <v>Costa Mesa - California</v>
      </c>
      <c r="J593" s="10" t="str">
        <f>_xlfn.XLOOKUP(B593,DataSet!$N$2:$N$600,DataSet!$M$2:$M$600,0)</f>
        <v>West</v>
      </c>
      <c r="K593" s="10" t="str">
        <f>_xlfn.XLOOKUP(B593,DataSet!$N$2:$N$600,DataSet!$O$2:$O$600,0)</f>
        <v>Office Supplies</v>
      </c>
      <c r="L593" s="10" t="str">
        <f>_xlfn.XLOOKUP(B593,DataSet!$N$2:$N$600,DataSet!$Y$2:$Y$600,0)</f>
        <v>Binders</v>
      </c>
      <c r="M593" s="10" t="str">
        <f>_xlfn.XLOOKUP(B593,DataSet!$N$2:$N$600,DataSet!$Q$2:$Q$600,0)</f>
        <v>Clear Mylar Reinforcing Strips</v>
      </c>
      <c r="N593" s="16">
        <f>_xlfn.XLOOKUP(B593,DataSet!$N$2:$N$600,DataSet!$AA$2:$AA$600,0)</f>
        <v>119.616</v>
      </c>
      <c r="O593" s="10">
        <f>_xlfn.XLOOKUP(B593,DataSet!$N$2:$N$600,DataSet!$S$2:$S$600,0)</f>
        <v>8</v>
      </c>
      <c r="P593" s="15">
        <f>_xlfn.XLOOKUP(B593,DataSet!$N$2:$N$600,DataSet!$T$2:$T$600,0)</f>
        <v>0.2</v>
      </c>
      <c r="Q593" s="14">
        <f>_xlfn.XLOOKUP(B593,DataSet!$N$2:$N$600,DataSet!$U$2:$U$600,0)</f>
        <v>40.370399999999997</v>
      </c>
      <c r="R593" s="16">
        <f>_xlfn.XLOOKUP(B593,DataSet!$N$2:$N$600,DataSet!$AB$2:$AB$600,0)</f>
        <v>956.928</v>
      </c>
      <c r="S593" s="9">
        <f>_xlfn.XLOOKUP(B593,DataSet!$N$2:$N$600,DataSet!$AC$2:$AC$600,0)</f>
        <v>765.54240000000004</v>
      </c>
    </row>
    <row r="594" spans="1:19" s="12" customFormat="1" x14ac:dyDescent="0.3">
      <c r="A594" s="27">
        <v>592</v>
      </c>
      <c r="B594" s="10" t="s">
        <v>1984</v>
      </c>
      <c r="C594" s="10" t="str">
        <f>_xlfn.XLOOKUP(B594,DataSet!$N$2:$N$600,DataSet!$AF$2:$AF$600,0)</f>
        <v>156986</v>
      </c>
      <c r="D594" s="10" t="str">
        <f>_xlfn.XLOOKUP(B594,DataSet!$N$2:$N$600,DataSet!$G$2:$G$600,0)</f>
        <v>Zuschuss Carroll</v>
      </c>
      <c r="E594" s="10" t="str">
        <f>_xlfn.XLOOKUP(B594,DataSet!$N$2:$N$600,DataSet!$F$2:$F$600,0)</f>
        <v>ZC-21910</v>
      </c>
      <c r="F594" s="10" t="str">
        <f>_xlfn.XLOOKUP(B594,DataSet!$N$2:$N$600,DataSet!$W$2:$W$600,0)</f>
        <v>Consumer</v>
      </c>
      <c r="G594" s="13">
        <f>_xlfn.XLOOKUP(B594,DataSet!$N$2:$N$600,DataSet!$C$2:$C$600,0)</f>
        <v>42449</v>
      </c>
      <c r="H594" s="10" t="str">
        <f>_xlfn.XLOOKUP(B594,DataSet!$N$2:$N$600,DataSet!$I$2:$I$600,0)</f>
        <v>United States</v>
      </c>
      <c r="I594" s="10" t="str">
        <f>_xlfn.XLOOKUP(B594,DataSet!$N$2:$N$600,DataSet!$X$2:$X$600,0)</f>
        <v>Salem - Oregon</v>
      </c>
      <c r="J594" s="10" t="str">
        <f>_xlfn.XLOOKUP(B594,DataSet!$N$2:$N$600,DataSet!$M$2:$M$600,0)</f>
        <v>West</v>
      </c>
      <c r="K594" s="10" t="str">
        <f>_xlfn.XLOOKUP(B594,DataSet!$N$2:$N$600,DataSet!$O$2:$O$600,0)</f>
        <v>Office Supplies</v>
      </c>
      <c r="L594" s="10" t="str">
        <f>_xlfn.XLOOKUP(B594,DataSet!$N$2:$N$600,DataSet!$Y$2:$Y$600,0)</f>
        <v>Paper</v>
      </c>
      <c r="M594" s="10" t="str">
        <f>_xlfn.XLOOKUP(B594,DataSet!$N$2:$N$600,DataSet!$Q$2:$Q$600,0)</f>
        <v>Xerox 1894</v>
      </c>
      <c r="N594" s="16">
        <f>_xlfn.XLOOKUP(B594,DataSet!$N$2:$N$600,DataSet!$AA$2:$AA$600,0)</f>
        <v>10.368</v>
      </c>
      <c r="O594" s="10">
        <f>_xlfn.XLOOKUP(B594,DataSet!$N$2:$N$600,DataSet!$S$2:$S$600,0)</f>
        <v>2</v>
      </c>
      <c r="P594" s="15">
        <f>_xlfn.XLOOKUP(B594,DataSet!$N$2:$N$600,DataSet!$T$2:$T$600,0)</f>
        <v>0.2</v>
      </c>
      <c r="Q594" s="14">
        <f>_xlfn.XLOOKUP(B594,DataSet!$N$2:$N$600,DataSet!$U$2:$U$600,0)</f>
        <v>3.6288</v>
      </c>
      <c r="R594" s="16">
        <f>_xlfn.XLOOKUP(B594,DataSet!$N$2:$N$600,DataSet!$AB$2:$AB$600,0)</f>
        <v>20.736000000000001</v>
      </c>
      <c r="S594" s="9">
        <f>_xlfn.XLOOKUP(B594,DataSet!$N$2:$N$600,DataSet!$AC$2:$AC$600,0)</f>
        <v>16.588800000000003</v>
      </c>
    </row>
    <row r="595" spans="1:19" s="12" customFormat="1" x14ac:dyDescent="0.3">
      <c r="A595" s="27">
        <v>593</v>
      </c>
      <c r="B595" s="10" t="s">
        <v>1990</v>
      </c>
      <c r="C595" s="10" t="str">
        <f>_xlfn.XLOOKUP(B595,DataSet!$N$2:$N$600,DataSet!$AF$2:$AF$600,0)</f>
        <v>135405</v>
      </c>
      <c r="D595" s="10" t="str">
        <f>_xlfn.XLOOKUP(B595,DataSet!$N$2:$N$600,DataSet!$G$2:$G$600,0)</f>
        <v>Melanie Seite</v>
      </c>
      <c r="E595" s="10" t="str">
        <f>_xlfn.XLOOKUP(B595,DataSet!$N$2:$N$600,DataSet!$F$2:$F$600,0)</f>
        <v>MS-17830</v>
      </c>
      <c r="F595" s="10" t="str">
        <f>_xlfn.XLOOKUP(B595,DataSet!$N$2:$N$600,DataSet!$W$2:$W$600,0)</f>
        <v>Consumer</v>
      </c>
      <c r="G595" s="13">
        <f>_xlfn.XLOOKUP(B595,DataSet!$N$2:$N$600,DataSet!$C$2:$C$600,0)</f>
        <v>41648</v>
      </c>
      <c r="H595" s="10" t="str">
        <f>_xlfn.XLOOKUP(B595,DataSet!$N$2:$N$600,DataSet!$I$2:$I$600,0)</f>
        <v>United States</v>
      </c>
      <c r="I595" s="10" t="str">
        <f>_xlfn.XLOOKUP(B595,DataSet!$N$2:$N$600,DataSet!$X$2:$X$600,0)</f>
        <v>Laredo - Texas</v>
      </c>
      <c r="J595" s="10" t="str">
        <f>_xlfn.XLOOKUP(B595,DataSet!$N$2:$N$600,DataSet!$M$2:$M$600,0)</f>
        <v>Central</v>
      </c>
      <c r="K595" s="10" t="str">
        <f>_xlfn.XLOOKUP(B595,DataSet!$N$2:$N$600,DataSet!$O$2:$O$600,0)</f>
        <v>Office Supplies</v>
      </c>
      <c r="L595" s="10" t="str">
        <f>_xlfn.XLOOKUP(B595,DataSet!$N$2:$N$600,DataSet!$Y$2:$Y$600,0)</f>
        <v>Art</v>
      </c>
      <c r="M595" s="10" t="str">
        <f>_xlfn.XLOOKUP(B595,DataSet!$N$2:$N$600,DataSet!$Q$2:$Q$600,0)</f>
        <v>Newell 312</v>
      </c>
      <c r="N595" s="16">
        <f>_xlfn.XLOOKUP(B595,DataSet!$N$2:$N$600,DataSet!$AA$2:$AA$600,0)</f>
        <v>9.3439999999999994</v>
      </c>
      <c r="O595" s="10">
        <f>_xlfn.XLOOKUP(B595,DataSet!$N$2:$N$600,DataSet!$S$2:$S$600,0)</f>
        <v>2</v>
      </c>
      <c r="P595" s="15">
        <f>_xlfn.XLOOKUP(B595,DataSet!$N$2:$N$600,DataSet!$T$2:$T$600,0)</f>
        <v>0.2</v>
      </c>
      <c r="Q595" s="14">
        <f>_xlfn.XLOOKUP(B595,DataSet!$N$2:$N$600,DataSet!$U$2:$U$600,0)</f>
        <v>1.1679999999999999</v>
      </c>
      <c r="R595" s="16">
        <f>_xlfn.XLOOKUP(B595,DataSet!$N$2:$N$600,DataSet!$AB$2:$AB$600,0)</f>
        <v>18.687999999999999</v>
      </c>
      <c r="S595" s="9">
        <f>_xlfn.XLOOKUP(B595,DataSet!$N$2:$N$600,DataSet!$AC$2:$AC$600,0)</f>
        <v>14.9504</v>
      </c>
    </row>
    <row r="596" spans="1:19" s="12" customFormat="1" x14ac:dyDescent="0.3">
      <c r="A596" s="27">
        <v>594</v>
      </c>
      <c r="B596" s="10" t="s">
        <v>844</v>
      </c>
      <c r="C596" s="10" t="str">
        <f>_xlfn.XLOOKUP(B596,DataSet!$N$2:$N$600,DataSet!$AF$2:$AF$600,0)</f>
        <v>101007</v>
      </c>
      <c r="D596" s="10" t="str">
        <f>_xlfn.XLOOKUP(B596,DataSet!$N$2:$N$600,DataSet!$G$2:$G$600,0)</f>
        <v>Michael Stewart</v>
      </c>
      <c r="E596" s="10" t="str">
        <f>_xlfn.XLOOKUP(B596,DataSet!$N$2:$N$600,DataSet!$F$2:$F$600,0)</f>
        <v>MS-17980</v>
      </c>
      <c r="F596" s="10" t="str">
        <f>_xlfn.XLOOKUP(B596,DataSet!$N$2:$N$600,DataSet!$W$2:$W$600,0)</f>
        <v>Corporate</v>
      </c>
      <c r="G596" s="13">
        <f>_xlfn.XLOOKUP(B596,DataSet!$N$2:$N$600,DataSet!$C$2:$C$600,0)</f>
        <v>42044</v>
      </c>
      <c r="H596" s="10" t="str">
        <f>_xlfn.XLOOKUP(B596,DataSet!$N$2:$N$600,DataSet!$I$2:$I$600,0)</f>
        <v>United States</v>
      </c>
      <c r="I596" s="10" t="str">
        <f>_xlfn.XLOOKUP(B596,DataSet!$N$2:$N$600,DataSet!$X$2:$X$600,0)</f>
        <v>Dallas - Texas</v>
      </c>
      <c r="J596" s="10" t="str">
        <f>_xlfn.XLOOKUP(B596,DataSet!$N$2:$N$600,DataSet!$M$2:$M$600,0)</f>
        <v>Central</v>
      </c>
      <c r="K596" s="10" t="str">
        <f>_xlfn.XLOOKUP(B596,DataSet!$N$2:$N$600,DataSet!$O$2:$O$600,0)</f>
        <v>Technology</v>
      </c>
      <c r="L596" s="10" t="str">
        <f>_xlfn.XLOOKUP(B596,DataSet!$N$2:$N$600,DataSet!$Y$2:$Y$600,0)</f>
        <v>Accessories</v>
      </c>
      <c r="M596" s="10" t="str">
        <f>_xlfn.XLOOKUP(B596,DataSet!$N$2:$N$600,DataSet!$Q$2:$Q$600,0)</f>
        <v>Memorex Micro Travel Drive 8 GB</v>
      </c>
      <c r="N596" s="16">
        <f>_xlfn.XLOOKUP(B596,DataSet!$N$2:$N$600,DataSet!$AA$2:$AA$600,0)</f>
        <v>20.8</v>
      </c>
      <c r="O596" s="10">
        <f>_xlfn.XLOOKUP(B596,DataSet!$N$2:$N$600,DataSet!$S$2:$S$600,0)</f>
        <v>2</v>
      </c>
      <c r="P596" s="15">
        <f>_xlfn.XLOOKUP(B596,DataSet!$N$2:$N$600,DataSet!$T$2:$T$600,0)</f>
        <v>0.2</v>
      </c>
      <c r="Q596" s="14">
        <f>_xlfn.XLOOKUP(B596,DataSet!$N$2:$N$600,DataSet!$U$2:$U$600,0)</f>
        <v>6.5</v>
      </c>
      <c r="R596" s="16">
        <f>_xlfn.XLOOKUP(B596,DataSet!$N$2:$N$600,DataSet!$AB$2:$AB$600,0)</f>
        <v>41.6</v>
      </c>
      <c r="S596" s="9">
        <f>_xlfn.XLOOKUP(B596,DataSet!$N$2:$N$600,DataSet!$AC$2:$AC$600,0)</f>
        <v>33.28</v>
      </c>
    </row>
    <row r="597" spans="1:19" s="12" customFormat="1" x14ac:dyDescent="0.3">
      <c r="A597" s="27">
        <v>595</v>
      </c>
      <c r="B597" s="10" t="s">
        <v>1995</v>
      </c>
      <c r="C597" s="10" t="str">
        <f>_xlfn.XLOOKUP(B597,DataSet!$N$2:$N$600,DataSet!$AF$2:$AF$600,0)</f>
        <v>131450</v>
      </c>
      <c r="D597" s="10" t="str">
        <f>_xlfn.XLOOKUP(B597,DataSet!$N$2:$N$600,DataSet!$G$2:$G$600,0)</f>
        <v>Lena Radford</v>
      </c>
      <c r="E597" s="10" t="str">
        <f>_xlfn.XLOOKUP(B597,DataSet!$N$2:$N$600,DataSet!$F$2:$F$600,0)</f>
        <v>LR-16915</v>
      </c>
      <c r="F597" s="10" t="str">
        <f>_xlfn.XLOOKUP(B597,DataSet!$N$2:$N$600,DataSet!$W$2:$W$600,0)</f>
        <v>Consumer</v>
      </c>
      <c r="G597" s="13">
        <f>_xlfn.XLOOKUP(B597,DataSet!$N$2:$N$600,DataSet!$C$2:$C$600,0)</f>
        <v>41859</v>
      </c>
      <c r="H597" s="10" t="str">
        <f>_xlfn.XLOOKUP(B597,DataSet!$N$2:$N$600,DataSet!$I$2:$I$600,0)</f>
        <v>United States</v>
      </c>
      <c r="I597" s="10" t="str">
        <f>_xlfn.XLOOKUP(B597,DataSet!$N$2:$N$600,DataSet!$X$2:$X$600,0)</f>
        <v>San Diego - California</v>
      </c>
      <c r="J597" s="10" t="str">
        <f>_xlfn.XLOOKUP(B597,DataSet!$N$2:$N$600,DataSet!$M$2:$M$600,0)</f>
        <v>West</v>
      </c>
      <c r="K597" s="10" t="str">
        <f>_xlfn.XLOOKUP(B597,DataSet!$N$2:$N$600,DataSet!$O$2:$O$600,0)</f>
        <v>Office Supplies</v>
      </c>
      <c r="L597" s="10" t="str">
        <f>_xlfn.XLOOKUP(B597,DataSet!$N$2:$N$600,DataSet!$Y$2:$Y$600,0)</f>
        <v>Appliances</v>
      </c>
      <c r="M597" s="10" t="str">
        <f>_xlfn.XLOOKUP(B597,DataSet!$N$2:$N$600,DataSet!$Q$2:$Q$600,0)</f>
        <v>Fellowes Superior 10 Outlet Split Surge Protector</v>
      </c>
      <c r="N597" s="16">
        <f>_xlfn.XLOOKUP(B597,DataSet!$N$2:$N$600,DataSet!$AA$2:$AA$600,0)</f>
        <v>76.12</v>
      </c>
      <c r="O597" s="10">
        <f>_xlfn.XLOOKUP(B597,DataSet!$N$2:$N$600,DataSet!$S$2:$S$600,0)</f>
        <v>2</v>
      </c>
      <c r="P597" s="15">
        <f>_xlfn.XLOOKUP(B597,DataSet!$N$2:$N$600,DataSet!$T$2:$T$600,0)</f>
        <v>0</v>
      </c>
      <c r="Q597" s="14">
        <f>_xlfn.XLOOKUP(B597,DataSet!$N$2:$N$600,DataSet!$U$2:$U$600,0)</f>
        <v>22.0748</v>
      </c>
      <c r="R597" s="16">
        <f>_xlfn.XLOOKUP(B597,DataSet!$N$2:$N$600,DataSet!$AB$2:$AB$600,0)</f>
        <v>152.24</v>
      </c>
      <c r="S597" s="9">
        <f>_xlfn.XLOOKUP(B597,DataSet!$N$2:$N$600,DataSet!$AC$2:$AC$600,0)</f>
        <v>152.24</v>
      </c>
    </row>
    <row r="598" spans="1:19" s="12" customFormat="1" x14ac:dyDescent="0.3">
      <c r="A598" s="27">
        <v>596</v>
      </c>
      <c r="B598" s="10" t="s">
        <v>1435</v>
      </c>
      <c r="C598" s="10" t="str">
        <f>_xlfn.XLOOKUP(B598,DataSet!$N$2:$N$600,DataSet!$AF$2:$AF$600,0)</f>
        <v>117457</v>
      </c>
      <c r="D598" s="10" t="str">
        <f>_xlfn.XLOOKUP(B598,DataSet!$N$2:$N$600,DataSet!$G$2:$G$600,0)</f>
        <v>Keith Herrera</v>
      </c>
      <c r="E598" s="10" t="str">
        <f>_xlfn.XLOOKUP(B598,DataSet!$N$2:$N$600,DataSet!$F$2:$F$600,0)</f>
        <v>KH-16510</v>
      </c>
      <c r="F598" s="10" t="str">
        <f>_xlfn.XLOOKUP(B598,DataSet!$N$2:$N$600,DataSet!$W$2:$W$600,0)</f>
        <v>Consumer</v>
      </c>
      <c r="G598" s="13">
        <f>_xlfn.XLOOKUP(B598,DataSet!$N$2:$N$600,DataSet!$C$2:$C$600,0)</f>
        <v>43077</v>
      </c>
      <c r="H598" s="10" t="str">
        <f>_xlfn.XLOOKUP(B598,DataSet!$N$2:$N$600,DataSet!$I$2:$I$600,0)</f>
        <v>United States</v>
      </c>
      <c r="I598" s="10" t="str">
        <f>_xlfn.XLOOKUP(B598,DataSet!$N$2:$N$600,DataSet!$X$2:$X$600,0)</f>
        <v>San Francisco - California</v>
      </c>
      <c r="J598" s="10" t="str">
        <f>_xlfn.XLOOKUP(B598,DataSet!$N$2:$N$600,DataSet!$M$2:$M$600,0)</f>
        <v>West</v>
      </c>
      <c r="K598" s="10" t="str">
        <f>_xlfn.XLOOKUP(B598,DataSet!$N$2:$N$600,DataSet!$O$2:$O$600,0)</f>
        <v>Technology</v>
      </c>
      <c r="L598" s="10" t="str">
        <f>_xlfn.XLOOKUP(B598,DataSet!$N$2:$N$600,DataSet!$Y$2:$Y$600,0)</f>
        <v>Copiers</v>
      </c>
      <c r="M598" s="10" t="str">
        <f>_xlfn.XLOOKUP(B598,DataSet!$N$2:$N$600,DataSet!$Q$2:$Q$600,0)</f>
        <v>Sharp AL-1530CS Digital Copier</v>
      </c>
      <c r="N598" s="16">
        <f>_xlfn.XLOOKUP(B598,DataSet!$N$2:$N$600,DataSet!$AA$2:$AA$600,0)</f>
        <v>1199.9760000000001</v>
      </c>
      <c r="O598" s="10">
        <f>_xlfn.XLOOKUP(B598,DataSet!$N$2:$N$600,DataSet!$S$2:$S$600,0)</f>
        <v>3</v>
      </c>
      <c r="P598" s="15">
        <f>_xlfn.XLOOKUP(B598,DataSet!$N$2:$N$600,DataSet!$T$2:$T$600,0)</f>
        <v>0.2</v>
      </c>
      <c r="Q598" s="14">
        <f>_xlfn.XLOOKUP(B598,DataSet!$N$2:$N$600,DataSet!$U$2:$U$600,0)</f>
        <v>434.99130000000002</v>
      </c>
      <c r="R598" s="16">
        <f>_xlfn.XLOOKUP(B598,DataSet!$N$2:$N$600,DataSet!$AB$2:$AB$600,0)</f>
        <v>3599.9280000000003</v>
      </c>
      <c r="S598" s="9">
        <f>_xlfn.XLOOKUP(B598,DataSet!$N$2:$N$600,DataSet!$AC$2:$AC$600,0)</f>
        <v>2879.9424000000004</v>
      </c>
    </row>
    <row r="599" spans="1:19" s="12" customFormat="1" x14ac:dyDescent="0.3">
      <c r="A599" s="27">
        <v>597</v>
      </c>
      <c r="B599" s="10" t="s">
        <v>1153</v>
      </c>
      <c r="C599" s="10" t="str">
        <f>_xlfn.XLOOKUP(B599,DataSet!$N$2:$N$600,DataSet!$AF$2:$AF$600,0)</f>
        <v>167850</v>
      </c>
      <c r="D599" s="10" t="str">
        <f>_xlfn.XLOOKUP(B599,DataSet!$N$2:$N$600,DataSet!$G$2:$G$600,0)</f>
        <v>Andy Gerbode</v>
      </c>
      <c r="E599" s="10" t="str">
        <f>_xlfn.XLOOKUP(B599,DataSet!$N$2:$N$600,DataSet!$F$2:$F$600,0)</f>
        <v>AG-10525</v>
      </c>
      <c r="F599" s="10" t="str">
        <f>_xlfn.XLOOKUP(B599,DataSet!$N$2:$N$600,DataSet!$W$2:$W$600,0)</f>
        <v>Corporate</v>
      </c>
      <c r="G599" s="13">
        <f>_xlfn.XLOOKUP(B599,DataSet!$N$2:$N$600,DataSet!$C$2:$C$600,0)</f>
        <v>41860</v>
      </c>
      <c r="H599" s="10" t="str">
        <f>_xlfn.XLOOKUP(B599,DataSet!$N$2:$N$600,DataSet!$I$2:$I$600,0)</f>
        <v>United States</v>
      </c>
      <c r="I599" s="10" t="str">
        <f>_xlfn.XLOOKUP(B599,DataSet!$N$2:$N$600,DataSet!$X$2:$X$600,0)</f>
        <v>Saint Petersburg - Florida</v>
      </c>
      <c r="J599" s="10" t="str">
        <f>_xlfn.XLOOKUP(B599,DataSet!$N$2:$N$600,DataSet!$M$2:$M$600,0)</f>
        <v>South</v>
      </c>
      <c r="K599" s="10" t="str">
        <f>_xlfn.XLOOKUP(B599,DataSet!$N$2:$N$600,DataSet!$O$2:$O$600,0)</f>
        <v>Technology</v>
      </c>
      <c r="L599" s="10" t="str">
        <f>_xlfn.XLOOKUP(B599,DataSet!$N$2:$N$600,DataSet!$Y$2:$Y$600,0)</f>
        <v>Phones</v>
      </c>
      <c r="M599" s="10" t="str">
        <f>_xlfn.XLOOKUP(B599,DataSet!$N$2:$N$600,DataSet!$Q$2:$Q$600,0)</f>
        <v>AT&amp;T 1070 Corded Phone</v>
      </c>
      <c r="N599" s="16">
        <f>_xlfn.XLOOKUP(B599,DataSet!$N$2:$N$600,DataSet!$AA$2:$AA$600,0)</f>
        <v>178.38399999999999</v>
      </c>
      <c r="O599" s="10">
        <f>_xlfn.XLOOKUP(B599,DataSet!$N$2:$N$600,DataSet!$S$2:$S$600,0)</f>
        <v>2</v>
      </c>
      <c r="P599" s="15">
        <f>_xlfn.XLOOKUP(B599,DataSet!$N$2:$N$600,DataSet!$T$2:$T$600,0)</f>
        <v>0.2</v>
      </c>
      <c r="Q599" s="14">
        <f>_xlfn.XLOOKUP(B599,DataSet!$N$2:$N$600,DataSet!$U$2:$U$600,0)</f>
        <v>22.297999999999998</v>
      </c>
      <c r="R599" s="16">
        <f>_xlfn.XLOOKUP(B599,DataSet!$N$2:$N$600,DataSet!$AB$2:$AB$600,0)</f>
        <v>356.76799999999997</v>
      </c>
      <c r="S599" s="9">
        <f>_xlfn.XLOOKUP(B599,DataSet!$N$2:$N$600,DataSet!$AC$2:$AC$600,0)</f>
        <v>285.4144</v>
      </c>
    </row>
    <row r="600" spans="1:19" s="12" customFormat="1" x14ac:dyDescent="0.3">
      <c r="A600" s="27">
        <v>598</v>
      </c>
      <c r="B600" s="10" t="s">
        <v>1997</v>
      </c>
      <c r="C600" s="10" t="str">
        <f>_xlfn.XLOOKUP(B600,DataSet!$N$2:$N$600,DataSet!$AF$2:$AF$600,0)</f>
        <v>131450</v>
      </c>
      <c r="D600" s="10" t="str">
        <f>_xlfn.XLOOKUP(B600,DataSet!$N$2:$N$600,DataSet!$G$2:$G$600,0)</f>
        <v>Lena Radford</v>
      </c>
      <c r="E600" s="10" t="str">
        <f>_xlfn.XLOOKUP(B600,DataSet!$N$2:$N$600,DataSet!$F$2:$F$600,0)</f>
        <v>LR-16915</v>
      </c>
      <c r="F600" s="10" t="str">
        <f>_xlfn.XLOOKUP(B600,DataSet!$N$2:$N$600,DataSet!$W$2:$W$600,0)</f>
        <v>Consumer</v>
      </c>
      <c r="G600" s="13">
        <f>_xlfn.XLOOKUP(B600,DataSet!$N$2:$N$600,DataSet!$C$2:$C$600,0)</f>
        <v>41859</v>
      </c>
      <c r="H600" s="10" t="str">
        <f>_xlfn.XLOOKUP(B600,DataSet!$N$2:$N$600,DataSet!$I$2:$I$600,0)</f>
        <v>United States</v>
      </c>
      <c r="I600" s="10" t="str">
        <f>_xlfn.XLOOKUP(B600,DataSet!$N$2:$N$600,DataSet!$X$2:$X$600,0)</f>
        <v>San Diego - California</v>
      </c>
      <c r="J600" s="10" t="str">
        <f>_xlfn.XLOOKUP(B600,DataSet!$N$2:$N$600,DataSet!$M$2:$M$600,0)</f>
        <v>West</v>
      </c>
      <c r="K600" s="10" t="str">
        <f>_xlfn.XLOOKUP(B600,DataSet!$N$2:$N$600,DataSet!$O$2:$O$600,0)</f>
        <v>Furniture</v>
      </c>
      <c r="L600" s="10" t="str">
        <f>_xlfn.XLOOKUP(B600,DataSet!$N$2:$N$600,DataSet!$Y$2:$Y$600,0)</f>
        <v>Furnishings</v>
      </c>
      <c r="M600" s="10" t="str">
        <f>_xlfn.XLOOKUP(B600,DataSet!$N$2:$N$600,DataSet!$Q$2:$Q$600,0)</f>
        <v>Dana Halogen Swing-Arm Architect Lamp</v>
      </c>
      <c r="N600" s="16">
        <f>_xlfn.XLOOKUP(B600,DataSet!$N$2:$N$600,DataSet!$AA$2:$AA$600,0)</f>
        <v>327.76</v>
      </c>
      <c r="O600" s="10">
        <f>_xlfn.XLOOKUP(B600,DataSet!$N$2:$N$600,DataSet!$S$2:$S$600,0)</f>
        <v>8</v>
      </c>
      <c r="P600" s="15">
        <f>_xlfn.XLOOKUP(B600,DataSet!$N$2:$N$600,DataSet!$T$2:$T$600,0)</f>
        <v>0</v>
      </c>
      <c r="Q600" s="14">
        <f>_xlfn.XLOOKUP(B600,DataSet!$N$2:$N$600,DataSet!$U$2:$U$600,0)</f>
        <v>91.772800000000004</v>
      </c>
      <c r="R600" s="16">
        <f>_xlfn.XLOOKUP(B600,DataSet!$N$2:$N$600,DataSet!$AB$2:$AB$600,0)</f>
        <v>2622.08</v>
      </c>
      <c r="S600" s="9">
        <f>_xlfn.XLOOKUP(B600,DataSet!$N$2:$N$600,DataSet!$AC$2:$AC$600,0)</f>
        <v>2622.08</v>
      </c>
    </row>
    <row r="601" spans="1:19" s="35" customFormat="1" x14ac:dyDescent="0.3">
      <c r="A601" s="28">
        <v>599</v>
      </c>
      <c r="B601" s="29" t="s">
        <v>2002</v>
      </c>
      <c r="C601" s="29" t="str">
        <f>_xlfn.XLOOKUP(B601,DataSet!$N$2:$N$600,DataSet!$AF$2:$AF$600,0)</f>
        <v>120180</v>
      </c>
      <c r="D601" s="29" t="str">
        <f>_xlfn.XLOOKUP(B601,DataSet!$N$2:$N$600,DataSet!$G$2:$G$600,0)</f>
        <v>Theone Pippenger</v>
      </c>
      <c r="E601" s="29" t="str">
        <f>_xlfn.XLOOKUP(B601,DataSet!$N$2:$N$600,DataSet!$F$2:$F$600,0)</f>
        <v>TP-21130</v>
      </c>
      <c r="F601" s="29" t="str">
        <f>_xlfn.XLOOKUP(B601,DataSet!$N$2:$N$600,DataSet!$W$2:$W$600,0)</f>
        <v>Consumer</v>
      </c>
      <c r="G601" s="30">
        <f>_xlfn.XLOOKUP(B601,DataSet!$N$2:$N$600,DataSet!$C$2:$C$600,0)</f>
        <v>42565</v>
      </c>
      <c r="H601" s="29" t="str">
        <f>_xlfn.XLOOKUP(B601,DataSet!$N$2:$N$600,DataSet!$I$2:$I$600,0)</f>
        <v>United States</v>
      </c>
      <c r="I601" s="29" t="str">
        <f>_xlfn.XLOOKUP(B601,DataSet!$N$2:$N$600,DataSet!$X$2:$X$600,0)</f>
        <v>Philadelphia - Pennsylvania</v>
      </c>
      <c r="J601" s="29" t="str">
        <f>_xlfn.XLOOKUP(B601,DataSet!$N$2:$N$600,DataSet!$M$2:$M$600,0)</f>
        <v>East</v>
      </c>
      <c r="K601" s="29" t="str">
        <f>_xlfn.XLOOKUP(B601,DataSet!$N$2:$N$600,DataSet!$O$2:$O$600,0)</f>
        <v>Office Supplies</v>
      </c>
      <c r="L601" s="29" t="str">
        <f>_xlfn.XLOOKUP(B601,DataSet!$N$2:$N$600,DataSet!$Y$2:$Y$600,0)</f>
        <v>Supplies</v>
      </c>
      <c r="M601" s="29" t="str">
        <f>_xlfn.XLOOKUP(B601,DataSet!$N$2:$N$600,DataSet!$Q$2:$Q$600,0)</f>
        <v>Acme Stainless Steel Office Snips</v>
      </c>
      <c r="N601" s="31">
        <f>_xlfn.XLOOKUP(B601,DataSet!$N$2:$N$600,DataSet!$AA$2:$AA$600,0)</f>
        <v>11.632</v>
      </c>
      <c r="O601" s="29">
        <f>_xlfn.XLOOKUP(B601,DataSet!$N$2:$N$600,DataSet!$S$2:$S$600,0)</f>
        <v>2</v>
      </c>
      <c r="P601" s="32">
        <f>_xlfn.XLOOKUP(B601,DataSet!$N$2:$N$600,DataSet!$T$2:$T$600,0)</f>
        <v>0.2</v>
      </c>
      <c r="Q601" s="33">
        <f>_xlfn.XLOOKUP(B601,DataSet!$N$2:$N$600,DataSet!$U$2:$U$600,0)</f>
        <v>1.0178</v>
      </c>
      <c r="R601" s="31">
        <f>_xlfn.XLOOKUP(B601,DataSet!$N$2:$N$600,DataSet!$AB$2:$AB$600,0)</f>
        <v>23.263999999999999</v>
      </c>
      <c r="S601" s="34">
        <f>_xlfn.XLOOKUP(B601,DataSet!$N$2:$N$600,DataSet!$AC$2:$AC$600,0)</f>
        <v>18.6112</v>
      </c>
    </row>
  </sheetData>
  <mergeCells count="1">
    <mergeCell ref="A1:S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Cleaned 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Gokila Sivakumar</dc:creator>
  <cp:lastModifiedBy>Gokila Sivakumar</cp:lastModifiedBy>
  <dcterms:created xsi:type="dcterms:W3CDTF">2025-09-21T12:07:21Z</dcterms:created>
  <dcterms:modified xsi:type="dcterms:W3CDTF">2025-09-28T05:49:38Z</dcterms:modified>
</cp:coreProperties>
</file>